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B67EF6DD-C881-48CF-8DBD-A14CE1F1C0D8}" xr6:coauthVersionLast="47" xr6:coauthVersionMax="47" xr10:uidLastSave="{00000000-0000-0000-0000-000000000000}"/>
  <bookViews>
    <workbookView xWindow="28680" yWindow="-120" windowWidth="29040" windowHeight="15720" xr2:uid="{00000000-000D-0000-FFFF-FFFF00000000}"/>
  </bookViews>
  <sheets>
    <sheet name="主變(變電所全停)" sheetId="13" r:id="rId1"/>
    <sheet name="主變N-1" sheetId="15" r:id="rId2"/>
    <sheet name="DATA" sheetId="16" r:id="rId3"/>
    <sheet name="排序" sheetId="17" r:id="rId4"/>
  </sheets>
  <functionGroups builtInGroupCount="19"/>
  <definedNames>
    <definedName name="_xlnm._FilterDatabase" localSheetId="2" hidden="1">DATA!$A$1:$Z$876</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3" i="16" l="1"/>
  <c r="X9" i="16"/>
  <c r="X15" i="16"/>
  <c r="X21" i="16"/>
  <c r="X27" i="16"/>
  <c r="X33" i="16"/>
  <c r="X39" i="16"/>
  <c r="X45" i="16"/>
  <c r="X47" i="16"/>
  <c r="X53" i="16"/>
  <c r="X59" i="16"/>
  <c r="X65" i="16"/>
  <c r="X71" i="16"/>
  <c r="X77" i="16"/>
  <c r="X82" i="16"/>
  <c r="X88" i="16"/>
  <c r="X93" i="16"/>
  <c r="X99" i="16"/>
  <c r="X105" i="16"/>
  <c r="X111" i="16"/>
  <c r="X117" i="16"/>
  <c r="X123" i="16"/>
  <c r="X129" i="16"/>
  <c r="X135" i="16"/>
  <c r="X141" i="16"/>
  <c r="X147" i="16"/>
  <c r="X153" i="16"/>
  <c r="X159" i="16"/>
  <c r="X165" i="16"/>
  <c r="X174" i="16"/>
  <c r="X183" i="16"/>
  <c r="X187" i="16"/>
  <c r="X191" i="16"/>
  <c r="X197" i="16"/>
  <c r="X203" i="16"/>
  <c r="X209" i="16"/>
  <c r="X215" i="16"/>
  <c r="X221" i="16"/>
  <c r="X227" i="16"/>
  <c r="X233" i="16"/>
  <c r="X239" i="16"/>
  <c r="X245" i="16"/>
  <c r="X251" i="16"/>
  <c r="X257" i="16"/>
  <c r="X263" i="16"/>
  <c r="X269" i="16"/>
  <c r="X275" i="16"/>
  <c r="X281" i="16"/>
  <c r="X287" i="16"/>
  <c r="X293" i="16"/>
  <c r="X299" i="16"/>
  <c r="X305" i="16"/>
  <c r="X311" i="16"/>
  <c r="X318" i="16"/>
  <c r="X323" i="16"/>
  <c r="X328" i="16"/>
  <c r="X335" i="16"/>
  <c r="X341" i="16"/>
  <c r="X347" i="16"/>
  <c r="X353" i="16"/>
  <c r="X359" i="16"/>
  <c r="X365" i="16"/>
  <c r="X371" i="16"/>
  <c r="X378" i="16"/>
  <c r="X384" i="16"/>
  <c r="X390" i="16"/>
  <c r="X396" i="16"/>
  <c r="X402" i="16"/>
  <c r="X408" i="16"/>
  <c r="X415" i="16"/>
  <c r="X420" i="16"/>
  <c r="X427" i="16"/>
  <c r="X432" i="16"/>
  <c r="X438" i="16"/>
  <c r="X444" i="16"/>
  <c r="X450" i="16"/>
  <c r="X459" i="16"/>
  <c r="X464" i="16"/>
  <c r="X469" i="16"/>
  <c r="X476" i="16"/>
  <c r="X483" i="16"/>
  <c r="X490" i="16"/>
  <c r="X497" i="16"/>
  <c r="X503" i="16"/>
  <c r="X509" i="16"/>
  <c r="X515" i="16"/>
  <c r="X521" i="16"/>
  <c r="X527" i="16"/>
  <c r="X533" i="16"/>
  <c r="X540" i="16"/>
  <c r="X547" i="16"/>
  <c r="X553" i="16"/>
  <c r="X559" i="16"/>
  <c r="X565" i="16"/>
  <c r="X571" i="16"/>
  <c r="X577" i="16"/>
  <c r="X584" i="16"/>
  <c r="X589" i="16"/>
  <c r="X594" i="16"/>
  <c r="X601" i="16"/>
  <c r="X602" i="16"/>
  <c r="X603" i="16"/>
  <c r="X604" i="16"/>
  <c r="X605" i="16"/>
  <c r="X611" i="16"/>
  <c r="X617" i="16"/>
  <c r="X623" i="16"/>
  <c r="X629" i="16"/>
  <c r="X635" i="16"/>
  <c r="X641" i="16"/>
  <c r="X647" i="16"/>
  <c r="X653" i="16"/>
  <c r="X659" i="16"/>
  <c r="X665" i="16"/>
  <c r="X671" i="16"/>
  <c r="X677" i="16"/>
  <c r="X683" i="16"/>
  <c r="X689" i="16"/>
  <c r="X695" i="16"/>
  <c r="X701" i="16"/>
  <c r="X707" i="16"/>
  <c r="X713" i="16"/>
  <c r="X719" i="16"/>
  <c r="X725" i="16"/>
  <c r="X731" i="16"/>
  <c r="X737" i="16"/>
  <c r="X743" i="16"/>
  <c r="X749" i="16"/>
  <c r="X758" i="16"/>
  <c r="X762" i="16"/>
  <c r="X766" i="16"/>
  <c r="X773" i="16"/>
  <c r="X780" i="16"/>
  <c r="X785" i="16"/>
  <c r="X790" i="16"/>
  <c r="X796" i="16"/>
  <c r="X803" i="16"/>
  <c r="X809" i="16"/>
  <c r="X816" i="16"/>
  <c r="X822" i="16"/>
  <c r="X828" i="16"/>
  <c r="X834" i="16"/>
  <c r="X841" i="16"/>
  <c r="X846" i="16"/>
  <c r="X851" i="16"/>
  <c r="X858" i="16"/>
  <c r="X867" i="16"/>
  <c r="X872"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6" i="16"/>
  <c r="W67" i="16"/>
  <c r="W68" i="16"/>
  <c r="W69" i="16"/>
  <c r="W70" i="16"/>
  <c r="W72" i="16"/>
  <c r="W73" i="16"/>
  <c r="W74" i="16"/>
  <c r="W75" i="16"/>
  <c r="W76" i="16"/>
  <c r="W78" i="16"/>
  <c r="W79" i="16"/>
  <c r="W80" i="16"/>
  <c r="W81" i="16"/>
  <c r="W83" i="16"/>
  <c r="W84" i="16"/>
  <c r="W85" i="16"/>
  <c r="W86" i="16"/>
  <c r="W87" i="16"/>
  <c r="W89" i="16"/>
  <c r="W90" i="16"/>
  <c r="W91" i="16"/>
  <c r="W92" i="16"/>
  <c r="W94" i="16"/>
  <c r="W95" i="16"/>
  <c r="W96" i="16"/>
  <c r="W97" i="16"/>
  <c r="W98" i="16"/>
  <c r="W100" i="16"/>
  <c r="W101" i="16"/>
  <c r="W102" i="16"/>
  <c r="W103" i="16"/>
  <c r="W104" i="16"/>
  <c r="W106" i="16"/>
  <c r="W107" i="16"/>
  <c r="W108" i="16"/>
  <c r="W109" i="16"/>
  <c r="W110" i="16"/>
  <c r="W112" i="16"/>
  <c r="W113" i="16"/>
  <c r="W114" i="16"/>
  <c r="W115" i="16"/>
  <c r="W116"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2" i="16"/>
  <c r="W143" i="16"/>
  <c r="W144" i="16"/>
  <c r="W145" i="16"/>
  <c r="W146" i="16"/>
  <c r="W148" i="16"/>
  <c r="W149" i="16"/>
  <c r="W150" i="16"/>
  <c r="W151" i="16"/>
  <c r="W152" i="16"/>
  <c r="W154" i="16"/>
  <c r="W155" i="16"/>
  <c r="W156" i="16"/>
  <c r="W157" i="16"/>
  <c r="W158" i="16"/>
  <c r="W160" i="16"/>
  <c r="W161" i="16"/>
  <c r="W162" i="16"/>
  <c r="W163" i="16"/>
  <c r="W164" i="16"/>
  <c r="W166" i="16"/>
  <c r="W167" i="16"/>
  <c r="W168" i="16"/>
  <c r="W169" i="16"/>
  <c r="W170" i="16"/>
  <c r="W171" i="16"/>
  <c r="W172" i="16"/>
  <c r="W173" i="16"/>
  <c r="W175" i="16"/>
  <c r="W176" i="16"/>
  <c r="W177" i="16"/>
  <c r="W178" i="16"/>
  <c r="W179" i="16"/>
  <c r="W180" i="16"/>
  <c r="W181" i="16"/>
  <c r="W182" i="16"/>
  <c r="W184" i="16"/>
  <c r="W185" i="16"/>
  <c r="W186"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8" i="16"/>
  <c r="W289" i="16"/>
  <c r="W290" i="16"/>
  <c r="W291" i="16"/>
  <c r="W292" i="16"/>
  <c r="W294" i="16"/>
  <c r="W295" i="16"/>
  <c r="W296" i="16"/>
  <c r="W297" i="16"/>
  <c r="W298" i="16"/>
  <c r="W300" i="16"/>
  <c r="W301" i="16"/>
  <c r="W302" i="16"/>
  <c r="W303" i="16"/>
  <c r="W304" i="16"/>
  <c r="W306" i="16"/>
  <c r="W307" i="16"/>
  <c r="W308" i="16"/>
  <c r="W309" i="16"/>
  <c r="W310" i="16"/>
  <c r="W312" i="16"/>
  <c r="W313" i="16"/>
  <c r="W314" i="16"/>
  <c r="W315" i="16"/>
  <c r="W316" i="16"/>
  <c r="W317" i="16"/>
  <c r="W319" i="16"/>
  <c r="W320" i="16"/>
  <c r="W321" i="16"/>
  <c r="W322" i="16"/>
  <c r="W324" i="16"/>
  <c r="W325" i="16"/>
  <c r="W326" i="16"/>
  <c r="W327" i="16"/>
  <c r="W329" i="16"/>
  <c r="W330" i="16"/>
  <c r="W331" i="16"/>
  <c r="W332" i="16"/>
  <c r="W333" i="16"/>
  <c r="W334" i="16"/>
  <c r="W336" i="16"/>
  <c r="W337" i="16"/>
  <c r="W338" i="16"/>
  <c r="W339" i="16"/>
  <c r="W340" i="16"/>
  <c r="W342" i="16"/>
  <c r="W343" i="16"/>
  <c r="W344" i="16"/>
  <c r="W345" i="16"/>
  <c r="W346" i="16"/>
  <c r="W348" i="16"/>
  <c r="W349" i="16"/>
  <c r="W350" i="16"/>
  <c r="W351" i="16"/>
  <c r="W352" i="16"/>
  <c r="W354" i="16"/>
  <c r="W355" i="16"/>
  <c r="W356" i="16"/>
  <c r="W357" i="16"/>
  <c r="W358" i="16"/>
  <c r="W360" i="16"/>
  <c r="W361" i="16"/>
  <c r="W362" i="16"/>
  <c r="W363" i="16"/>
  <c r="W364"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9" i="16"/>
  <c r="W410" i="16"/>
  <c r="W411" i="16"/>
  <c r="W412" i="16"/>
  <c r="W413" i="16"/>
  <c r="W414" i="16"/>
  <c r="W416" i="16"/>
  <c r="W417" i="16"/>
  <c r="W418" i="16"/>
  <c r="W419" i="16"/>
  <c r="W421" i="16"/>
  <c r="W422" i="16"/>
  <c r="W423" i="16"/>
  <c r="W424" i="16"/>
  <c r="W425" i="16"/>
  <c r="W426" i="16"/>
  <c r="W428" i="16"/>
  <c r="W429" i="16"/>
  <c r="W430" i="16"/>
  <c r="W431" i="16"/>
  <c r="W432" i="16"/>
  <c r="W433" i="16"/>
  <c r="W434" i="16"/>
  <c r="W435" i="16"/>
  <c r="W436" i="16"/>
  <c r="W437" i="16"/>
  <c r="W438" i="16"/>
  <c r="W439" i="16"/>
  <c r="W440" i="16"/>
  <c r="W441" i="16"/>
  <c r="W442" i="16"/>
  <c r="W443" i="16"/>
  <c r="W444" i="16"/>
  <c r="W445" i="16"/>
  <c r="W446" i="16"/>
  <c r="W447" i="16"/>
  <c r="W448" i="16"/>
  <c r="W449" i="16"/>
  <c r="W451" i="16"/>
  <c r="W452" i="16"/>
  <c r="W453" i="16"/>
  <c r="W454" i="16"/>
  <c r="W455" i="16"/>
  <c r="W456" i="16"/>
  <c r="W457" i="16"/>
  <c r="W458" i="16"/>
  <c r="W460" i="16"/>
  <c r="W461" i="16"/>
  <c r="W462" i="16"/>
  <c r="W463" i="16"/>
  <c r="W465" i="16"/>
  <c r="W466" i="16"/>
  <c r="W467" i="16"/>
  <c r="W468" i="16"/>
  <c r="W470" i="16"/>
  <c r="W471" i="16"/>
  <c r="W472" i="16"/>
  <c r="W473" i="16"/>
  <c r="W474" i="16"/>
  <c r="W475" i="16"/>
  <c r="W477" i="16"/>
  <c r="W478" i="16"/>
  <c r="W479" i="16"/>
  <c r="W480" i="16"/>
  <c r="W481" i="16"/>
  <c r="W482" i="16"/>
  <c r="W484" i="16"/>
  <c r="W485" i="16"/>
  <c r="W486" i="16"/>
  <c r="W487" i="16"/>
  <c r="W488" i="16"/>
  <c r="W489"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8" i="16"/>
  <c r="W579" i="16"/>
  <c r="W580" i="16"/>
  <c r="W581" i="16"/>
  <c r="W582" i="16"/>
  <c r="W583" i="16"/>
  <c r="W585" i="16"/>
  <c r="W586" i="16"/>
  <c r="W587" i="16"/>
  <c r="W588" i="16"/>
  <c r="W590" i="16"/>
  <c r="W591" i="16"/>
  <c r="W592" i="16"/>
  <c r="W593" i="16"/>
  <c r="W595" i="16"/>
  <c r="W596" i="16"/>
  <c r="W597" i="16"/>
  <c r="W598" i="16"/>
  <c r="W599" i="16"/>
  <c r="W600" i="16"/>
  <c r="W601" i="16"/>
  <c r="W602" i="16"/>
  <c r="W603" i="16"/>
  <c r="W604" i="16"/>
  <c r="W606" i="16"/>
  <c r="W607" i="16"/>
  <c r="W608" i="16"/>
  <c r="W609" i="16"/>
  <c r="W610"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4" i="16"/>
  <c r="W655" i="16"/>
  <c r="W656" i="16"/>
  <c r="W657" i="16"/>
  <c r="W658" i="16"/>
  <c r="W660" i="16"/>
  <c r="W661" i="16"/>
  <c r="W662" i="16"/>
  <c r="W663" i="16"/>
  <c r="W664" i="16"/>
  <c r="W666" i="16"/>
  <c r="W667" i="16"/>
  <c r="W668" i="16"/>
  <c r="W669" i="16"/>
  <c r="W670"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4" i="16"/>
  <c r="W715" i="16"/>
  <c r="W716" i="16"/>
  <c r="W717" i="16"/>
  <c r="W718" i="16"/>
  <c r="W720" i="16"/>
  <c r="W721" i="16"/>
  <c r="W722" i="16"/>
  <c r="W723" i="16"/>
  <c r="W724" i="16"/>
  <c r="W726" i="16"/>
  <c r="W727" i="16"/>
  <c r="W728" i="16"/>
  <c r="W729" i="16"/>
  <c r="W730" i="16"/>
  <c r="W732" i="16"/>
  <c r="W733" i="16"/>
  <c r="W734" i="16"/>
  <c r="W735" i="16"/>
  <c r="W736" i="16"/>
  <c r="W738" i="16"/>
  <c r="W739" i="16"/>
  <c r="W740" i="16"/>
  <c r="W741" i="16"/>
  <c r="W742" i="16"/>
  <c r="W744" i="16"/>
  <c r="W745" i="16"/>
  <c r="W746" i="16"/>
  <c r="W747" i="16"/>
  <c r="W748" i="16"/>
  <c r="W750" i="16"/>
  <c r="W751" i="16"/>
  <c r="W752" i="16"/>
  <c r="W753" i="16"/>
  <c r="W754" i="16"/>
  <c r="W755" i="16"/>
  <c r="W756" i="16"/>
  <c r="W757" i="16"/>
  <c r="W759" i="16"/>
  <c r="W760" i="16"/>
  <c r="W761" i="16"/>
  <c r="W763" i="16"/>
  <c r="W764" i="16"/>
  <c r="W765" i="16"/>
  <c r="W767" i="16"/>
  <c r="W768" i="16"/>
  <c r="W769" i="16"/>
  <c r="W770" i="16"/>
  <c r="W771" i="16"/>
  <c r="W772" i="16"/>
  <c r="W774" i="16"/>
  <c r="W775" i="16"/>
  <c r="W776" i="16"/>
  <c r="W777" i="16"/>
  <c r="W778" i="16"/>
  <c r="W779" i="16"/>
  <c r="W781" i="16"/>
  <c r="W782" i="16"/>
  <c r="W783" i="16"/>
  <c r="W784" i="16"/>
  <c r="W786" i="16"/>
  <c r="W787" i="16"/>
  <c r="W788" i="16"/>
  <c r="W789" i="16"/>
  <c r="W791" i="16"/>
  <c r="W792" i="16"/>
  <c r="W793" i="16"/>
  <c r="W794" i="16"/>
  <c r="W795" i="16"/>
  <c r="W797" i="16"/>
  <c r="W798" i="16"/>
  <c r="W799" i="16"/>
  <c r="W800" i="16"/>
  <c r="W801" i="16"/>
  <c r="W802" i="16"/>
  <c r="W804" i="16"/>
  <c r="W805" i="16"/>
  <c r="W806" i="16"/>
  <c r="W807" i="16"/>
  <c r="W808"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5" i="16"/>
  <c r="W836" i="16"/>
  <c r="W837" i="16"/>
  <c r="W838" i="16"/>
  <c r="W839" i="16"/>
  <c r="W840" i="16"/>
  <c r="W842" i="16"/>
  <c r="W843" i="16"/>
  <c r="W844" i="16"/>
  <c r="W845" i="16"/>
  <c r="W847" i="16"/>
  <c r="W848" i="16"/>
  <c r="W849" i="16"/>
  <c r="W850" i="16"/>
  <c r="W852" i="16"/>
  <c r="W853" i="16"/>
  <c r="W854" i="16"/>
  <c r="W855" i="16"/>
  <c r="W856" i="16"/>
  <c r="W857" i="16"/>
  <c r="W859" i="16"/>
  <c r="W860" i="16"/>
  <c r="W861" i="16"/>
  <c r="W862" i="16"/>
  <c r="W863" i="16"/>
  <c r="W864" i="16"/>
  <c r="W865" i="16"/>
  <c r="W866" i="16"/>
  <c r="W868" i="16"/>
  <c r="W869" i="16"/>
  <c r="W870" i="16"/>
  <c r="W871"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T877" i="16" s="1"/>
  <c r="P3" i="16"/>
  <c r="P4" i="16"/>
  <c r="X4" i="16" s="1"/>
  <c r="P5" i="16"/>
  <c r="X5" i="16" s="1"/>
  <c r="P6" i="16"/>
  <c r="X6" i="16" s="1"/>
  <c r="P7" i="16"/>
  <c r="X7" i="16" s="1"/>
  <c r="P8" i="16"/>
  <c r="X8" i="16" s="1"/>
  <c r="P9" i="16"/>
  <c r="P10" i="16"/>
  <c r="X10" i="16" s="1"/>
  <c r="P11" i="16"/>
  <c r="X11" i="16" s="1"/>
  <c r="P12" i="16"/>
  <c r="X12" i="16" s="1"/>
  <c r="P13" i="16"/>
  <c r="X13" i="16" s="1"/>
  <c r="P14" i="16"/>
  <c r="X14" i="16" s="1"/>
  <c r="P15" i="16"/>
  <c r="P16" i="16"/>
  <c r="X16" i="16" s="1"/>
  <c r="P17" i="16"/>
  <c r="X17" i="16" s="1"/>
  <c r="P18" i="16"/>
  <c r="X18" i="16" s="1"/>
  <c r="P19" i="16"/>
  <c r="X19" i="16" s="1"/>
  <c r="P20" i="16"/>
  <c r="X20" i="16" s="1"/>
  <c r="P21" i="16"/>
  <c r="P22" i="16"/>
  <c r="X22" i="16" s="1"/>
  <c r="P23" i="16"/>
  <c r="X23" i="16" s="1"/>
  <c r="P24" i="16"/>
  <c r="X24" i="16" s="1"/>
  <c r="P25" i="16"/>
  <c r="X25" i="16" s="1"/>
  <c r="P26" i="16"/>
  <c r="X26" i="16" s="1"/>
  <c r="P27" i="16"/>
  <c r="P28" i="16"/>
  <c r="X28" i="16" s="1"/>
  <c r="P29" i="16"/>
  <c r="X29" i="16" s="1"/>
  <c r="P30" i="16"/>
  <c r="X30" i="16" s="1"/>
  <c r="P31" i="16"/>
  <c r="X31" i="16" s="1"/>
  <c r="P32" i="16"/>
  <c r="X32" i="16" s="1"/>
  <c r="P33" i="16"/>
  <c r="P34" i="16"/>
  <c r="X34" i="16" s="1"/>
  <c r="P35" i="16"/>
  <c r="X35" i="16" s="1"/>
  <c r="P36" i="16"/>
  <c r="X36" i="16" s="1"/>
  <c r="P37" i="16"/>
  <c r="X37" i="16" s="1"/>
  <c r="P38" i="16"/>
  <c r="X38" i="16" s="1"/>
  <c r="P39" i="16"/>
  <c r="P40" i="16"/>
  <c r="X40" i="16" s="1"/>
  <c r="P41" i="16"/>
  <c r="X41" i="16" s="1"/>
  <c r="P42" i="16"/>
  <c r="X42" i="16" s="1"/>
  <c r="P43" i="16"/>
  <c r="X43" i="16" s="1"/>
  <c r="P44" i="16"/>
  <c r="X44" i="16" s="1"/>
  <c r="P45" i="16"/>
  <c r="P46" i="16"/>
  <c r="X46" i="16" s="1"/>
  <c r="P47" i="16"/>
  <c r="P48" i="16"/>
  <c r="X48" i="16" s="1"/>
  <c r="P49" i="16"/>
  <c r="X49" i="16" s="1"/>
  <c r="P50" i="16"/>
  <c r="X50" i="16" s="1"/>
  <c r="P51" i="16"/>
  <c r="X51" i="16" s="1"/>
  <c r="P52" i="16"/>
  <c r="X52" i="16" s="1"/>
  <c r="P53" i="16"/>
  <c r="P54" i="16"/>
  <c r="X54" i="16" s="1"/>
  <c r="P55" i="16"/>
  <c r="X55" i="16" s="1"/>
  <c r="P56" i="16"/>
  <c r="X56" i="16" s="1"/>
  <c r="P57" i="16"/>
  <c r="X57" i="16" s="1"/>
  <c r="P58" i="16"/>
  <c r="X58" i="16" s="1"/>
  <c r="P59" i="16"/>
  <c r="P60" i="16"/>
  <c r="X60" i="16" s="1"/>
  <c r="P61" i="16"/>
  <c r="X61" i="16" s="1"/>
  <c r="P62" i="16"/>
  <c r="X62" i="16" s="1"/>
  <c r="P63" i="16"/>
  <c r="X63" i="16" s="1"/>
  <c r="P64" i="16"/>
  <c r="X64" i="16" s="1"/>
  <c r="P65" i="16"/>
  <c r="P66" i="16"/>
  <c r="P67" i="16"/>
  <c r="X67" i="16" s="1"/>
  <c r="P68" i="16"/>
  <c r="X68" i="16" s="1"/>
  <c r="P69" i="16"/>
  <c r="X69" i="16" s="1"/>
  <c r="P70" i="16"/>
  <c r="X70" i="16" s="1"/>
  <c r="P71" i="16"/>
  <c r="P72" i="16"/>
  <c r="P73" i="16"/>
  <c r="X73" i="16" s="1"/>
  <c r="P74" i="16"/>
  <c r="X74" i="16" s="1"/>
  <c r="P75" i="16"/>
  <c r="X75" i="16" s="1"/>
  <c r="P76" i="16"/>
  <c r="X76" i="16" s="1"/>
  <c r="P77" i="16"/>
  <c r="P78" i="16"/>
  <c r="P79" i="16"/>
  <c r="X79" i="16" s="1"/>
  <c r="P80" i="16"/>
  <c r="X80" i="16" s="1"/>
  <c r="P81" i="16"/>
  <c r="X81" i="16" s="1"/>
  <c r="P82" i="16"/>
  <c r="P83" i="16"/>
  <c r="P84" i="16"/>
  <c r="X84" i="16" s="1"/>
  <c r="P85" i="16"/>
  <c r="X85" i="16" s="1"/>
  <c r="P86" i="16"/>
  <c r="X86" i="16" s="1"/>
  <c r="P87" i="16"/>
  <c r="X87" i="16" s="1"/>
  <c r="P88" i="16"/>
  <c r="P89" i="16"/>
  <c r="P90" i="16"/>
  <c r="X90" i="16" s="1"/>
  <c r="P91" i="16"/>
  <c r="X91" i="16" s="1"/>
  <c r="P92" i="16"/>
  <c r="X92" i="16" s="1"/>
  <c r="P93" i="16"/>
  <c r="P94" i="16"/>
  <c r="P95" i="16"/>
  <c r="X95" i="16" s="1"/>
  <c r="P96" i="16"/>
  <c r="X96" i="16" s="1"/>
  <c r="P97" i="16"/>
  <c r="X97" i="16" s="1"/>
  <c r="P98" i="16"/>
  <c r="X98" i="16" s="1"/>
  <c r="P99" i="16"/>
  <c r="P100" i="16"/>
  <c r="P101" i="16"/>
  <c r="X101" i="16" s="1"/>
  <c r="P102" i="16"/>
  <c r="X102" i="16" s="1"/>
  <c r="P103" i="16"/>
  <c r="X103" i="16" s="1"/>
  <c r="P104" i="16"/>
  <c r="X104" i="16" s="1"/>
  <c r="P105" i="16"/>
  <c r="P106" i="16"/>
  <c r="P107" i="16"/>
  <c r="X107" i="16" s="1"/>
  <c r="P108" i="16"/>
  <c r="X108" i="16" s="1"/>
  <c r="P109" i="16"/>
  <c r="X109" i="16" s="1"/>
  <c r="P110" i="16"/>
  <c r="X110" i="16" s="1"/>
  <c r="P111" i="16"/>
  <c r="P112" i="16"/>
  <c r="P113" i="16"/>
  <c r="X113" i="16" s="1"/>
  <c r="P114" i="16"/>
  <c r="X114" i="16" s="1"/>
  <c r="P115" i="16"/>
  <c r="X115" i="16" s="1"/>
  <c r="P116" i="16"/>
  <c r="X116" i="16" s="1"/>
  <c r="P117" i="16"/>
  <c r="P118" i="16"/>
  <c r="P119" i="16"/>
  <c r="X119" i="16" s="1"/>
  <c r="P120" i="16"/>
  <c r="X120" i="16" s="1"/>
  <c r="P121" i="16"/>
  <c r="X121" i="16" s="1"/>
  <c r="P122" i="16"/>
  <c r="X122" i="16" s="1"/>
  <c r="P123" i="16"/>
  <c r="P124" i="16"/>
  <c r="X124" i="16" s="1"/>
  <c r="P125" i="16"/>
  <c r="X125" i="16" s="1"/>
  <c r="P126" i="16"/>
  <c r="X126" i="16" s="1"/>
  <c r="P127" i="16"/>
  <c r="X127" i="16" s="1"/>
  <c r="P128" i="16"/>
  <c r="X128" i="16" s="1"/>
  <c r="P129" i="16"/>
  <c r="P130" i="16"/>
  <c r="X130" i="16" s="1"/>
  <c r="P131" i="16"/>
  <c r="X131" i="16" s="1"/>
  <c r="P132" i="16"/>
  <c r="X132" i="16" s="1"/>
  <c r="P133" i="16"/>
  <c r="X133" i="16" s="1"/>
  <c r="P134" i="16"/>
  <c r="X134" i="16" s="1"/>
  <c r="P135" i="16"/>
  <c r="P136" i="16"/>
  <c r="X136" i="16" s="1"/>
  <c r="P137" i="16"/>
  <c r="X137" i="16" s="1"/>
  <c r="P138" i="16"/>
  <c r="X138" i="16" s="1"/>
  <c r="P139" i="16"/>
  <c r="X139" i="16" s="1"/>
  <c r="P140" i="16"/>
  <c r="X140" i="16" s="1"/>
  <c r="P141" i="16"/>
  <c r="P142" i="16"/>
  <c r="P143" i="16"/>
  <c r="X143" i="16" s="1"/>
  <c r="P144" i="16"/>
  <c r="X144" i="16" s="1"/>
  <c r="P145" i="16"/>
  <c r="X145" i="16" s="1"/>
  <c r="P146" i="16"/>
  <c r="X146" i="16" s="1"/>
  <c r="P147" i="16"/>
  <c r="P148" i="16"/>
  <c r="P149" i="16"/>
  <c r="X149" i="16" s="1"/>
  <c r="P150" i="16"/>
  <c r="X150" i="16" s="1"/>
  <c r="P151" i="16"/>
  <c r="X151" i="16" s="1"/>
  <c r="P152" i="16"/>
  <c r="X152" i="16" s="1"/>
  <c r="P153" i="16"/>
  <c r="P154" i="16"/>
  <c r="P155" i="16"/>
  <c r="X155" i="16" s="1"/>
  <c r="P156" i="16"/>
  <c r="X156" i="16" s="1"/>
  <c r="P157" i="16"/>
  <c r="X157" i="16" s="1"/>
  <c r="P158" i="16"/>
  <c r="X158" i="16" s="1"/>
  <c r="P159" i="16"/>
  <c r="P160" i="16"/>
  <c r="P161" i="16"/>
  <c r="X161" i="16" s="1"/>
  <c r="P162" i="16"/>
  <c r="X162" i="16" s="1"/>
  <c r="P163" i="16"/>
  <c r="X163" i="16" s="1"/>
  <c r="P164" i="16"/>
  <c r="X164" i="16" s="1"/>
  <c r="P165" i="16"/>
  <c r="P166" i="16"/>
  <c r="P167" i="16"/>
  <c r="X167" i="16" s="1"/>
  <c r="P168" i="16"/>
  <c r="X168" i="16" s="1"/>
  <c r="P169" i="16"/>
  <c r="X169" i="16" s="1"/>
  <c r="P170" i="16"/>
  <c r="X170" i="16" s="1"/>
  <c r="P171" i="16"/>
  <c r="X171" i="16" s="1"/>
  <c r="P172" i="16"/>
  <c r="X172" i="16" s="1"/>
  <c r="P173" i="16"/>
  <c r="X173" i="16" s="1"/>
  <c r="P174" i="16"/>
  <c r="P175" i="16"/>
  <c r="P176" i="16"/>
  <c r="X176" i="16" s="1"/>
  <c r="P177" i="16"/>
  <c r="X177" i="16" s="1"/>
  <c r="P178" i="16"/>
  <c r="X178" i="16" s="1"/>
  <c r="P179" i="16"/>
  <c r="X179" i="16" s="1"/>
  <c r="P180" i="16"/>
  <c r="X180" i="16" s="1"/>
  <c r="P181" i="16"/>
  <c r="X181" i="16" s="1"/>
  <c r="P182" i="16"/>
  <c r="X182" i="16" s="1"/>
  <c r="P183" i="16"/>
  <c r="P184" i="16"/>
  <c r="P185" i="16"/>
  <c r="X185" i="16" s="1"/>
  <c r="P186" i="16"/>
  <c r="X186" i="16" s="1"/>
  <c r="P187" i="16"/>
  <c r="P188" i="16"/>
  <c r="P189" i="16"/>
  <c r="X189" i="16" s="1"/>
  <c r="P190" i="16"/>
  <c r="X190" i="16" s="1"/>
  <c r="P191" i="16"/>
  <c r="P192" i="16"/>
  <c r="X192" i="16" s="1"/>
  <c r="P193" i="16"/>
  <c r="X193" i="16" s="1"/>
  <c r="P194" i="16"/>
  <c r="X194" i="16" s="1"/>
  <c r="P195" i="16"/>
  <c r="X195" i="16" s="1"/>
  <c r="P196" i="16"/>
  <c r="X196" i="16" s="1"/>
  <c r="P197" i="16"/>
  <c r="P198" i="16"/>
  <c r="X198" i="16" s="1"/>
  <c r="P199" i="16"/>
  <c r="X199" i="16" s="1"/>
  <c r="P200" i="16"/>
  <c r="X200" i="16" s="1"/>
  <c r="P201" i="16"/>
  <c r="X201" i="16" s="1"/>
  <c r="P202" i="16"/>
  <c r="X202" i="16" s="1"/>
  <c r="P203" i="16"/>
  <c r="P204" i="16"/>
  <c r="X204" i="16" s="1"/>
  <c r="P205" i="16"/>
  <c r="X205" i="16" s="1"/>
  <c r="P206" i="16"/>
  <c r="X206" i="16" s="1"/>
  <c r="P207" i="16"/>
  <c r="X207" i="16" s="1"/>
  <c r="P208" i="16"/>
  <c r="X208" i="16" s="1"/>
  <c r="P209" i="16"/>
  <c r="P210" i="16"/>
  <c r="X210" i="16" s="1"/>
  <c r="P211" i="16"/>
  <c r="X211" i="16" s="1"/>
  <c r="P212" i="16"/>
  <c r="X212" i="16" s="1"/>
  <c r="P213" i="16"/>
  <c r="X213" i="16" s="1"/>
  <c r="P214" i="16"/>
  <c r="X214" i="16" s="1"/>
  <c r="P215" i="16"/>
  <c r="P216" i="16"/>
  <c r="X216" i="16" s="1"/>
  <c r="P217" i="16"/>
  <c r="X217" i="16" s="1"/>
  <c r="P218" i="16"/>
  <c r="X218" i="16" s="1"/>
  <c r="P219" i="16"/>
  <c r="X219" i="16" s="1"/>
  <c r="P220" i="16"/>
  <c r="X220" i="16" s="1"/>
  <c r="P221" i="16"/>
  <c r="P222" i="16"/>
  <c r="X222" i="16" s="1"/>
  <c r="P223" i="16"/>
  <c r="X223" i="16" s="1"/>
  <c r="P224" i="16"/>
  <c r="X224" i="16" s="1"/>
  <c r="P225" i="16"/>
  <c r="X225" i="16" s="1"/>
  <c r="P226" i="16"/>
  <c r="X226" i="16" s="1"/>
  <c r="P227" i="16"/>
  <c r="P228" i="16"/>
  <c r="X228" i="16" s="1"/>
  <c r="P229" i="16"/>
  <c r="X229" i="16" s="1"/>
  <c r="P230" i="16"/>
  <c r="X230" i="16" s="1"/>
  <c r="P231" i="16"/>
  <c r="X231" i="16" s="1"/>
  <c r="P232" i="16"/>
  <c r="X232" i="16" s="1"/>
  <c r="P233" i="16"/>
  <c r="P234" i="16"/>
  <c r="X234" i="16" s="1"/>
  <c r="P235" i="16"/>
  <c r="X235" i="16" s="1"/>
  <c r="P236" i="16"/>
  <c r="X236" i="16" s="1"/>
  <c r="P237" i="16"/>
  <c r="X237" i="16" s="1"/>
  <c r="P238" i="16"/>
  <c r="X238" i="16" s="1"/>
  <c r="P239" i="16"/>
  <c r="P240" i="16"/>
  <c r="X240" i="16" s="1"/>
  <c r="P241" i="16"/>
  <c r="X241" i="16" s="1"/>
  <c r="P242" i="16"/>
  <c r="X242" i="16" s="1"/>
  <c r="P243" i="16"/>
  <c r="X243" i="16" s="1"/>
  <c r="P244" i="16"/>
  <c r="X244" i="16" s="1"/>
  <c r="P245" i="16"/>
  <c r="P246" i="16"/>
  <c r="X246" i="16" s="1"/>
  <c r="P247" i="16"/>
  <c r="X247" i="16" s="1"/>
  <c r="P248" i="16"/>
  <c r="X248" i="16" s="1"/>
  <c r="P249" i="16"/>
  <c r="X249" i="16" s="1"/>
  <c r="P250" i="16"/>
  <c r="X250" i="16" s="1"/>
  <c r="P251" i="16"/>
  <c r="P252" i="16"/>
  <c r="X252" i="16" s="1"/>
  <c r="P253" i="16"/>
  <c r="X253" i="16" s="1"/>
  <c r="P254" i="16"/>
  <c r="X254" i="16" s="1"/>
  <c r="P255" i="16"/>
  <c r="X255" i="16" s="1"/>
  <c r="P256" i="16"/>
  <c r="X256" i="16" s="1"/>
  <c r="P257" i="16"/>
  <c r="P258" i="16"/>
  <c r="X258" i="16" s="1"/>
  <c r="P259" i="16"/>
  <c r="X259" i="16" s="1"/>
  <c r="P260" i="16"/>
  <c r="X260" i="16" s="1"/>
  <c r="P261" i="16"/>
  <c r="X261" i="16" s="1"/>
  <c r="P262" i="16"/>
  <c r="X262" i="16" s="1"/>
  <c r="P263" i="16"/>
  <c r="P264" i="16"/>
  <c r="X264" i="16" s="1"/>
  <c r="P265" i="16"/>
  <c r="X265" i="16" s="1"/>
  <c r="P266" i="16"/>
  <c r="X266" i="16" s="1"/>
  <c r="P267" i="16"/>
  <c r="X267" i="16" s="1"/>
  <c r="P268" i="16"/>
  <c r="X268" i="16" s="1"/>
  <c r="P269" i="16"/>
  <c r="P270" i="16"/>
  <c r="X270" i="16" s="1"/>
  <c r="P271" i="16"/>
  <c r="X271" i="16" s="1"/>
  <c r="P272" i="16"/>
  <c r="X272" i="16" s="1"/>
  <c r="P273" i="16"/>
  <c r="X273" i="16" s="1"/>
  <c r="P274" i="16"/>
  <c r="X274" i="16" s="1"/>
  <c r="P275" i="16"/>
  <c r="P276" i="16"/>
  <c r="X276" i="16" s="1"/>
  <c r="P277" i="16"/>
  <c r="X277" i="16" s="1"/>
  <c r="P278" i="16"/>
  <c r="X278" i="16" s="1"/>
  <c r="P279" i="16"/>
  <c r="X279" i="16" s="1"/>
  <c r="P280" i="16"/>
  <c r="X280" i="16" s="1"/>
  <c r="P281" i="16"/>
  <c r="P282" i="16"/>
  <c r="X282" i="16" s="1"/>
  <c r="P283" i="16"/>
  <c r="X283" i="16" s="1"/>
  <c r="P284" i="16"/>
  <c r="X284" i="16" s="1"/>
  <c r="P285" i="16"/>
  <c r="X285" i="16" s="1"/>
  <c r="P286" i="16"/>
  <c r="X286" i="16" s="1"/>
  <c r="P287" i="16"/>
  <c r="P288" i="16"/>
  <c r="P289" i="16"/>
  <c r="X289" i="16" s="1"/>
  <c r="P290" i="16"/>
  <c r="X290" i="16" s="1"/>
  <c r="P291" i="16"/>
  <c r="X291" i="16" s="1"/>
  <c r="P292" i="16"/>
  <c r="X292" i="16" s="1"/>
  <c r="P293" i="16"/>
  <c r="P294" i="16"/>
  <c r="P295" i="16"/>
  <c r="X295" i="16" s="1"/>
  <c r="P296" i="16"/>
  <c r="X296" i="16" s="1"/>
  <c r="P297" i="16"/>
  <c r="X297" i="16" s="1"/>
  <c r="P298" i="16"/>
  <c r="X298" i="16" s="1"/>
  <c r="P299" i="16"/>
  <c r="P300" i="16"/>
  <c r="P301" i="16"/>
  <c r="X301" i="16" s="1"/>
  <c r="P302" i="16"/>
  <c r="X302" i="16" s="1"/>
  <c r="P303" i="16"/>
  <c r="X303" i="16" s="1"/>
  <c r="P304" i="16"/>
  <c r="X304" i="16" s="1"/>
  <c r="P305" i="16"/>
  <c r="P306" i="16"/>
  <c r="P307" i="16"/>
  <c r="X307" i="16" s="1"/>
  <c r="P308" i="16"/>
  <c r="X308" i="16" s="1"/>
  <c r="P309" i="16"/>
  <c r="X309" i="16" s="1"/>
  <c r="P310" i="16"/>
  <c r="X310" i="16" s="1"/>
  <c r="P311" i="16"/>
  <c r="P312" i="16"/>
  <c r="P313" i="16"/>
  <c r="X313" i="16" s="1"/>
  <c r="P314" i="16"/>
  <c r="X314" i="16" s="1"/>
  <c r="P315" i="16"/>
  <c r="X315" i="16" s="1"/>
  <c r="P316" i="16"/>
  <c r="X316" i="16" s="1"/>
  <c r="P317" i="16"/>
  <c r="X317" i="16" s="1"/>
  <c r="P318" i="16"/>
  <c r="P319" i="16"/>
  <c r="P320" i="16"/>
  <c r="X320" i="16" s="1"/>
  <c r="P321" i="16"/>
  <c r="X321" i="16" s="1"/>
  <c r="P322" i="16"/>
  <c r="X322" i="16" s="1"/>
  <c r="P323" i="16"/>
  <c r="P324" i="16"/>
  <c r="P325" i="16"/>
  <c r="X325" i="16" s="1"/>
  <c r="P326" i="16"/>
  <c r="X326" i="16" s="1"/>
  <c r="P327" i="16"/>
  <c r="X327" i="16" s="1"/>
  <c r="P328" i="16"/>
  <c r="P329" i="16"/>
  <c r="P330" i="16"/>
  <c r="X330" i="16" s="1"/>
  <c r="P331" i="16"/>
  <c r="X331" i="16" s="1"/>
  <c r="P332" i="16"/>
  <c r="X332" i="16" s="1"/>
  <c r="P333" i="16"/>
  <c r="X333" i="16" s="1"/>
  <c r="P334" i="16"/>
  <c r="X334" i="16" s="1"/>
  <c r="P335" i="16"/>
  <c r="P336" i="16"/>
  <c r="P337" i="16"/>
  <c r="X337" i="16" s="1"/>
  <c r="P338" i="16"/>
  <c r="X338" i="16" s="1"/>
  <c r="P339" i="16"/>
  <c r="X339" i="16" s="1"/>
  <c r="P340" i="16"/>
  <c r="X340" i="16" s="1"/>
  <c r="P341" i="16"/>
  <c r="P342" i="16"/>
  <c r="P343" i="16"/>
  <c r="X343" i="16" s="1"/>
  <c r="P344" i="16"/>
  <c r="X344" i="16" s="1"/>
  <c r="P345" i="16"/>
  <c r="X345" i="16" s="1"/>
  <c r="P346" i="16"/>
  <c r="X346" i="16" s="1"/>
  <c r="P347" i="16"/>
  <c r="P348" i="16"/>
  <c r="P349" i="16"/>
  <c r="X349" i="16" s="1"/>
  <c r="P350" i="16"/>
  <c r="X350" i="16" s="1"/>
  <c r="P351" i="16"/>
  <c r="X351" i="16" s="1"/>
  <c r="P352" i="16"/>
  <c r="X352" i="16" s="1"/>
  <c r="P353" i="16"/>
  <c r="P354" i="16"/>
  <c r="P355" i="16"/>
  <c r="X355" i="16" s="1"/>
  <c r="P356" i="16"/>
  <c r="X356" i="16" s="1"/>
  <c r="P357" i="16"/>
  <c r="X357" i="16" s="1"/>
  <c r="P358" i="16"/>
  <c r="X358" i="16" s="1"/>
  <c r="P359" i="16"/>
  <c r="P360" i="16"/>
  <c r="P361" i="16"/>
  <c r="X361" i="16" s="1"/>
  <c r="P362" i="16"/>
  <c r="X362" i="16" s="1"/>
  <c r="P363" i="16"/>
  <c r="X363" i="16" s="1"/>
  <c r="P364" i="16"/>
  <c r="X364" i="16" s="1"/>
  <c r="P365" i="16"/>
  <c r="P366" i="16"/>
  <c r="P367" i="16"/>
  <c r="X367" i="16" s="1"/>
  <c r="P368" i="16"/>
  <c r="X368" i="16" s="1"/>
  <c r="P369" i="16"/>
  <c r="X369" i="16" s="1"/>
  <c r="P370" i="16"/>
  <c r="X370" i="16" s="1"/>
  <c r="P371" i="16"/>
  <c r="P372" i="16"/>
  <c r="X372" i="16" s="1"/>
  <c r="P373" i="16"/>
  <c r="X373" i="16" s="1"/>
  <c r="P374" i="16"/>
  <c r="X374" i="16" s="1"/>
  <c r="P375" i="16"/>
  <c r="X375" i="16" s="1"/>
  <c r="P376" i="16"/>
  <c r="X376" i="16" s="1"/>
  <c r="P377" i="16"/>
  <c r="X377" i="16" s="1"/>
  <c r="P378" i="16"/>
  <c r="P379" i="16"/>
  <c r="X379" i="16" s="1"/>
  <c r="P380" i="16"/>
  <c r="X380" i="16" s="1"/>
  <c r="P381" i="16"/>
  <c r="X381" i="16" s="1"/>
  <c r="P382" i="16"/>
  <c r="X382" i="16" s="1"/>
  <c r="P383" i="16"/>
  <c r="X383" i="16" s="1"/>
  <c r="P384" i="16"/>
  <c r="P385" i="16"/>
  <c r="X385" i="16" s="1"/>
  <c r="P386" i="16"/>
  <c r="X386" i="16" s="1"/>
  <c r="P387" i="16"/>
  <c r="X387" i="16" s="1"/>
  <c r="P388" i="16"/>
  <c r="X388" i="16" s="1"/>
  <c r="P389" i="16"/>
  <c r="X389" i="16" s="1"/>
  <c r="P390" i="16"/>
  <c r="P391" i="16"/>
  <c r="X391" i="16" s="1"/>
  <c r="P392" i="16"/>
  <c r="X392" i="16" s="1"/>
  <c r="P393" i="16"/>
  <c r="X393" i="16" s="1"/>
  <c r="P394" i="16"/>
  <c r="X394" i="16" s="1"/>
  <c r="P395" i="16"/>
  <c r="X395" i="16" s="1"/>
  <c r="P396" i="16"/>
  <c r="P397" i="16"/>
  <c r="X397" i="16" s="1"/>
  <c r="P398" i="16"/>
  <c r="X398" i="16" s="1"/>
  <c r="P399" i="16"/>
  <c r="X399" i="16" s="1"/>
  <c r="P400" i="16"/>
  <c r="X400" i="16" s="1"/>
  <c r="P401" i="16"/>
  <c r="X401" i="16" s="1"/>
  <c r="P402" i="16"/>
  <c r="P403" i="16"/>
  <c r="X403" i="16" s="1"/>
  <c r="P404" i="16"/>
  <c r="X404" i="16" s="1"/>
  <c r="P405" i="16"/>
  <c r="X405" i="16" s="1"/>
  <c r="P406" i="16"/>
  <c r="X406" i="16" s="1"/>
  <c r="P407" i="16"/>
  <c r="X407" i="16" s="1"/>
  <c r="P408" i="16"/>
  <c r="P409" i="16"/>
  <c r="P410" i="16"/>
  <c r="X410" i="16" s="1"/>
  <c r="P411" i="16"/>
  <c r="X411" i="16" s="1"/>
  <c r="P412" i="16"/>
  <c r="X412" i="16" s="1"/>
  <c r="P413" i="16"/>
  <c r="X413" i="16" s="1"/>
  <c r="P414" i="16"/>
  <c r="X414" i="16" s="1"/>
  <c r="P415" i="16"/>
  <c r="P416" i="16"/>
  <c r="P417" i="16"/>
  <c r="X417" i="16" s="1"/>
  <c r="P418" i="16"/>
  <c r="X418" i="16" s="1"/>
  <c r="P419" i="16"/>
  <c r="X419" i="16" s="1"/>
  <c r="P420" i="16"/>
  <c r="P421" i="16"/>
  <c r="P422" i="16"/>
  <c r="X422" i="16" s="1"/>
  <c r="P423" i="16"/>
  <c r="X423" i="16" s="1"/>
  <c r="P424" i="16"/>
  <c r="X424" i="16" s="1"/>
  <c r="P425" i="16"/>
  <c r="X425" i="16" s="1"/>
  <c r="P426" i="16"/>
  <c r="X426" i="16" s="1"/>
  <c r="P427" i="16"/>
  <c r="P428" i="16"/>
  <c r="P429" i="16"/>
  <c r="X429" i="16" s="1"/>
  <c r="P430" i="16"/>
  <c r="X430" i="16" s="1"/>
  <c r="P431" i="16"/>
  <c r="X431" i="16" s="1"/>
  <c r="P432" i="16"/>
  <c r="P433" i="16"/>
  <c r="X433" i="16" s="1"/>
  <c r="P434" i="16"/>
  <c r="X434" i="16" s="1"/>
  <c r="P435" i="16"/>
  <c r="X435" i="16" s="1"/>
  <c r="P436" i="16"/>
  <c r="X436" i="16" s="1"/>
  <c r="P437" i="16"/>
  <c r="X437" i="16" s="1"/>
  <c r="P438" i="16"/>
  <c r="P439" i="16"/>
  <c r="X439" i="16" s="1"/>
  <c r="P440" i="16"/>
  <c r="X440" i="16" s="1"/>
  <c r="P441" i="16"/>
  <c r="X441" i="16" s="1"/>
  <c r="P442" i="16"/>
  <c r="X442" i="16" s="1"/>
  <c r="P443" i="16"/>
  <c r="X443" i="16" s="1"/>
  <c r="P444" i="16"/>
  <c r="P445" i="16"/>
  <c r="X445" i="16" s="1"/>
  <c r="P446" i="16"/>
  <c r="X446" i="16" s="1"/>
  <c r="P447" i="16"/>
  <c r="X447" i="16" s="1"/>
  <c r="P448" i="16"/>
  <c r="X448" i="16" s="1"/>
  <c r="P449" i="16"/>
  <c r="X449" i="16" s="1"/>
  <c r="P450" i="16"/>
  <c r="P451" i="16"/>
  <c r="P452" i="16"/>
  <c r="X452" i="16" s="1"/>
  <c r="P453" i="16"/>
  <c r="X453" i="16" s="1"/>
  <c r="P454" i="16"/>
  <c r="X454" i="16" s="1"/>
  <c r="P455" i="16"/>
  <c r="X455" i="16" s="1"/>
  <c r="P456" i="16"/>
  <c r="X456" i="16" s="1"/>
  <c r="P457" i="16"/>
  <c r="X457" i="16" s="1"/>
  <c r="P458" i="16"/>
  <c r="X458" i="16" s="1"/>
  <c r="P459" i="16"/>
  <c r="P460" i="16"/>
  <c r="P461" i="16"/>
  <c r="X461" i="16" s="1"/>
  <c r="P462" i="16"/>
  <c r="X462" i="16" s="1"/>
  <c r="P463" i="16"/>
  <c r="X463" i="16" s="1"/>
  <c r="P464" i="16"/>
  <c r="P465" i="16"/>
  <c r="P466" i="16"/>
  <c r="X466" i="16" s="1"/>
  <c r="P467" i="16"/>
  <c r="X467" i="16" s="1"/>
  <c r="P468" i="16"/>
  <c r="X468" i="16" s="1"/>
  <c r="P469" i="16"/>
  <c r="P470" i="16"/>
  <c r="P471" i="16"/>
  <c r="X471" i="16" s="1"/>
  <c r="P472" i="16"/>
  <c r="X472" i="16" s="1"/>
  <c r="P473" i="16"/>
  <c r="X473" i="16" s="1"/>
  <c r="P474" i="16"/>
  <c r="X474" i="16" s="1"/>
  <c r="P475" i="16"/>
  <c r="X475" i="16" s="1"/>
  <c r="P476" i="16"/>
  <c r="P477" i="16"/>
  <c r="P478" i="16"/>
  <c r="X478" i="16" s="1"/>
  <c r="P479" i="16"/>
  <c r="X479" i="16" s="1"/>
  <c r="P480" i="16"/>
  <c r="X480" i="16" s="1"/>
  <c r="P481" i="16"/>
  <c r="X481" i="16" s="1"/>
  <c r="P482" i="16"/>
  <c r="X482" i="16" s="1"/>
  <c r="P483" i="16"/>
  <c r="P484" i="16"/>
  <c r="P485" i="16"/>
  <c r="X485" i="16" s="1"/>
  <c r="P486" i="16"/>
  <c r="X486" i="16" s="1"/>
  <c r="P487" i="16"/>
  <c r="X487" i="16" s="1"/>
  <c r="P488" i="16"/>
  <c r="X488" i="16" s="1"/>
  <c r="P489" i="16"/>
  <c r="X489" i="16" s="1"/>
  <c r="P490" i="16"/>
  <c r="P491" i="16"/>
  <c r="P492" i="16"/>
  <c r="X492" i="16" s="1"/>
  <c r="P493" i="16"/>
  <c r="X493" i="16" s="1"/>
  <c r="P494" i="16"/>
  <c r="X494" i="16" s="1"/>
  <c r="P495" i="16"/>
  <c r="X495" i="16" s="1"/>
  <c r="P496" i="16"/>
  <c r="X496" i="16" s="1"/>
  <c r="P497" i="16"/>
  <c r="P498" i="16"/>
  <c r="X498" i="16" s="1"/>
  <c r="P499" i="16"/>
  <c r="X499" i="16" s="1"/>
  <c r="P500" i="16"/>
  <c r="X500" i="16" s="1"/>
  <c r="P501" i="16"/>
  <c r="X501" i="16" s="1"/>
  <c r="P502" i="16"/>
  <c r="X502" i="16" s="1"/>
  <c r="P503" i="16"/>
  <c r="P504" i="16"/>
  <c r="X504" i="16" s="1"/>
  <c r="P505" i="16"/>
  <c r="X505" i="16" s="1"/>
  <c r="P506" i="16"/>
  <c r="X506" i="16" s="1"/>
  <c r="P507" i="16"/>
  <c r="X507" i="16" s="1"/>
  <c r="P508" i="16"/>
  <c r="X508" i="16" s="1"/>
  <c r="P509" i="16"/>
  <c r="P510" i="16"/>
  <c r="X510" i="16" s="1"/>
  <c r="P511" i="16"/>
  <c r="X511" i="16" s="1"/>
  <c r="P512" i="16"/>
  <c r="X512" i="16" s="1"/>
  <c r="P513" i="16"/>
  <c r="X513" i="16" s="1"/>
  <c r="P514" i="16"/>
  <c r="X514" i="16" s="1"/>
  <c r="P515" i="16"/>
  <c r="P516" i="16"/>
  <c r="X516" i="16" s="1"/>
  <c r="P517" i="16"/>
  <c r="X517" i="16" s="1"/>
  <c r="P518" i="16"/>
  <c r="X518" i="16" s="1"/>
  <c r="P519" i="16"/>
  <c r="X519" i="16" s="1"/>
  <c r="P520" i="16"/>
  <c r="X520" i="16" s="1"/>
  <c r="P521" i="16"/>
  <c r="P522" i="16"/>
  <c r="X522" i="16" s="1"/>
  <c r="P523" i="16"/>
  <c r="X523" i="16" s="1"/>
  <c r="P524" i="16"/>
  <c r="X524" i="16" s="1"/>
  <c r="P525" i="16"/>
  <c r="X525" i="16" s="1"/>
  <c r="P526" i="16"/>
  <c r="X526" i="16" s="1"/>
  <c r="P527" i="16"/>
  <c r="P528" i="16"/>
  <c r="X528" i="16" s="1"/>
  <c r="P529" i="16"/>
  <c r="X529" i="16" s="1"/>
  <c r="P530" i="16"/>
  <c r="X530" i="16" s="1"/>
  <c r="P531" i="16"/>
  <c r="X531" i="16" s="1"/>
  <c r="P532" i="16"/>
  <c r="X532" i="16" s="1"/>
  <c r="P533" i="16"/>
  <c r="P534" i="16"/>
  <c r="X534" i="16" s="1"/>
  <c r="P535" i="16"/>
  <c r="X535" i="16" s="1"/>
  <c r="P536" i="16"/>
  <c r="X536" i="16" s="1"/>
  <c r="P537" i="16"/>
  <c r="X537" i="16" s="1"/>
  <c r="P538" i="16"/>
  <c r="X538" i="16" s="1"/>
  <c r="P539" i="16"/>
  <c r="X539" i="16" s="1"/>
  <c r="P540" i="16"/>
  <c r="P541" i="16"/>
  <c r="X541" i="16" s="1"/>
  <c r="P542" i="16"/>
  <c r="X542" i="16" s="1"/>
  <c r="P543" i="16"/>
  <c r="X543" i="16" s="1"/>
  <c r="P544" i="16"/>
  <c r="X544" i="16" s="1"/>
  <c r="P545" i="16"/>
  <c r="X545" i="16" s="1"/>
  <c r="P546" i="16"/>
  <c r="X546" i="16" s="1"/>
  <c r="P547" i="16"/>
  <c r="P548" i="16"/>
  <c r="X548" i="16" s="1"/>
  <c r="P549" i="16"/>
  <c r="X549" i="16" s="1"/>
  <c r="P550" i="16"/>
  <c r="X550" i="16" s="1"/>
  <c r="P551" i="16"/>
  <c r="X551" i="16" s="1"/>
  <c r="P552" i="16"/>
  <c r="X552" i="16" s="1"/>
  <c r="P553" i="16"/>
  <c r="P554" i="16"/>
  <c r="X554" i="16" s="1"/>
  <c r="P555" i="16"/>
  <c r="X555" i="16" s="1"/>
  <c r="P556" i="16"/>
  <c r="X556" i="16" s="1"/>
  <c r="P557" i="16"/>
  <c r="X557" i="16" s="1"/>
  <c r="P558" i="16"/>
  <c r="X558" i="16" s="1"/>
  <c r="P559" i="16"/>
  <c r="P560" i="16"/>
  <c r="X560" i="16" s="1"/>
  <c r="P561" i="16"/>
  <c r="X561" i="16" s="1"/>
  <c r="P562" i="16"/>
  <c r="X562" i="16" s="1"/>
  <c r="P563" i="16"/>
  <c r="X563" i="16" s="1"/>
  <c r="P564" i="16"/>
  <c r="X564" i="16" s="1"/>
  <c r="P565" i="16"/>
  <c r="P566" i="16"/>
  <c r="X566" i="16" s="1"/>
  <c r="P567" i="16"/>
  <c r="X567" i="16" s="1"/>
  <c r="P568" i="16"/>
  <c r="X568" i="16" s="1"/>
  <c r="P569" i="16"/>
  <c r="X569" i="16" s="1"/>
  <c r="P570" i="16"/>
  <c r="X570" i="16" s="1"/>
  <c r="P571" i="16"/>
  <c r="P572" i="16"/>
  <c r="X572" i="16" s="1"/>
  <c r="P573" i="16"/>
  <c r="X573" i="16" s="1"/>
  <c r="P574" i="16"/>
  <c r="X574" i="16" s="1"/>
  <c r="P575" i="16"/>
  <c r="X575" i="16" s="1"/>
  <c r="P576" i="16"/>
  <c r="X576" i="16" s="1"/>
  <c r="P577" i="16"/>
  <c r="P578" i="16"/>
  <c r="P579" i="16"/>
  <c r="X579" i="16" s="1"/>
  <c r="P580" i="16"/>
  <c r="X580" i="16" s="1"/>
  <c r="P581" i="16"/>
  <c r="X581" i="16" s="1"/>
  <c r="P582" i="16"/>
  <c r="X582" i="16" s="1"/>
  <c r="P583" i="16"/>
  <c r="X583" i="16" s="1"/>
  <c r="P584" i="16"/>
  <c r="P585" i="16"/>
  <c r="P586" i="16"/>
  <c r="X586" i="16" s="1"/>
  <c r="P587" i="16"/>
  <c r="X587" i="16" s="1"/>
  <c r="P588" i="16"/>
  <c r="X588" i="16" s="1"/>
  <c r="P589" i="16"/>
  <c r="P590" i="16"/>
  <c r="P591" i="16"/>
  <c r="X591" i="16" s="1"/>
  <c r="P592" i="16"/>
  <c r="X592" i="16" s="1"/>
  <c r="P593" i="16"/>
  <c r="X593" i="16" s="1"/>
  <c r="P594" i="16"/>
  <c r="P595" i="16"/>
  <c r="P596" i="16"/>
  <c r="X596" i="16" s="1"/>
  <c r="P597" i="16"/>
  <c r="X597" i="16" s="1"/>
  <c r="P598" i="16"/>
  <c r="X598" i="16" s="1"/>
  <c r="P599" i="16"/>
  <c r="X599" i="16" s="1"/>
  <c r="P600" i="16"/>
  <c r="X600" i="16" s="1"/>
  <c r="P601" i="16"/>
  <c r="P602" i="16"/>
  <c r="P603" i="16"/>
  <c r="P604" i="16"/>
  <c r="P605" i="16"/>
  <c r="P606" i="16"/>
  <c r="P607" i="16"/>
  <c r="X607" i="16" s="1"/>
  <c r="P608" i="16"/>
  <c r="X608" i="16" s="1"/>
  <c r="P609" i="16"/>
  <c r="X609" i="16" s="1"/>
  <c r="P610" i="16"/>
  <c r="X610" i="16" s="1"/>
  <c r="P611" i="16"/>
  <c r="P612" i="16"/>
  <c r="P613" i="16"/>
  <c r="X613" i="16" s="1"/>
  <c r="P614" i="16"/>
  <c r="X614" i="16" s="1"/>
  <c r="P615" i="16"/>
  <c r="X615" i="16" s="1"/>
  <c r="P616" i="16"/>
  <c r="X616" i="16" s="1"/>
  <c r="P617" i="16"/>
  <c r="P618" i="16"/>
  <c r="X618" i="16" s="1"/>
  <c r="P619" i="16"/>
  <c r="X619" i="16" s="1"/>
  <c r="P620" i="16"/>
  <c r="X620" i="16" s="1"/>
  <c r="P621" i="16"/>
  <c r="X621" i="16" s="1"/>
  <c r="P622" i="16"/>
  <c r="X622" i="16" s="1"/>
  <c r="P623" i="16"/>
  <c r="P624" i="16"/>
  <c r="X624" i="16" s="1"/>
  <c r="P625" i="16"/>
  <c r="X625" i="16" s="1"/>
  <c r="P626" i="16"/>
  <c r="X626" i="16" s="1"/>
  <c r="P627" i="16"/>
  <c r="X627" i="16" s="1"/>
  <c r="P628" i="16"/>
  <c r="X628" i="16" s="1"/>
  <c r="P629" i="16"/>
  <c r="P630" i="16"/>
  <c r="X630" i="16" s="1"/>
  <c r="P631" i="16"/>
  <c r="X631" i="16" s="1"/>
  <c r="P632" i="16"/>
  <c r="X632" i="16" s="1"/>
  <c r="P633" i="16"/>
  <c r="X633" i="16" s="1"/>
  <c r="P634" i="16"/>
  <c r="X634" i="16" s="1"/>
  <c r="P635" i="16"/>
  <c r="P636" i="16"/>
  <c r="X636" i="16" s="1"/>
  <c r="P637" i="16"/>
  <c r="X637" i="16" s="1"/>
  <c r="P638" i="16"/>
  <c r="X638" i="16" s="1"/>
  <c r="P639" i="16"/>
  <c r="X639" i="16" s="1"/>
  <c r="P640" i="16"/>
  <c r="X640" i="16" s="1"/>
  <c r="P641" i="16"/>
  <c r="P642" i="16"/>
  <c r="X642" i="16" s="1"/>
  <c r="P643" i="16"/>
  <c r="X643" i="16" s="1"/>
  <c r="P644" i="16"/>
  <c r="X644" i="16" s="1"/>
  <c r="P645" i="16"/>
  <c r="X645" i="16" s="1"/>
  <c r="P646" i="16"/>
  <c r="X646" i="16" s="1"/>
  <c r="P647" i="16"/>
  <c r="P648" i="16"/>
  <c r="X648" i="16" s="1"/>
  <c r="P649" i="16"/>
  <c r="X649" i="16" s="1"/>
  <c r="P650" i="16"/>
  <c r="X650" i="16" s="1"/>
  <c r="P651" i="16"/>
  <c r="X651" i="16" s="1"/>
  <c r="P652" i="16"/>
  <c r="X652" i="16" s="1"/>
  <c r="P653" i="16"/>
  <c r="P654" i="16"/>
  <c r="P655" i="16"/>
  <c r="X655" i="16" s="1"/>
  <c r="P656" i="16"/>
  <c r="X656" i="16" s="1"/>
  <c r="P657" i="16"/>
  <c r="X657" i="16" s="1"/>
  <c r="P658" i="16"/>
  <c r="X658" i="16" s="1"/>
  <c r="P659" i="16"/>
  <c r="P660" i="16"/>
  <c r="P661" i="16"/>
  <c r="X661" i="16" s="1"/>
  <c r="P662" i="16"/>
  <c r="X662" i="16" s="1"/>
  <c r="P663" i="16"/>
  <c r="X663" i="16" s="1"/>
  <c r="P664" i="16"/>
  <c r="X664" i="16" s="1"/>
  <c r="P665" i="16"/>
  <c r="P666" i="16"/>
  <c r="P667" i="16"/>
  <c r="X667" i="16" s="1"/>
  <c r="P668" i="16"/>
  <c r="X668" i="16" s="1"/>
  <c r="P669" i="16"/>
  <c r="X669" i="16" s="1"/>
  <c r="P670" i="16"/>
  <c r="X670" i="16" s="1"/>
  <c r="P671" i="16"/>
  <c r="P672" i="16"/>
  <c r="P673" i="16"/>
  <c r="X673" i="16" s="1"/>
  <c r="P674" i="16"/>
  <c r="X674" i="16" s="1"/>
  <c r="P675" i="16"/>
  <c r="X675" i="16" s="1"/>
  <c r="P676" i="16"/>
  <c r="X676" i="16" s="1"/>
  <c r="P677" i="16"/>
  <c r="P678" i="16"/>
  <c r="X678" i="16" s="1"/>
  <c r="P679" i="16"/>
  <c r="X679" i="16" s="1"/>
  <c r="P680" i="16"/>
  <c r="X680" i="16" s="1"/>
  <c r="P681" i="16"/>
  <c r="X681" i="16" s="1"/>
  <c r="P682" i="16"/>
  <c r="X682" i="16" s="1"/>
  <c r="P683" i="16"/>
  <c r="P684" i="16"/>
  <c r="X684" i="16" s="1"/>
  <c r="P685" i="16"/>
  <c r="X685" i="16" s="1"/>
  <c r="P686" i="16"/>
  <c r="X686" i="16" s="1"/>
  <c r="P687" i="16"/>
  <c r="X687" i="16" s="1"/>
  <c r="P688" i="16"/>
  <c r="X688" i="16" s="1"/>
  <c r="P689" i="16"/>
  <c r="P690" i="16"/>
  <c r="X690" i="16" s="1"/>
  <c r="P691" i="16"/>
  <c r="X691" i="16" s="1"/>
  <c r="P692" i="16"/>
  <c r="X692" i="16" s="1"/>
  <c r="P693" i="16"/>
  <c r="X693" i="16" s="1"/>
  <c r="P694" i="16"/>
  <c r="X694" i="16" s="1"/>
  <c r="P695" i="16"/>
  <c r="P696" i="16"/>
  <c r="X696" i="16" s="1"/>
  <c r="P697" i="16"/>
  <c r="X697" i="16" s="1"/>
  <c r="P698" i="16"/>
  <c r="X698" i="16" s="1"/>
  <c r="P699" i="16"/>
  <c r="X699" i="16" s="1"/>
  <c r="P700" i="16"/>
  <c r="X700" i="16" s="1"/>
  <c r="P701" i="16"/>
  <c r="P702" i="16"/>
  <c r="X702" i="16" s="1"/>
  <c r="P703" i="16"/>
  <c r="X703" i="16" s="1"/>
  <c r="P704" i="16"/>
  <c r="X704" i="16" s="1"/>
  <c r="P705" i="16"/>
  <c r="X705" i="16" s="1"/>
  <c r="P706" i="16"/>
  <c r="X706" i="16" s="1"/>
  <c r="P707" i="16"/>
  <c r="P708" i="16"/>
  <c r="X708" i="16" s="1"/>
  <c r="P709" i="16"/>
  <c r="X709" i="16" s="1"/>
  <c r="P710" i="16"/>
  <c r="X710" i="16" s="1"/>
  <c r="P711" i="16"/>
  <c r="X711" i="16" s="1"/>
  <c r="P712" i="16"/>
  <c r="X712" i="16" s="1"/>
  <c r="P713" i="16"/>
  <c r="P714" i="16"/>
  <c r="P715" i="16"/>
  <c r="X715" i="16" s="1"/>
  <c r="P716" i="16"/>
  <c r="X716" i="16" s="1"/>
  <c r="P717" i="16"/>
  <c r="X717" i="16" s="1"/>
  <c r="P718" i="16"/>
  <c r="X718" i="16" s="1"/>
  <c r="P719" i="16"/>
  <c r="P720" i="16"/>
  <c r="P721" i="16"/>
  <c r="X721" i="16" s="1"/>
  <c r="P722" i="16"/>
  <c r="X722" i="16" s="1"/>
  <c r="P723" i="16"/>
  <c r="X723" i="16" s="1"/>
  <c r="P724" i="16"/>
  <c r="X724" i="16" s="1"/>
  <c r="P725" i="16"/>
  <c r="P726" i="16"/>
  <c r="P727" i="16"/>
  <c r="X727" i="16" s="1"/>
  <c r="P728" i="16"/>
  <c r="X728" i="16" s="1"/>
  <c r="P729" i="16"/>
  <c r="X729" i="16" s="1"/>
  <c r="P730" i="16"/>
  <c r="X730" i="16" s="1"/>
  <c r="P731" i="16"/>
  <c r="P732" i="16"/>
  <c r="P733" i="16"/>
  <c r="X733" i="16" s="1"/>
  <c r="P734" i="16"/>
  <c r="X734" i="16" s="1"/>
  <c r="P735" i="16"/>
  <c r="X735" i="16" s="1"/>
  <c r="P736" i="16"/>
  <c r="X736" i="16" s="1"/>
  <c r="P737" i="16"/>
  <c r="P738" i="16"/>
  <c r="P739" i="16"/>
  <c r="X739" i="16" s="1"/>
  <c r="P740" i="16"/>
  <c r="X740" i="16" s="1"/>
  <c r="P741" i="16"/>
  <c r="X741" i="16" s="1"/>
  <c r="P742" i="16"/>
  <c r="X742" i="16" s="1"/>
  <c r="P743" i="16"/>
  <c r="P744" i="16"/>
  <c r="P745" i="16"/>
  <c r="X745" i="16" s="1"/>
  <c r="P746" i="16"/>
  <c r="X746" i="16" s="1"/>
  <c r="P747" i="16"/>
  <c r="X747" i="16" s="1"/>
  <c r="P748" i="16"/>
  <c r="X748" i="16" s="1"/>
  <c r="P749" i="16"/>
  <c r="P750" i="16"/>
  <c r="P751" i="16"/>
  <c r="X751" i="16" s="1"/>
  <c r="P752" i="16"/>
  <c r="X752" i="16" s="1"/>
  <c r="P753" i="16"/>
  <c r="X753" i="16" s="1"/>
  <c r="P754" i="16"/>
  <c r="X754" i="16" s="1"/>
  <c r="P755" i="16"/>
  <c r="X755" i="16" s="1"/>
  <c r="P756" i="16"/>
  <c r="X756" i="16" s="1"/>
  <c r="P757" i="16"/>
  <c r="X757" i="16" s="1"/>
  <c r="P758" i="16"/>
  <c r="P759" i="16"/>
  <c r="P760" i="16"/>
  <c r="X760" i="16" s="1"/>
  <c r="P761" i="16"/>
  <c r="X761" i="16" s="1"/>
  <c r="P762" i="16"/>
  <c r="P763" i="16"/>
  <c r="P764" i="16"/>
  <c r="X764" i="16" s="1"/>
  <c r="P765" i="16"/>
  <c r="X765" i="16" s="1"/>
  <c r="P766" i="16"/>
  <c r="P767" i="16"/>
  <c r="P768" i="16"/>
  <c r="X768" i="16" s="1"/>
  <c r="P769" i="16"/>
  <c r="X769" i="16" s="1"/>
  <c r="P770" i="16"/>
  <c r="X770" i="16" s="1"/>
  <c r="P771" i="16"/>
  <c r="X771" i="16" s="1"/>
  <c r="P772" i="16"/>
  <c r="X772" i="16" s="1"/>
  <c r="P773" i="16"/>
  <c r="P774" i="16"/>
  <c r="P775" i="16"/>
  <c r="X775" i="16" s="1"/>
  <c r="P776" i="16"/>
  <c r="X776" i="16" s="1"/>
  <c r="P777" i="16"/>
  <c r="X777" i="16" s="1"/>
  <c r="P778" i="16"/>
  <c r="X778" i="16" s="1"/>
  <c r="P779" i="16"/>
  <c r="X779" i="16" s="1"/>
  <c r="P780" i="16"/>
  <c r="P781" i="16"/>
  <c r="P782" i="16"/>
  <c r="X782" i="16" s="1"/>
  <c r="P783" i="16"/>
  <c r="X783" i="16" s="1"/>
  <c r="P784" i="16"/>
  <c r="X784" i="16" s="1"/>
  <c r="P785" i="16"/>
  <c r="P786" i="16"/>
  <c r="P787" i="16"/>
  <c r="X787" i="16" s="1"/>
  <c r="P788" i="16"/>
  <c r="X788" i="16" s="1"/>
  <c r="P789" i="16"/>
  <c r="X789" i="16" s="1"/>
  <c r="P790" i="16"/>
  <c r="P791" i="16"/>
  <c r="P792" i="16"/>
  <c r="X792" i="16" s="1"/>
  <c r="P793" i="16"/>
  <c r="X793" i="16" s="1"/>
  <c r="P794" i="16"/>
  <c r="X794" i="16" s="1"/>
  <c r="P795" i="16"/>
  <c r="X795" i="16" s="1"/>
  <c r="P796" i="16"/>
  <c r="P797" i="16"/>
  <c r="P798" i="16"/>
  <c r="X798" i="16" s="1"/>
  <c r="P799" i="16"/>
  <c r="X799" i="16" s="1"/>
  <c r="P800" i="16"/>
  <c r="X800" i="16" s="1"/>
  <c r="P801" i="16"/>
  <c r="X801" i="16" s="1"/>
  <c r="P802" i="16"/>
  <c r="X802" i="16" s="1"/>
  <c r="P803" i="16"/>
  <c r="P804" i="16"/>
  <c r="P805" i="16"/>
  <c r="X805" i="16" s="1"/>
  <c r="P806" i="16"/>
  <c r="X806" i="16" s="1"/>
  <c r="P807" i="16"/>
  <c r="X807" i="16" s="1"/>
  <c r="P808" i="16"/>
  <c r="X808" i="16" s="1"/>
  <c r="P809" i="16"/>
  <c r="P810" i="16"/>
  <c r="P811" i="16"/>
  <c r="X811" i="16" s="1"/>
  <c r="P812" i="16"/>
  <c r="X812" i="16" s="1"/>
  <c r="P813" i="16"/>
  <c r="X813" i="16" s="1"/>
  <c r="P814" i="16"/>
  <c r="X814" i="16" s="1"/>
  <c r="P815" i="16"/>
  <c r="X815" i="16" s="1"/>
  <c r="P816" i="16"/>
  <c r="P817" i="16"/>
  <c r="X817" i="16" s="1"/>
  <c r="P818" i="16"/>
  <c r="X818" i="16" s="1"/>
  <c r="P819" i="16"/>
  <c r="X819" i="16" s="1"/>
  <c r="P820" i="16"/>
  <c r="X820" i="16" s="1"/>
  <c r="P821" i="16"/>
  <c r="X821" i="16" s="1"/>
  <c r="P822" i="16"/>
  <c r="P823" i="16"/>
  <c r="X823" i="16" s="1"/>
  <c r="P824" i="16"/>
  <c r="X824" i="16" s="1"/>
  <c r="P825" i="16"/>
  <c r="X825" i="16" s="1"/>
  <c r="P826" i="16"/>
  <c r="X826" i="16" s="1"/>
  <c r="P827" i="16"/>
  <c r="X827" i="16" s="1"/>
  <c r="P828" i="16"/>
  <c r="P829" i="16"/>
  <c r="X829" i="16" s="1"/>
  <c r="P830" i="16"/>
  <c r="X830" i="16" s="1"/>
  <c r="P831" i="16"/>
  <c r="X831" i="16" s="1"/>
  <c r="P832" i="16"/>
  <c r="X832" i="16" s="1"/>
  <c r="P833" i="16"/>
  <c r="X833" i="16" s="1"/>
  <c r="P834" i="16"/>
  <c r="P835" i="16"/>
  <c r="P836" i="16"/>
  <c r="X836" i="16" s="1"/>
  <c r="P837" i="16"/>
  <c r="X837" i="16" s="1"/>
  <c r="P838" i="16"/>
  <c r="X838" i="16" s="1"/>
  <c r="P839" i="16"/>
  <c r="X839" i="16" s="1"/>
  <c r="P840" i="16"/>
  <c r="X840" i="16" s="1"/>
  <c r="P841" i="16"/>
  <c r="P842" i="16"/>
  <c r="P843" i="16"/>
  <c r="X843" i="16" s="1"/>
  <c r="P844" i="16"/>
  <c r="X844" i="16" s="1"/>
  <c r="P845" i="16"/>
  <c r="X845" i="16" s="1"/>
  <c r="P846" i="16"/>
  <c r="P847" i="16"/>
  <c r="P848" i="16"/>
  <c r="X848" i="16" s="1"/>
  <c r="P849" i="16"/>
  <c r="X849" i="16" s="1"/>
  <c r="P850" i="16"/>
  <c r="X850" i="16" s="1"/>
  <c r="P851" i="16"/>
  <c r="P852" i="16"/>
  <c r="P853" i="16"/>
  <c r="X853" i="16" s="1"/>
  <c r="P854" i="16"/>
  <c r="X854" i="16" s="1"/>
  <c r="P855" i="16"/>
  <c r="X855" i="16" s="1"/>
  <c r="P856" i="16"/>
  <c r="X856" i="16" s="1"/>
  <c r="P857" i="16"/>
  <c r="X857" i="16" s="1"/>
  <c r="P858" i="16"/>
  <c r="P859" i="16"/>
  <c r="P860" i="16"/>
  <c r="X860" i="16" s="1"/>
  <c r="P861" i="16"/>
  <c r="X861" i="16" s="1"/>
  <c r="P862" i="16"/>
  <c r="X862" i="16" s="1"/>
  <c r="P863" i="16"/>
  <c r="X863" i="16" s="1"/>
  <c r="P864" i="16"/>
  <c r="X864" i="16" s="1"/>
  <c r="P865" i="16"/>
  <c r="X865" i="16" s="1"/>
  <c r="P866" i="16"/>
  <c r="X866" i="16" s="1"/>
  <c r="P867" i="16"/>
  <c r="P868" i="16"/>
  <c r="P869" i="16"/>
  <c r="X869" i="16" s="1"/>
  <c r="P870" i="16"/>
  <c r="X870" i="16" s="1"/>
  <c r="P871" i="16"/>
  <c r="X871" i="16" s="1"/>
  <c r="P872" i="16"/>
  <c r="P873" i="16"/>
  <c r="P874" i="16"/>
  <c r="X874" i="16" s="1"/>
  <c r="P875" i="16"/>
  <c r="X875" i="16" s="1"/>
  <c r="P876" i="16"/>
  <c r="X876" i="16" s="1"/>
  <c r="P877" i="16"/>
  <c r="X877" i="16" s="1"/>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W1" i="16"/>
  <c r="W2" i="16"/>
  <c r="U1" i="16"/>
  <c r="U2" i="16"/>
  <c r="S1" i="16"/>
  <c r="S2" i="16"/>
  <c r="R1" i="16"/>
  <c r="R2" i="16"/>
  <c r="Q1" i="16"/>
  <c r="P1" i="16"/>
  <c r="P2" i="16"/>
  <c r="T138" i="16" l="1"/>
  <c r="T122" i="16"/>
  <c r="T90" i="16"/>
  <c r="T74" i="16"/>
  <c r="T58" i="16"/>
  <c r="T42" i="16"/>
  <c r="T26" i="16"/>
  <c r="T10" i="16"/>
  <c r="T146" i="16"/>
  <c r="T130" i="16"/>
  <c r="T114" i="16"/>
  <c r="T98" i="16"/>
  <c r="T50" i="16"/>
  <c r="T34" i="16"/>
  <c r="T18" i="16"/>
  <c r="X842" i="16"/>
  <c r="W841" i="16"/>
  <c r="X810" i="16"/>
  <c r="W809" i="16"/>
  <c r="X786" i="16"/>
  <c r="W785" i="16"/>
  <c r="X738" i="16"/>
  <c r="W737" i="16"/>
  <c r="X714" i="16"/>
  <c r="W713" i="16"/>
  <c r="W665" i="16"/>
  <c r="X666" i="16"/>
  <c r="X578" i="16"/>
  <c r="W577" i="16"/>
  <c r="X873" i="16"/>
  <c r="T873" i="16" s="1"/>
  <c r="W872" i="16"/>
  <c r="X585" i="16"/>
  <c r="W584" i="16"/>
  <c r="X465" i="16"/>
  <c r="W464" i="16"/>
  <c r="W743" i="16"/>
  <c r="X744" i="16"/>
  <c r="X720" i="16"/>
  <c r="W719" i="16"/>
  <c r="X672" i="16"/>
  <c r="W671" i="16"/>
  <c r="X416" i="16"/>
  <c r="W415" i="16"/>
  <c r="X360" i="16"/>
  <c r="W359" i="16"/>
  <c r="X336" i="16"/>
  <c r="W335" i="16"/>
  <c r="X312" i="16"/>
  <c r="W311" i="16"/>
  <c r="X288" i="16"/>
  <c r="W287" i="16"/>
  <c r="W846" i="16"/>
  <c r="X847" i="16"/>
  <c r="W790" i="16"/>
  <c r="X791" i="16"/>
  <c r="W766" i="16"/>
  <c r="X767" i="16"/>
  <c r="W758" i="16"/>
  <c r="X759" i="16"/>
  <c r="T759" i="16" s="1"/>
  <c r="X319" i="16"/>
  <c r="W318" i="16"/>
  <c r="X774" i="16"/>
  <c r="W773" i="16"/>
  <c r="X750" i="16"/>
  <c r="W749" i="16"/>
  <c r="X726" i="16"/>
  <c r="W725" i="16"/>
  <c r="X654" i="16"/>
  <c r="W653" i="16"/>
  <c r="X606" i="16"/>
  <c r="W605" i="16"/>
  <c r="X590" i="16"/>
  <c r="W589" i="16"/>
  <c r="X470" i="16"/>
  <c r="W469" i="16"/>
  <c r="X797" i="16"/>
  <c r="W796" i="16"/>
  <c r="X781" i="16"/>
  <c r="W780" i="16"/>
  <c r="X477" i="16"/>
  <c r="W476" i="16"/>
  <c r="X421" i="16"/>
  <c r="W420" i="16"/>
  <c r="X868" i="16"/>
  <c r="W867" i="16"/>
  <c r="X852" i="16"/>
  <c r="W851" i="16"/>
  <c r="X804" i="16"/>
  <c r="T804" i="16" s="1"/>
  <c r="W803" i="16"/>
  <c r="X732" i="16"/>
  <c r="W731" i="16"/>
  <c r="X660" i="16"/>
  <c r="W659" i="16"/>
  <c r="W611" i="16"/>
  <c r="X612" i="16"/>
  <c r="W483" i="16"/>
  <c r="X484" i="16"/>
  <c r="X460" i="16"/>
  <c r="W459" i="16"/>
  <c r="W427" i="16"/>
  <c r="X428" i="16"/>
  <c r="X348" i="16"/>
  <c r="W347" i="16"/>
  <c r="W323" i="16"/>
  <c r="X324" i="16"/>
  <c r="X300" i="16"/>
  <c r="W299" i="16"/>
  <c r="X859" i="16"/>
  <c r="W858" i="16"/>
  <c r="X835" i="16"/>
  <c r="T835" i="16" s="1"/>
  <c r="W834" i="16"/>
  <c r="X763" i="16"/>
  <c r="T763" i="16" s="1"/>
  <c r="W762" i="16"/>
  <c r="W594" i="16"/>
  <c r="X595" i="16"/>
  <c r="X491" i="16"/>
  <c r="T491" i="16" s="1"/>
  <c r="W490" i="16"/>
  <c r="X451" i="16"/>
  <c r="W450" i="16"/>
  <c r="X354" i="16"/>
  <c r="W353" i="16"/>
  <c r="X306" i="16"/>
  <c r="W305" i="16"/>
  <c r="X154" i="16"/>
  <c r="W153" i="16"/>
  <c r="X106" i="16"/>
  <c r="T106" i="16" s="1"/>
  <c r="W105" i="16"/>
  <c r="X66" i="16"/>
  <c r="T66" i="16" s="1"/>
  <c r="W65" i="16"/>
  <c r="T869" i="16"/>
  <c r="T861" i="16"/>
  <c r="T853" i="16"/>
  <c r="T845" i="16"/>
  <c r="T837" i="16"/>
  <c r="T829" i="16"/>
  <c r="T821" i="16"/>
  <c r="T813" i="16"/>
  <c r="T805" i="16"/>
  <c r="T797" i="16"/>
  <c r="T789" i="16"/>
  <c r="T781" i="16"/>
  <c r="T765" i="16"/>
  <c r="T757" i="16"/>
  <c r="T741" i="16"/>
  <c r="T733" i="16"/>
  <c r="T717" i="16"/>
  <c r="T709" i="16"/>
  <c r="T693" i="16"/>
  <c r="T685" i="16"/>
  <c r="T669" i="16"/>
  <c r="T661" i="16"/>
  <c r="T645" i="16"/>
  <c r="T637" i="16"/>
  <c r="T621" i="16"/>
  <c r="T613" i="16"/>
  <c r="T597" i="16"/>
  <c r="T581" i="16"/>
  <c r="T573" i="16"/>
  <c r="T557" i="16"/>
  <c r="T549" i="16"/>
  <c r="T541" i="16"/>
  <c r="X409" i="16"/>
  <c r="W408" i="16"/>
  <c r="X329" i="16"/>
  <c r="W328" i="16"/>
  <c r="X89" i="16"/>
  <c r="W88" i="16"/>
  <c r="T876" i="16"/>
  <c r="T860" i="16"/>
  <c r="T852" i="16"/>
  <c r="T844" i="16"/>
  <c r="T836" i="16"/>
  <c r="T820" i="16"/>
  <c r="T812" i="16"/>
  <c r="T788" i="16"/>
  <c r="T772" i="16"/>
  <c r="T764" i="16"/>
  <c r="T756" i="16"/>
  <c r="T748" i="16"/>
  <c r="T740" i="16"/>
  <c r="T732" i="16"/>
  <c r="T724" i="16"/>
  <c r="T716" i="16"/>
  <c r="T708" i="16"/>
  <c r="T700" i="16"/>
  <c r="T692" i="16"/>
  <c r="T684" i="16"/>
  <c r="T676" i="16"/>
  <c r="T668" i="16"/>
  <c r="T660" i="16"/>
  <c r="T652" i="16"/>
  <c r="T644" i="16"/>
  <c r="T636" i="16"/>
  <c r="T628" i="16"/>
  <c r="T620" i="16"/>
  <c r="T612" i="16"/>
  <c r="T596" i="16"/>
  <c r="T588" i="16"/>
  <c r="T580" i="16"/>
  <c r="T572" i="16"/>
  <c r="T564" i="16"/>
  <c r="T556" i="16"/>
  <c r="T548" i="16"/>
  <c r="T532" i="16"/>
  <c r="T524" i="16"/>
  <c r="T516" i="16"/>
  <c r="T508" i="16"/>
  <c r="T500" i="16"/>
  <c r="T492" i="16"/>
  <c r="T468" i="16"/>
  <c r="T460" i="16"/>
  <c r="T452" i="16"/>
  <c r="T436" i="16"/>
  <c r="T428" i="16"/>
  <c r="T412" i="16"/>
  <c r="T404" i="16"/>
  <c r="T388" i="16"/>
  <c r="T380" i="16"/>
  <c r="T372" i="16"/>
  <c r="T364" i="16"/>
  <c r="T356" i="16"/>
  <c r="T340" i="16"/>
  <c r="T332" i="16"/>
  <c r="T316" i="16"/>
  <c r="T308" i="16"/>
  <c r="T300" i="16"/>
  <c r="T292" i="16"/>
  <c r="T284" i="16"/>
  <c r="T220" i="16"/>
  <c r="T204" i="16"/>
  <c r="T172" i="16"/>
  <c r="T156" i="16"/>
  <c r="T140" i="16"/>
  <c r="T124" i="16"/>
  <c r="T108" i="16"/>
  <c r="T92" i="16"/>
  <c r="T76" i="16"/>
  <c r="T60" i="16"/>
  <c r="T44" i="16"/>
  <c r="T28" i="16"/>
  <c r="X184" i="16"/>
  <c r="W183" i="16"/>
  <c r="X160" i="16"/>
  <c r="W159" i="16"/>
  <c r="X112" i="16"/>
  <c r="W111" i="16"/>
  <c r="X72" i="16"/>
  <c r="T72" i="16" s="1"/>
  <c r="W71" i="16"/>
  <c r="T875" i="16"/>
  <c r="T859" i="16"/>
  <c r="T843" i="16"/>
  <c r="T827" i="16"/>
  <c r="T819" i="16"/>
  <c r="T811" i="16"/>
  <c r="T795" i="16"/>
  <c r="T787" i="16"/>
  <c r="T779" i="16"/>
  <c r="T771" i="16"/>
  <c r="T755" i="16"/>
  <c r="T747" i="16"/>
  <c r="T739" i="16"/>
  <c r="T723" i="16"/>
  <c r="T715" i="16"/>
  <c r="T699" i="16"/>
  <c r="T691" i="16"/>
  <c r="T675" i="16"/>
  <c r="T667" i="16"/>
  <c r="T651" i="16"/>
  <c r="T643" i="16"/>
  <c r="T627" i="16"/>
  <c r="T619" i="16"/>
  <c r="T595" i="16"/>
  <c r="T587" i="16"/>
  <c r="T579" i="16"/>
  <c r="T563" i="16"/>
  <c r="T555" i="16"/>
  <c r="T539" i="16"/>
  <c r="T531" i="16"/>
  <c r="T523" i="16"/>
  <c r="T507" i="16"/>
  <c r="T499" i="16"/>
  <c r="T475" i="16"/>
  <c r="T467" i="16"/>
  <c r="T451" i="16"/>
  <c r="T443" i="16"/>
  <c r="T435" i="16"/>
  <c r="T419" i="16"/>
  <c r="T411" i="16"/>
  <c r="T403" i="16"/>
  <c r="T395" i="16"/>
  <c r="T387" i="16"/>
  <c r="T379" i="16"/>
  <c r="T363" i="16"/>
  <c r="T355" i="16"/>
  <c r="T339" i="16"/>
  <c r="T331" i="16"/>
  <c r="T315" i="16"/>
  <c r="T307" i="16"/>
  <c r="T291" i="16"/>
  <c r="T283" i="16"/>
  <c r="T267" i="16"/>
  <c r="T259" i="16"/>
  <c r="T243" i="16"/>
  <c r="T235" i="16"/>
  <c r="T219" i="16"/>
  <c r="T211" i="16"/>
  <c r="T195" i="16"/>
  <c r="T179" i="16"/>
  <c r="T171" i="16"/>
  <c r="T163" i="16"/>
  <c r="T155" i="16"/>
  <c r="T139" i="16"/>
  <c r="T131" i="16"/>
  <c r="T115" i="16"/>
  <c r="T107" i="16"/>
  <c r="T91" i="16"/>
  <c r="T75" i="16"/>
  <c r="T67" i="16"/>
  <c r="T51" i="16"/>
  <c r="T43" i="16"/>
  <c r="T35" i="16"/>
  <c r="T19" i="16"/>
  <c r="T11" i="16"/>
  <c r="X175" i="16"/>
  <c r="W174" i="16"/>
  <c r="T874" i="16"/>
  <c r="T866" i="16"/>
  <c r="T850" i="16"/>
  <c r="T842" i="16"/>
  <c r="T826" i="16"/>
  <c r="T818" i="16"/>
  <c r="T810" i="16"/>
  <c r="T802" i="16"/>
  <c r="T794" i="16"/>
  <c r="T786" i="16"/>
  <c r="T778" i="16"/>
  <c r="T770" i="16"/>
  <c r="T754" i="16"/>
  <c r="T746" i="16"/>
  <c r="T738" i="16"/>
  <c r="T730" i="16"/>
  <c r="T722" i="16"/>
  <c r="T714" i="16"/>
  <c r="T706" i="16"/>
  <c r="T698" i="16"/>
  <c r="T690" i="16"/>
  <c r="T682" i="16"/>
  <c r="T674" i="16"/>
  <c r="T658" i="16"/>
  <c r="T650" i="16"/>
  <c r="T642" i="16"/>
  <c r="T634" i="16"/>
  <c r="T626" i="16"/>
  <c r="T618" i="16"/>
  <c r="T610" i="16"/>
  <c r="T586" i="16"/>
  <c r="T578" i="16"/>
  <c r="T570" i="16"/>
  <c r="T562" i="16"/>
  <c r="T554" i="16"/>
  <c r="T546" i="16"/>
  <c r="T538" i="16"/>
  <c r="T530" i="16"/>
  <c r="T522" i="16"/>
  <c r="T514" i="16"/>
  <c r="T506" i="16"/>
  <c r="T498" i="16"/>
  <c r="T482" i="16"/>
  <c r="T474" i="16"/>
  <c r="T466" i="16"/>
  <c r="T458" i="16"/>
  <c r="T442" i="16"/>
  <c r="T434" i="16"/>
  <c r="T426" i="16"/>
  <c r="T418" i="16"/>
  <c r="T410" i="16"/>
  <c r="T394" i="16"/>
  <c r="T386" i="16"/>
  <c r="T370" i="16"/>
  <c r="T362" i="16"/>
  <c r="T354" i="16"/>
  <c r="T346" i="16"/>
  <c r="T338" i="16"/>
  <c r="T330" i="16"/>
  <c r="T322" i="16"/>
  <c r="T314" i="16"/>
  <c r="T306" i="16"/>
  <c r="T298" i="16"/>
  <c r="T290" i="16"/>
  <c r="T282" i="16"/>
  <c r="T274" i="16"/>
  <c r="T266" i="16"/>
  <c r="T258" i="16"/>
  <c r="T250" i="16"/>
  <c r="T242" i="16"/>
  <c r="T234" i="16"/>
  <c r="T226" i="16"/>
  <c r="T218" i="16"/>
  <c r="T210" i="16"/>
  <c r="T202" i="16"/>
  <c r="T194" i="16"/>
  <c r="T186" i="16"/>
  <c r="T178" i="16"/>
  <c r="T170" i="16"/>
  <c r="T162" i="16"/>
  <c r="T154" i="16"/>
  <c r="X366" i="16"/>
  <c r="W365" i="16"/>
  <c r="X342" i="16"/>
  <c r="W341" i="16"/>
  <c r="X294" i="16"/>
  <c r="W293" i="16"/>
  <c r="X166" i="16"/>
  <c r="T166" i="16" s="1"/>
  <c r="W165" i="16"/>
  <c r="X142" i="16"/>
  <c r="W141" i="16"/>
  <c r="X118" i="16"/>
  <c r="W117" i="16"/>
  <c r="X94" i="16"/>
  <c r="W93" i="16"/>
  <c r="X78" i="16"/>
  <c r="W77" i="16"/>
  <c r="T865" i="16"/>
  <c r="T857" i="16"/>
  <c r="T849" i="16"/>
  <c r="T833" i="16"/>
  <c r="T825" i="16"/>
  <c r="T817" i="16"/>
  <c r="T801" i="16"/>
  <c r="T793" i="16"/>
  <c r="T777" i="16"/>
  <c r="T769" i="16"/>
  <c r="T761" i="16"/>
  <c r="T753" i="16"/>
  <c r="T745" i="16"/>
  <c r="T729" i="16"/>
  <c r="T721" i="16"/>
  <c r="T705" i="16"/>
  <c r="T697" i="16"/>
  <c r="T681" i="16"/>
  <c r="T673" i="16"/>
  <c r="T657" i="16"/>
  <c r="T649" i="16"/>
  <c r="T633" i="16"/>
  <c r="T625" i="16"/>
  <c r="T609" i="16"/>
  <c r="T593" i="16"/>
  <c r="T585" i="16"/>
  <c r="T569" i="16"/>
  <c r="T561" i="16"/>
  <c r="T545" i="16"/>
  <c r="T537" i="16"/>
  <c r="T529" i="16"/>
  <c r="T513" i="16"/>
  <c r="T505" i="16"/>
  <c r="T489" i="16"/>
  <c r="T481" i="16"/>
  <c r="T473" i="16"/>
  <c r="T465" i="16"/>
  <c r="T457" i="16"/>
  <c r="T449" i="16"/>
  <c r="T441" i="16"/>
  <c r="T433" i="16"/>
  <c r="T425" i="16"/>
  <c r="T417" i="16"/>
  <c r="T409" i="16"/>
  <c r="T401" i="16"/>
  <c r="T393" i="16"/>
  <c r="T385" i="16"/>
  <c r="T377" i="16"/>
  <c r="T369" i="16"/>
  <c r="T361" i="16"/>
  <c r="T345" i="16"/>
  <c r="T337" i="16"/>
  <c r="T329" i="16"/>
  <c r="T321" i="16"/>
  <c r="T313" i="16"/>
  <c r="T297" i="16"/>
  <c r="T289" i="16"/>
  <c r="T273" i="16"/>
  <c r="T265" i="16"/>
  <c r="T249" i="16"/>
  <c r="T241" i="16"/>
  <c r="T225" i="16"/>
  <c r="T193" i="16"/>
  <c r="T177" i="16"/>
  <c r="T161" i="16"/>
  <c r="T145" i="16"/>
  <c r="T113" i="16"/>
  <c r="T97" i="16"/>
  <c r="T81" i="16"/>
  <c r="T49" i="16"/>
  <c r="T17" i="16"/>
  <c r="T864" i="16"/>
  <c r="T856" i="16"/>
  <c r="T848" i="16"/>
  <c r="T840" i="16"/>
  <c r="T832" i="16"/>
  <c r="T824" i="16"/>
  <c r="T808" i="16"/>
  <c r="T800" i="16"/>
  <c r="T792" i="16"/>
  <c r="T784" i="16"/>
  <c r="T776" i="16"/>
  <c r="T768" i="16"/>
  <c r="T760" i="16"/>
  <c r="T752" i="16"/>
  <c r="T744" i="16"/>
  <c r="T736" i="16"/>
  <c r="T728" i="16"/>
  <c r="T720" i="16"/>
  <c r="T712" i="16"/>
  <c r="T704" i="16"/>
  <c r="T696" i="16"/>
  <c r="T688" i="16"/>
  <c r="T680" i="16"/>
  <c r="T672" i="16"/>
  <c r="T664" i="16"/>
  <c r="T656" i="16"/>
  <c r="T648" i="16"/>
  <c r="T640" i="16"/>
  <c r="T632" i="16"/>
  <c r="T624" i="16"/>
  <c r="T616" i="16"/>
  <c r="T608" i="16"/>
  <c r="T600" i="16"/>
  <c r="T592" i="16"/>
  <c r="T576" i="16"/>
  <c r="T568" i="16"/>
  <c r="T560" i="16"/>
  <c r="T552" i="16"/>
  <c r="T544" i="16"/>
  <c r="T536" i="16"/>
  <c r="T528" i="16"/>
  <c r="T520" i="16"/>
  <c r="T512" i="16"/>
  <c r="T504" i="16"/>
  <c r="T496" i="16"/>
  <c r="T488" i="16"/>
  <c r="T480" i="16"/>
  <c r="T472" i="16"/>
  <c r="T456" i="16"/>
  <c r="T448" i="16"/>
  <c r="T440" i="16"/>
  <c r="T424" i="16"/>
  <c r="T416" i="16"/>
  <c r="T400" i="16"/>
  <c r="T392" i="16"/>
  <c r="T376" i="16"/>
  <c r="T368" i="16"/>
  <c r="T360" i="16"/>
  <c r="T352" i="16"/>
  <c r="T344" i="16"/>
  <c r="T336" i="16"/>
  <c r="T320" i="16"/>
  <c r="T312" i="16"/>
  <c r="T304" i="16"/>
  <c r="T296" i="16"/>
  <c r="T288" i="16"/>
  <c r="T280" i="16"/>
  <c r="T272" i="16"/>
  <c r="T264" i="16"/>
  <c r="T256" i="16"/>
  <c r="T248" i="16"/>
  <c r="T240" i="16"/>
  <c r="T232" i="16"/>
  <c r="T224" i="16"/>
  <c r="W187" i="16"/>
  <c r="X188" i="16"/>
  <c r="X148" i="16"/>
  <c r="W147" i="16"/>
  <c r="X100" i="16"/>
  <c r="W99" i="16"/>
  <c r="T871" i="16"/>
  <c r="T863" i="16"/>
  <c r="T855" i="16"/>
  <c r="T847" i="16"/>
  <c r="T839" i="16"/>
  <c r="T831" i="16"/>
  <c r="T823" i="16"/>
  <c r="T815" i="16"/>
  <c r="T807" i="16"/>
  <c r="T799" i="16"/>
  <c r="T791" i="16"/>
  <c r="T783" i="16"/>
  <c r="T775" i="16"/>
  <c r="T767" i="16"/>
  <c r="T751" i="16"/>
  <c r="T735" i="16"/>
  <c r="T727" i="16"/>
  <c r="T711" i="16"/>
  <c r="T703" i="16"/>
  <c r="T687" i="16"/>
  <c r="T679" i="16"/>
  <c r="T663" i="16"/>
  <c r="T655" i="16"/>
  <c r="T639" i="16"/>
  <c r="T631" i="16"/>
  <c r="T615" i="16"/>
  <c r="T607" i="16"/>
  <c r="T599" i="16"/>
  <c r="T591" i="16"/>
  <c r="T583" i="16"/>
  <c r="T575" i="16"/>
  <c r="T567" i="16"/>
  <c r="T551" i="16"/>
  <c r="T543" i="16"/>
  <c r="T535" i="16"/>
  <c r="T519" i="16"/>
  <c r="T511" i="16"/>
  <c r="T495" i="16"/>
  <c r="T487" i="16"/>
  <c r="T479" i="16"/>
  <c r="T471" i="16"/>
  <c r="T463" i="16"/>
  <c r="T455" i="16"/>
  <c r="T447" i="16"/>
  <c r="T439" i="16"/>
  <c r="T431" i="16"/>
  <c r="T423" i="16"/>
  <c r="T407" i="16"/>
  <c r="T399" i="16"/>
  <c r="T391" i="16"/>
  <c r="T223" i="16"/>
  <c r="X83" i="16"/>
  <c r="T83" i="16" s="1"/>
  <c r="W82" i="16"/>
  <c r="T870" i="16"/>
  <c r="T862" i="16"/>
  <c r="T854" i="16"/>
  <c r="T838" i="16"/>
  <c r="T830" i="16"/>
  <c r="T814" i="16"/>
  <c r="T806" i="16"/>
  <c r="T798" i="16"/>
  <c r="T782" i="16"/>
  <c r="T774" i="16"/>
  <c r="T750" i="16"/>
  <c r="T742" i="16"/>
  <c r="T734" i="16"/>
  <c r="T726" i="16"/>
  <c r="T718" i="16"/>
  <c r="T710" i="16"/>
  <c r="T702" i="16"/>
  <c r="T694" i="16"/>
  <c r="T686" i="16"/>
  <c r="T678" i="16"/>
  <c r="T670" i="16"/>
  <c r="T662" i="16"/>
  <c r="T654" i="16"/>
  <c r="T646" i="16"/>
  <c r="T638" i="16"/>
  <c r="T630" i="16"/>
  <c r="T622" i="16"/>
  <c r="T614" i="16"/>
  <c r="T606" i="16"/>
  <c r="T598" i="16"/>
  <c r="T590" i="16"/>
  <c r="T582" i="16"/>
  <c r="T574" i="16"/>
  <c r="T566" i="16"/>
  <c r="T558" i="16"/>
  <c r="T550" i="16"/>
  <c r="T542" i="16"/>
  <c r="T534" i="16"/>
  <c r="T526" i="16"/>
  <c r="T518" i="16"/>
  <c r="T510" i="16"/>
  <c r="T502" i="16"/>
  <c r="T494" i="16"/>
  <c r="T486" i="16"/>
  <c r="T478" i="16"/>
  <c r="T470" i="16"/>
  <c r="T462" i="16"/>
  <c r="T454" i="16"/>
  <c r="T446" i="16"/>
  <c r="T430" i="16"/>
  <c r="T422" i="16"/>
  <c r="T414" i="16"/>
  <c r="T406" i="16"/>
  <c r="T398" i="16"/>
  <c r="T382" i="16"/>
  <c r="T374" i="16"/>
  <c r="T366" i="16"/>
  <c r="T358" i="16"/>
  <c r="T350" i="16"/>
  <c r="T334" i="16"/>
  <c r="T326" i="16"/>
  <c r="T310" i="16"/>
  <c r="T302" i="16"/>
  <c r="T294" i="16"/>
  <c r="T286" i="16"/>
  <c r="T278" i="16"/>
  <c r="T270" i="16"/>
  <c r="T262" i="16"/>
  <c r="T254" i="16"/>
  <c r="T246" i="16"/>
  <c r="T238" i="16"/>
  <c r="T230" i="16"/>
  <c r="T525" i="16"/>
  <c r="T517" i="16"/>
  <c r="T501" i="16"/>
  <c r="T493" i="16"/>
  <c r="T485" i="16"/>
  <c r="T477" i="16"/>
  <c r="T461" i="16"/>
  <c r="T453" i="16"/>
  <c r="T445" i="16"/>
  <c r="T437" i="16"/>
  <c r="T429" i="16"/>
  <c r="T421" i="16"/>
  <c r="T413" i="16"/>
  <c r="T405" i="16"/>
  <c r="T397" i="16"/>
  <c r="T389" i="16"/>
  <c r="T381" i="16"/>
  <c r="T373" i="16"/>
  <c r="T357" i="16"/>
  <c r="T349" i="16"/>
  <c r="T333" i="16"/>
  <c r="T325" i="16"/>
  <c r="T317" i="16"/>
  <c r="T309" i="16"/>
  <c r="T301" i="16"/>
  <c r="T285" i="16"/>
  <c r="T277" i="16"/>
  <c r="T261" i="16"/>
  <c r="T253" i="16"/>
  <c r="T237" i="16"/>
  <c r="T229" i="16"/>
  <c r="T213" i="16"/>
  <c r="T205" i="16"/>
  <c r="T189" i="16"/>
  <c r="T181" i="16"/>
  <c r="T173" i="16"/>
  <c r="T157" i="16"/>
  <c r="T149" i="16"/>
  <c r="T133" i="16"/>
  <c r="T125" i="16"/>
  <c r="T109" i="16"/>
  <c r="T101" i="16"/>
  <c r="T85" i="16"/>
  <c r="T69" i="16"/>
  <c r="T61" i="16"/>
  <c r="T37" i="16"/>
  <c r="T29" i="16"/>
  <c r="T13" i="16"/>
  <c r="T5" i="16"/>
  <c r="T276" i="16"/>
  <c r="T268" i="16"/>
  <c r="T260" i="16"/>
  <c r="T252" i="16"/>
  <c r="T244" i="16"/>
  <c r="T236" i="16"/>
  <c r="T228" i="16"/>
  <c r="T212" i="16"/>
  <c r="T196" i="16"/>
  <c r="T180" i="16"/>
  <c r="T164" i="16"/>
  <c r="T148" i="16"/>
  <c r="T132" i="16"/>
  <c r="T116" i="16"/>
  <c r="T100" i="16"/>
  <c r="T84" i="16"/>
  <c r="T68" i="16"/>
  <c r="T52" i="16"/>
  <c r="T36" i="16"/>
  <c r="T20" i="16"/>
  <c r="T12" i="16"/>
  <c r="T4" i="16"/>
  <c r="T217" i="16"/>
  <c r="T201" i="16"/>
  <c r="T185" i="16"/>
  <c r="T169" i="16"/>
  <c r="T137" i="16"/>
  <c r="T121" i="16"/>
  <c r="T89" i="16"/>
  <c r="T73" i="16"/>
  <c r="T57" i="16"/>
  <c r="T41" i="16"/>
  <c r="T25" i="16"/>
  <c r="T216" i="16"/>
  <c r="T208" i="16"/>
  <c r="T200" i="16"/>
  <c r="T192" i="16"/>
  <c r="T184" i="16"/>
  <c r="T176" i="16"/>
  <c r="T168" i="16"/>
  <c r="T160" i="16"/>
  <c r="T152" i="16"/>
  <c r="T144" i="16"/>
  <c r="T136" i="16"/>
  <c r="T128" i="16"/>
  <c r="T120" i="16"/>
  <c r="T112" i="16"/>
  <c r="T104" i="16"/>
  <c r="T96" i="16"/>
  <c r="T80" i="16"/>
  <c r="T64" i="16"/>
  <c r="T56" i="16"/>
  <c r="T48" i="16"/>
  <c r="T40" i="16"/>
  <c r="T32" i="16"/>
  <c r="T24" i="16"/>
  <c r="T16" i="16"/>
  <c r="T8" i="16"/>
  <c r="T383" i="16"/>
  <c r="T375" i="16"/>
  <c r="T367" i="16"/>
  <c r="T351" i="16"/>
  <c r="T343" i="16"/>
  <c r="T327" i="16"/>
  <c r="T319" i="16"/>
  <c r="T303" i="16"/>
  <c r="T295" i="16"/>
  <c r="T279" i="16"/>
  <c r="T271" i="16"/>
  <c r="T255" i="16"/>
  <c r="T247" i="16"/>
  <c r="T231" i="16"/>
  <c r="T207" i="16"/>
  <c r="T199" i="16"/>
  <c r="T175" i="16"/>
  <c r="T167" i="16"/>
  <c r="T151" i="16"/>
  <c r="T143" i="16"/>
  <c r="T127" i="16"/>
  <c r="T119" i="16"/>
  <c r="T103" i="16"/>
  <c r="T95" i="16"/>
  <c r="T87" i="16"/>
  <c r="T79" i="16"/>
  <c r="T63" i="16"/>
  <c r="T55" i="16"/>
  <c r="T31" i="16"/>
  <c r="T23" i="16"/>
  <c r="T7" i="16"/>
  <c r="T222" i="16"/>
  <c r="T214" i="16"/>
  <c r="T206" i="16"/>
  <c r="T198" i="16"/>
  <c r="T190" i="16"/>
  <c r="T182" i="16"/>
  <c r="T158" i="16"/>
  <c r="T150" i="16"/>
  <c r="T142" i="16"/>
  <c r="T134" i="16"/>
  <c r="T126" i="16"/>
  <c r="T118" i="16"/>
  <c r="T110" i="16"/>
  <c r="T102" i="16"/>
  <c r="T94" i="16"/>
  <c r="T86" i="16"/>
  <c r="T78" i="16"/>
  <c r="T70" i="16"/>
  <c r="T62" i="16"/>
  <c r="T54" i="16"/>
  <c r="T46" i="16"/>
  <c r="T38" i="16"/>
  <c r="T30" i="16"/>
  <c r="T22" i="16"/>
  <c r="T14" i="16"/>
  <c r="T6" i="16"/>
  <c r="X1" i="16"/>
  <c r="T2" i="16"/>
  <c r="X2" i="16"/>
  <c r="N4" i="16"/>
  <c r="N5" i="16"/>
  <c r="N6" i="16"/>
  <c r="T666" i="16" l="1"/>
  <c r="T188" i="16"/>
  <c r="T324" i="16"/>
  <c r="T484" i="16"/>
  <c r="T342" i="16"/>
  <c r="T348" i="16"/>
  <c r="T868" i="16"/>
  <c r="P11" i="13"/>
  <c r="Y3" i="16" l="1"/>
  <c r="T3" i="16" s="1"/>
  <c r="U7" i="13"/>
  <c r="T1" i="16" l="1"/>
  <c r="U8" i="13"/>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F36" i="13" a="1"/>
  <c r="F36" i="13" s="1"/>
  <c r="Q37" i="13"/>
  <c r="C37" i="13"/>
  <c r="I37" i="13" s="1"/>
  <c r="C8" i="13"/>
  <c r="X36" i="13"/>
  <c r="C12" i="13"/>
  <c r="V37" i="13"/>
  <c r="C15" i="13"/>
  <c r="C16" i="13" s="1"/>
  <c r="C17" i="13" s="1"/>
  <c r="C13" i="13"/>
  <c r="A16" i="13"/>
  <c r="A27" i="13"/>
  <c r="A35" i="13"/>
  <c r="C31" i="13"/>
  <c r="C36" i="13"/>
  <c r="C34" i="13"/>
  <c r="C14" i="13"/>
  <c r="I14" i="13" s="1"/>
  <c r="C29" i="13"/>
  <c r="S37" i="13"/>
  <c r="S36" i="13"/>
  <c r="C26" i="13"/>
  <c r="C27" i="13"/>
  <c r="C28" i="13"/>
  <c r="W36" i="13"/>
  <c r="C23" i="13"/>
  <c r="G37" i="13" a="1"/>
  <c r="G37" i="13" s="1"/>
  <c r="Y875" i="16"/>
  <c r="Y871" i="16"/>
  <c r="Y874" i="16"/>
  <c r="Y872" i="16"/>
  <c r="T872" i="16" s="1"/>
  <c r="Y876" i="16"/>
  <c r="Y873" i="16"/>
  <c r="I36" i="13" l="1"/>
  <c r="J36" i="13"/>
  <c r="J14" i="13"/>
  <c r="I26" i="13"/>
  <c r="J26" i="13"/>
  <c r="J37" i="13"/>
  <c r="I28" i="13"/>
  <c r="J28" i="13"/>
  <c r="C9" i="13"/>
  <c r="C10" i="13" s="1"/>
  <c r="C24" i="13"/>
  <c r="C35" i="13"/>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T335" i="16" s="1"/>
  <c r="Y49" i="16"/>
  <c r="Y210" i="16"/>
  <c r="Y825" i="16"/>
  <c r="Y870" i="16"/>
  <c r="Y41" i="16"/>
  <c r="Y447" i="16"/>
  <c r="Y129" i="16"/>
  <c r="T129" i="16" s="1"/>
  <c r="Y816" i="16"/>
  <c r="T816" i="16" s="1"/>
  <c r="Y33" i="16"/>
  <c r="T33" i="16" s="1"/>
  <c r="Y718" i="16"/>
  <c r="Y739" i="16"/>
  <c r="Y565" i="16"/>
  <c r="T565" i="16" s="1"/>
  <c r="Y178" i="16"/>
  <c r="Y12" i="16"/>
  <c r="Y543" i="16"/>
  <c r="Y763" i="16"/>
  <c r="Y299" i="16"/>
  <c r="T299" i="16" s="1"/>
  <c r="Y535" i="16"/>
  <c r="Y413" i="16"/>
  <c r="Y222" i="16"/>
  <c r="Y421" i="16"/>
  <c r="Y781" i="16"/>
  <c r="Y567" i="16"/>
  <c r="Y319" i="16"/>
  <c r="Y597" i="16"/>
  <c r="Y517" i="16"/>
  <c r="Y859" i="16"/>
  <c r="Y338" i="16"/>
  <c r="Y693" i="16"/>
  <c r="Y372" i="16"/>
  <c r="Y211" i="16"/>
  <c r="Y589" i="16"/>
  <c r="T589" i="16" s="1"/>
  <c r="Y99" i="16"/>
  <c r="T99" i="16" s="1"/>
  <c r="Y824" i="16"/>
  <c r="Y362" i="16"/>
  <c r="Y63" i="16"/>
  <c r="Y698" i="16"/>
  <c r="Y607" i="16"/>
  <c r="Y382" i="16"/>
  <c r="Y24" i="16"/>
  <c r="Y426" i="16"/>
  <c r="Y280" i="16"/>
  <c r="Y751" i="16"/>
  <c r="Y527" i="16"/>
  <c r="T527" i="16" s="1"/>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T111" i="16" s="1"/>
  <c r="Y601" i="16"/>
  <c r="T601" i="16" s="1"/>
  <c r="Y487" i="16"/>
  <c r="Y805" i="16"/>
  <c r="Y375" i="16"/>
  <c r="Y590" i="16"/>
  <c r="Y554" i="16"/>
  <c r="Y44" i="16"/>
  <c r="Y613" i="16"/>
  <c r="Y417" i="16"/>
  <c r="Y856" i="16"/>
  <c r="Y546" i="16"/>
  <c r="Y364" i="16"/>
  <c r="Y653" i="16"/>
  <c r="T653" i="16" s="1"/>
  <c r="Y768" i="16"/>
  <c r="Y116" i="16"/>
  <c r="Y342" i="16"/>
  <c r="Y545" i="16"/>
  <c r="Y650" i="16"/>
  <c r="Y221" i="16"/>
  <c r="T221" i="16" s="1"/>
  <c r="Y168" i="16"/>
  <c r="Y654" i="16"/>
  <c r="Y238" i="16"/>
  <c r="Y42" i="16"/>
  <c r="Y466" i="16"/>
  <c r="Y217" i="16"/>
  <c r="Y778" i="16"/>
  <c r="Y578" i="16"/>
  <c r="Y586" i="16"/>
  <c r="Y369" i="16"/>
  <c r="Y22" i="16"/>
  <c r="Y709" i="16"/>
  <c r="Y38" i="16"/>
  <c r="Y469" i="16"/>
  <c r="T469" i="16" s="1"/>
  <c r="Y524" i="16"/>
  <c r="Y261" i="16"/>
  <c r="Y157" i="16"/>
  <c r="Y389" i="16"/>
  <c r="Y845" i="16"/>
  <c r="Y794" i="16"/>
  <c r="Y388" i="16"/>
  <c r="Y741" i="16"/>
  <c r="Y92" i="16"/>
  <c r="Y16" i="16"/>
  <c r="Y655" i="16"/>
  <c r="Y765" i="16"/>
  <c r="Y276" i="16"/>
  <c r="Y451" i="16"/>
  <c r="Y595" i="16"/>
  <c r="Y559" i="16"/>
  <c r="T559" i="16" s="1"/>
  <c r="Y410" i="16"/>
  <c r="Y791" i="16"/>
  <c r="Y868" i="16"/>
  <c r="Y385" i="16"/>
  <c r="Y287" i="16"/>
  <c r="T287" i="16" s="1"/>
  <c r="Y623" i="16"/>
  <c r="T623" i="16" s="1"/>
  <c r="Y857" i="16"/>
  <c r="Y766" i="16"/>
  <c r="T766" i="16" s="1"/>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T737" i="16" s="1"/>
  <c r="Y789" i="16"/>
  <c r="Y834" i="16"/>
  <c r="T834" i="16" s="1"/>
  <c r="Y203" i="16"/>
  <c r="T203" i="16" s="1"/>
  <c r="Y39" i="16"/>
  <c r="T39" i="16" s="1"/>
  <c r="Y283" i="16"/>
  <c r="Y93" i="16"/>
  <c r="T93" i="16" s="1"/>
  <c r="Y350" i="16"/>
  <c r="Y508" i="16"/>
  <c r="Y265" i="16"/>
  <c r="Y705" i="16"/>
  <c r="Y406" i="16"/>
  <c r="Y212" i="16"/>
  <c r="Y685" i="16"/>
  <c r="Y587" i="16"/>
  <c r="Y625" i="16"/>
  <c r="Y314" i="16"/>
  <c r="Y244" i="16"/>
  <c r="Y405" i="16"/>
  <c r="Y97" i="16"/>
  <c r="Y304" i="16"/>
  <c r="Y88" i="16"/>
  <c r="T88" i="16" s="1"/>
  <c r="Y62" i="16"/>
  <c r="Y163" i="16"/>
  <c r="Y608" i="16"/>
  <c r="Y204" i="16"/>
  <c r="Y274" i="16"/>
  <c r="Y429" i="16"/>
  <c r="Y652" i="16"/>
  <c r="Y637" i="16"/>
  <c r="Y817" i="16"/>
  <c r="Y186" i="16"/>
  <c r="Y127" i="16"/>
  <c r="Y482" i="16"/>
  <c r="Y869" i="16"/>
  <c r="Y491" i="16"/>
  <c r="Y616" i="16"/>
  <c r="Y484" i="16"/>
  <c r="Y162" i="16"/>
  <c r="Y577" i="16"/>
  <c r="T577" i="16" s="1"/>
  <c r="Y609" i="16"/>
  <c r="Y458" i="16"/>
  <c r="Y738" i="16"/>
  <c r="Y506" i="16"/>
  <c r="Y512" i="16"/>
  <c r="Y605" i="16"/>
  <c r="T605" i="16" s="1"/>
  <c r="Y802" i="16"/>
  <c r="Y711" i="16"/>
  <c r="Y268" i="16"/>
  <c r="Y745" i="16"/>
  <c r="Y539" i="16"/>
  <c r="Y792" i="16"/>
  <c r="Y400" i="16"/>
  <c r="Y291" i="16"/>
  <c r="Y544" i="16"/>
  <c r="Y336" i="16"/>
  <c r="Y867" i="16"/>
  <c r="T867" i="16" s="1"/>
  <c r="Y58" i="16"/>
  <c r="Y300" i="16"/>
  <c r="Y193" i="16"/>
  <c r="Y387" i="16"/>
  <c r="Y830" i="16"/>
  <c r="Y94" i="16"/>
  <c r="Y820" i="16"/>
  <c r="Y124" i="16"/>
  <c r="Y542" i="16"/>
  <c r="Y440" i="16"/>
  <c r="Y704" i="16"/>
  <c r="Y618" i="16"/>
  <c r="Y407" i="16"/>
  <c r="Y245" i="16"/>
  <c r="T245" i="16" s="1"/>
  <c r="Y558" i="16"/>
  <c r="Y310" i="16"/>
  <c r="Y181" i="16"/>
  <c r="Y852" i="16"/>
  <c r="Y357" i="16"/>
  <c r="Y354" i="16"/>
  <c r="Y100" i="16"/>
  <c r="Y707" i="16"/>
  <c r="T707" i="16" s="1"/>
  <c r="Y598" i="16"/>
  <c r="Y602" i="16"/>
  <c r="T602" i="16" s="1"/>
  <c r="Y733" i="16"/>
  <c r="Y767" i="16"/>
  <c r="Y189" i="16"/>
  <c r="Y324" i="16"/>
  <c r="Y776" i="16"/>
  <c r="Y851" i="16"/>
  <c r="T851" i="16" s="1"/>
  <c r="Y459" i="16"/>
  <c r="T459" i="16" s="1"/>
  <c r="Y785" i="16"/>
  <c r="T785" i="16" s="1"/>
  <c r="Y500" i="16"/>
  <c r="Y681" i="16"/>
  <c r="Y79" i="16"/>
  <c r="Y849" i="16"/>
  <c r="Y795" i="16"/>
  <c r="Y403" i="16"/>
  <c r="Y819" i="16"/>
  <c r="Y415" i="16"/>
  <c r="T415" i="16" s="1"/>
  <c r="Y128" i="16"/>
  <c r="Y302" i="16"/>
  <c r="Y176" i="16"/>
  <c r="Y59" i="16"/>
  <c r="T59" i="16" s="1"/>
  <c r="Y756" i="16"/>
  <c r="Y806" i="16"/>
  <c r="Y35" i="16"/>
  <c r="Y106" i="16"/>
  <c r="Y811" i="16"/>
  <c r="Y40" i="16"/>
  <c r="Y32" i="16"/>
  <c r="Y64" i="16"/>
  <c r="Y537" i="16"/>
  <c r="Y591" i="16"/>
  <c r="Y144" i="16"/>
  <c r="Y619" i="16"/>
  <c r="Y227" i="16"/>
  <c r="T227" i="16" s="1"/>
  <c r="Y367" i="16"/>
  <c r="Y101" i="16"/>
  <c r="Y710" i="16"/>
  <c r="Y502" i="16"/>
  <c r="Y206" i="16"/>
  <c r="Y263" i="16"/>
  <c r="T263" i="16" s="1"/>
  <c r="Y4" i="16"/>
  <c r="Y463" i="16"/>
  <c r="Y576" i="16"/>
  <c r="Y19" i="16"/>
  <c r="Y401" i="16"/>
  <c r="Y329" i="16"/>
  <c r="Y585" i="16"/>
  <c r="Y61" i="16"/>
  <c r="Y246" i="16"/>
  <c r="Y53" i="16"/>
  <c r="T53" i="16" s="1"/>
  <c r="Y574" i="16"/>
  <c r="Y81" i="16"/>
  <c r="Y169" i="16"/>
  <c r="Y347" i="16"/>
  <c r="T347" i="16" s="1"/>
  <c r="Y368" i="16"/>
  <c r="Y123" i="16"/>
  <c r="T123" i="16" s="1"/>
  <c r="Y288" i="16"/>
  <c r="Y11" i="16"/>
  <c r="Y303" i="16"/>
  <c r="Y173" i="16"/>
  <c r="Y230" i="16"/>
  <c r="Y356" i="16"/>
  <c r="Y732" i="16"/>
  <c r="Y628" i="16"/>
  <c r="Y141" i="16"/>
  <c r="T141" i="16" s="1"/>
  <c r="Y325" i="16"/>
  <c r="Y279" i="16"/>
  <c r="Y700" i="16"/>
  <c r="Y322" i="16"/>
  <c r="Y104" i="16"/>
  <c r="Y234" i="16"/>
  <c r="Y638" i="16"/>
  <c r="Y712" i="16"/>
  <c r="Y423" i="16"/>
  <c r="Y89" i="16"/>
  <c r="Y259" i="16"/>
  <c r="Y443" i="16"/>
  <c r="Y152" i="16"/>
  <c r="Y442" i="16"/>
  <c r="Y74" i="16"/>
  <c r="Y520" i="16"/>
  <c r="Y9" i="16"/>
  <c r="T9" i="16" s="1"/>
  <c r="Y65" i="16"/>
  <c r="T65" i="16" s="1"/>
  <c r="Y699" i="16"/>
  <c r="Y522" i="16"/>
  <c r="Y312" i="16"/>
  <c r="Y348" i="16"/>
  <c r="Y153" i="16"/>
  <c r="T153" i="16" s="1"/>
  <c r="Y266" i="16"/>
  <c r="Y573" i="16"/>
  <c r="Y296" i="16"/>
  <c r="Y439" i="16"/>
  <c r="Y455" i="16"/>
  <c r="Y736" i="16"/>
  <c r="Y657" i="16"/>
  <c r="Y359" i="16"/>
  <c r="T359" i="16" s="1"/>
  <c r="Y177" i="16"/>
  <c r="Y285" i="16"/>
  <c r="Y121" i="16"/>
  <c r="Y393" i="16"/>
  <c r="Y240" i="16"/>
  <c r="Y392" i="16"/>
  <c r="Y620" i="16"/>
  <c r="Y659" i="16"/>
  <c r="T659" i="16" s="1"/>
  <c r="Y309" i="16"/>
  <c r="Y750" i="16"/>
  <c r="Y764" i="16"/>
  <c r="Y151" i="16"/>
  <c r="Y564" i="16"/>
  <c r="Y668" i="16"/>
  <c r="Y344" i="16"/>
  <c r="Y201" i="16"/>
  <c r="Y209" i="16"/>
  <c r="T209" i="16" s="1"/>
  <c r="Y855" i="16"/>
  <c r="Y224" i="16"/>
  <c r="Y317" i="16"/>
  <c r="Y297" i="16"/>
  <c r="Y525" i="16"/>
  <c r="Y86" i="16"/>
  <c r="Y630" i="16"/>
  <c r="Y772" i="16"/>
  <c r="Y568" i="16"/>
  <c r="Y468" i="16"/>
  <c r="Y363" i="16"/>
  <c r="Y278" i="16"/>
  <c r="Y370" i="16"/>
  <c r="Y822" i="16"/>
  <c r="T822" i="16" s="1"/>
  <c r="Y456" i="16"/>
  <c r="Y604" i="16"/>
  <c r="T604" i="16" s="1"/>
  <c r="Y687" i="16"/>
  <c r="Y622" i="16"/>
  <c r="Y199" i="16"/>
  <c r="Y361" i="16"/>
  <c r="Y464" i="16"/>
  <c r="T464" i="16" s="1"/>
  <c r="Y323" i="16"/>
  <c r="T323" i="16" s="1"/>
  <c r="Y505" i="16"/>
  <c r="Y840" i="16"/>
  <c r="Y721" i="16"/>
  <c r="Y373" i="16"/>
  <c r="Y612" i="16"/>
  <c r="Y784" i="16"/>
  <c r="Y56" i="16"/>
  <c r="Y134" i="16"/>
  <c r="Y379" i="16"/>
  <c r="Y183" i="16"/>
  <c r="T183" i="16" s="1"/>
  <c r="Y847" i="16"/>
  <c r="Y15" i="16"/>
  <c r="T15" i="16" s="1"/>
  <c r="Y418" i="16"/>
  <c r="Y647" i="16"/>
  <c r="T647" i="16" s="1"/>
  <c r="Y321" i="16"/>
  <c r="Y452" i="16"/>
  <c r="Y154" i="16"/>
  <c r="Y75" i="16"/>
  <c r="Y394" i="16"/>
  <c r="Y136" i="16"/>
  <c r="Y366" i="16"/>
  <c r="Y21" i="16"/>
  <c r="T21" i="16" s="1"/>
  <c r="Y804" i="16"/>
  <c r="Y23" i="16"/>
  <c r="Y113" i="16"/>
  <c r="Y67" i="16"/>
  <c r="Y77" i="16"/>
  <c r="T77" i="16" s="1"/>
  <c r="Y409" i="16"/>
  <c r="Y695" i="16"/>
  <c r="T695" i="16" s="1"/>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T803" i="16" s="1"/>
  <c r="Y486" i="16"/>
  <c r="Y460" i="16"/>
  <c r="Y337" i="16"/>
  <c r="Y516" i="16"/>
  <c r="Y854" i="16"/>
  <c r="Y694" i="16"/>
  <c r="Y664" i="16"/>
  <c r="Y122" i="16"/>
  <c r="Y271" i="16"/>
  <c r="Y800" i="16"/>
  <c r="Y635" i="16"/>
  <c r="T635" i="16" s="1"/>
  <c r="Y844" i="16"/>
  <c r="Y649" i="16"/>
  <c r="Y835" i="16"/>
  <c r="Y118" i="16"/>
  <c r="Y727" i="16"/>
  <c r="Y686" i="16"/>
  <c r="Y197" i="16"/>
  <c r="T197" i="16" s="1"/>
  <c r="Y485" i="16"/>
  <c r="Y37" i="16"/>
  <c r="Y731" i="16"/>
  <c r="T731" i="16" s="1"/>
  <c r="Y634" i="16"/>
  <c r="Y55" i="16"/>
  <c r="Y656" i="16"/>
  <c r="Y734" i="16"/>
  <c r="Y827" i="16"/>
  <c r="Y236" i="16"/>
  <c r="Y675" i="16"/>
  <c r="Y863" i="16"/>
  <c r="Y159" i="16"/>
  <c r="T159" i="16" s="1"/>
  <c r="Y861" i="16"/>
  <c r="Y82" i="16"/>
  <c r="T82" i="16" s="1"/>
  <c r="Y13" i="16"/>
  <c r="Y320" i="16"/>
  <c r="Y281" i="16"/>
  <c r="T281" i="16" s="1"/>
  <c r="Y196" i="16"/>
  <c r="Y688" i="16"/>
  <c r="Y91" i="16"/>
  <c r="Y821" i="16"/>
  <c r="Y782" i="16"/>
  <c r="Y167" i="16"/>
  <c r="Y593" i="16"/>
  <c r="Y213" i="16"/>
  <c r="Y256" i="16"/>
  <c r="Y60" i="16"/>
  <c r="Y790" i="16"/>
  <c r="T790" i="16" s="1"/>
  <c r="Y174" i="16"/>
  <c r="T174" i="16" s="1"/>
  <c r="Y66" i="16"/>
  <c r="Y416" i="16"/>
  <c r="Y330" i="16"/>
  <c r="Y252" i="16"/>
  <c r="Y513" i="16"/>
  <c r="C33" i="13" s="1"/>
  <c r="Y57" i="16"/>
  <c r="Y575" i="16"/>
  <c r="Y643" i="16"/>
  <c r="Y748" i="16"/>
  <c r="Y270" i="16"/>
  <c r="Y31" i="16"/>
  <c r="Y404" i="16"/>
  <c r="Y275" i="16"/>
  <c r="T275" i="16" s="1"/>
  <c r="Y184" i="16"/>
  <c r="Y150" i="16"/>
  <c r="Y448" i="16"/>
  <c r="Y742" i="16"/>
  <c r="Y142" i="16"/>
  <c r="Y145" i="16"/>
  <c r="Y714" i="16"/>
  <c r="Y172" i="16"/>
  <c r="Y599" i="16"/>
  <c r="Y603" i="16"/>
  <c r="T603" i="16" s="1"/>
  <c r="Y331" i="16"/>
  <c r="Y381" i="16"/>
  <c r="Y532" i="16"/>
  <c r="Y45" i="16"/>
  <c r="T45" i="16" s="1"/>
  <c r="Y582" i="16"/>
  <c r="Y660" i="16"/>
  <c r="Y570" i="16"/>
  <c r="Y308" i="16"/>
  <c r="Y78" i="16"/>
  <c r="Y808" i="16"/>
  <c r="Y251" i="16"/>
  <c r="T251" i="16" s="1"/>
  <c r="Y717" i="16"/>
  <c r="Y258" i="16"/>
  <c r="Y610" i="16"/>
  <c r="Y18" i="16"/>
  <c r="Y216" i="16"/>
  <c r="Y663" i="16"/>
  <c r="Y10" i="16"/>
  <c r="Y771" i="16"/>
  <c r="Y105" i="16"/>
  <c r="T105" i="16" s="1"/>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T547" i="16" s="1"/>
  <c r="Y346" i="16"/>
  <c r="Y171" i="16"/>
  <c r="Y571" i="16"/>
  <c r="T571" i="16" s="1"/>
  <c r="Y540" i="16"/>
  <c r="T540" i="16" s="1"/>
  <c r="Y774" i="16"/>
  <c r="Y419" i="16"/>
  <c r="Y747" i="16"/>
  <c r="Y839" i="16"/>
  <c r="Y175" i="16"/>
  <c r="Y560" i="16"/>
  <c r="Y76" i="16"/>
  <c r="Y135" i="16"/>
  <c r="T135" i="16" s="1"/>
  <c r="Y243" i="16"/>
  <c r="Y529" i="16"/>
  <c r="Y424" i="16"/>
  <c r="Y273" i="16"/>
  <c r="Y579" i="16"/>
  <c r="Y437" i="16"/>
  <c r="Y295" i="16"/>
  <c r="Y523" i="16"/>
  <c r="Y7" i="16"/>
  <c r="Y137" i="16"/>
  <c r="Y673" i="16"/>
  <c r="Y207" i="16"/>
  <c r="Y294" i="16"/>
  <c r="Y509" i="16"/>
  <c r="T509" i="16" s="1"/>
  <c r="Y701" i="16"/>
  <c r="T701" i="16" s="1"/>
  <c r="Y46" i="16"/>
  <c r="Y36" i="16"/>
  <c r="Y52" i="16"/>
  <c r="Y25" i="16"/>
  <c r="Y483" i="16"/>
  <c r="T483" i="16" s="1"/>
  <c r="Y444" i="16"/>
  <c r="T444" i="16" s="1"/>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T553" i="16" s="1"/>
  <c r="Y257" i="16"/>
  <c r="T257" i="16" s="1"/>
  <c r="Y528" i="16"/>
  <c r="Y521" i="16"/>
  <c r="T521" i="16" s="1"/>
  <c r="Y729" i="16"/>
  <c r="Y237" i="16"/>
  <c r="Y624" i="16"/>
  <c r="Y636" i="16"/>
  <c r="Y17" i="16"/>
  <c r="Y47" i="16"/>
  <c r="T47" i="16" s="1"/>
  <c r="Y20" i="16"/>
  <c r="Y561" i="16"/>
  <c r="Y627" i="16"/>
  <c r="Y533" i="16"/>
  <c r="T533" i="16" s="1"/>
  <c r="Y117" i="16"/>
  <c r="T117" i="16" s="1"/>
  <c r="Y254" i="16"/>
  <c r="Y233" i="16"/>
  <c r="T233" i="16" s="1"/>
  <c r="Y374" i="16"/>
  <c r="Y48" i="16"/>
  <c r="Y390" i="16"/>
  <c r="T390" i="16" s="1"/>
  <c r="Y414" i="16"/>
  <c r="Y435" i="16"/>
  <c r="Y866" i="16"/>
  <c r="Y743" i="16"/>
  <c r="T743" i="16" s="1"/>
  <c r="Y555" i="16"/>
  <c r="Y115" i="16"/>
  <c r="Y185" i="16"/>
  <c r="Y247" i="16"/>
  <c r="Y166" i="16"/>
  <c r="Y828" i="16"/>
  <c r="T828" i="16" s="1"/>
  <c r="Y27" i="16"/>
  <c r="T27" i="16" s="1"/>
  <c r="Y147" i="16"/>
  <c r="T147" i="16" s="1"/>
  <c r="Y248" i="16"/>
  <c r="Y723" i="16"/>
  <c r="Y489" i="16"/>
  <c r="Y132" i="16"/>
  <c r="Y318" i="16"/>
  <c r="T318" i="16" s="1"/>
  <c r="Y651" i="16"/>
  <c r="Y629" i="16"/>
  <c r="T629" i="16" s="1"/>
  <c r="Y130" i="16"/>
  <c r="Y470" i="16"/>
  <c r="Y14" i="16"/>
  <c r="Y755" i="16"/>
  <c r="Y758" i="16"/>
  <c r="T758" i="16" s="1"/>
  <c r="Y420" i="16"/>
  <c r="T420" i="16" s="1"/>
  <c r="Y807" i="16"/>
  <c r="Y858" i="16"/>
  <c r="T858" i="16" s="1"/>
  <c r="Y584" i="16"/>
  <c r="T584" i="16" s="1"/>
  <c r="Y6" i="16"/>
  <c r="Y334" i="16"/>
  <c r="Y661" i="16"/>
  <c r="Y592" i="16"/>
  <c r="Y454" i="16"/>
  <c r="Y29" i="16"/>
  <c r="Y556" i="16"/>
  <c r="Y146" i="16"/>
  <c r="Y666" i="16"/>
  <c r="Y427" i="16"/>
  <c r="T427" i="16" s="1"/>
  <c r="Y799" i="16"/>
  <c r="Y218" i="16"/>
  <c r="Y160" i="16"/>
  <c r="Y831" i="16"/>
  <c r="Y783" i="16"/>
  <c r="Y253" i="16"/>
  <c r="Y671" i="16"/>
  <c r="T671" i="16" s="1"/>
  <c r="Y662" i="16"/>
  <c r="Y773" i="16"/>
  <c r="T773" i="16" s="1"/>
  <c r="Y749" i="16"/>
  <c r="T749" i="16" s="1"/>
  <c r="Y83" i="16"/>
  <c r="Y28" i="16"/>
  <c r="Y640" i="16"/>
  <c r="Y380" i="16"/>
  <c r="Y292" i="16"/>
  <c r="Y436" i="16"/>
  <c r="Y676" i="16"/>
  <c r="Y438" i="16"/>
  <c r="T438" i="16" s="1"/>
  <c r="Y501" i="16"/>
  <c r="Y680" i="16"/>
  <c r="Y311" i="16"/>
  <c r="T311" i="16" s="1"/>
  <c r="Y503" i="16"/>
  <c r="T503" i="16" s="1"/>
  <c r="Y26" i="16"/>
  <c r="Y645" i="16"/>
  <c r="Y307" i="16"/>
  <c r="Y286" i="16"/>
  <c r="Y327" i="16"/>
  <c r="Y621" i="16"/>
  <c r="Y725" i="16"/>
  <c r="T725" i="16" s="1"/>
  <c r="Y158" i="16"/>
  <c r="Y809" i="16"/>
  <c r="T809" i="16" s="1"/>
  <c r="Y611" i="16"/>
  <c r="T611" i="16" s="1"/>
  <c r="Y360" i="16"/>
  <c r="Y530" i="16"/>
  <c r="Y726" i="16"/>
  <c r="Y536" i="16"/>
  <c r="Y242" i="16"/>
  <c r="Y120" i="16"/>
  <c r="Y333" i="16"/>
  <c r="Y269" i="16"/>
  <c r="T269" i="16" s="1"/>
  <c r="Y551" i="16"/>
  <c r="Y430" i="16"/>
  <c r="Y514" i="16"/>
  <c r="Y226" i="16"/>
  <c r="Y260" i="16"/>
  <c r="Y492" i="16"/>
  <c r="Y606" i="16"/>
  <c r="Y284" i="16"/>
  <c r="Y678" i="16"/>
  <c r="Y71" i="16"/>
  <c r="T71" i="16" s="1"/>
  <c r="Y779" i="16"/>
  <c r="Y353" i="16"/>
  <c r="T353" i="16" s="1"/>
  <c r="Y315" i="16"/>
  <c r="Y594" i="16"/>
  <c r="T594" i="16" s="1"/>
  <c r="Y495" i="16"/>
  <c r="C32" i="13" s="1"/>
  <c r="Y241" i="16"/>
  <c r="Y68" i="16"/>
  <c r="Y305" i="16"/>
  <c r="T305" i="16" s="1"/>
  <c r="Y462" i="16"/>
  <c r="Y264" i="16"/>
  <c r="Y34" i="16"/>
  <c r="Y8" i="16"/>
  <c r="Y371" i="16"/>
  <c r="T371" i="16" s="1"/>
  <c r="Y842" i="16"/>
  <c r="Y801" i="16"/>
  <c r="Y715" i="16"/>
  <c r="Y428" i="16"/>
  <c r="Y391" i="16"/>
  <c r="Y397" i="16"/>
  <c r="Y5" i="16"/>
  <c r="Y658" i="16"/>
  <c r="Y690" i="16"/>
  <c r="Y198" i="16"/>
  <c r="Y341" i="16"/>
  <c r="T341" i="16" s="1"/>
  <c r="Y689" i="16"/>
  <c r="T689" i="16" s="1"/>
  <c r="Y351" i="16"/>
  <c r="Y850" i="16"/>
  <c r="Y43" i="16"/>
  <c r="Y187" i="16"/>
  <c r="T187" i="16" s="1"/>
  <c r="Y814" i="16"/>
  <c r="Y813" i="16"/>
  <c r="Y125" i="16"/>
  <c r="Y596" i="16"/>
  <c r="Y432" i="16"/>
  <c r="T432" i="16" s="1"/>
  <c r="Y143" i="16"/>
  <c r="Y716" i="16"/>
  <c r="Y396" i="16"/>
  <c r="T396" i="16" s="1"/>
  <c r="Y235" i="16"/>
  <c r="Y713" i="16"/>
  <c r="T713" i="16" s="1"/>
  <c r="Y810" i="16"/>
  <c r="Y853" i="16"/>
  <c r="Y798" i="16"/>
  <c r="Y239" i="16"/>
  <c r="T239" i="16" s="1"/>
  <c r="Y672" i="16"/>
  <c r="Y823" i="16"/>
  <c r="Y73" i="16"/>
  <c r="Y497" i="16"/>
  <c r="T497" i="16" s="1"/>
  <c r="Y95" i="16"/>
  <c r="Y332" i="16"/>
  <c r="Y691" i="16"/>
  <c r="Y818" i="16"/>
  <c r="Y471" i="16"/>
  <c r="Y569" i="16"/>
  <c r="Y719" i="16"/>
  <c r="T719" i="16" s="1"/>
  <c r="Y434" i="16"/>
  <c r="Y550" i="16"/>
  <c r="Y72" i="16"/>
  <c r="Y848" i="16"/>
  <c r="Y161" i="16"/>
  <c r="Y476" i="16"/>
  <c r="T476" i="16" s="1"/>
  <c r="Y316" i="16"/>
  <c r="Y431" i="16"/>
  <c r="Y499" i="16"/>
  <c r="Y190" i="16"/>
  <c r="Y479" i="16"/>
  <c r="Y85" i="16"/>
  <c r="Y179" i="16"/>
  <c r="Y777" i="16"/>
  <c r="Y188" i="16"/>
  <c r="Y398" i="16"/>
  <c r="Y378" i="16"/>
  <c r="T378" i="16" s="1"/>
  <c r="Y815" i="16"/>
  <c r="Y670" i="16"/>
  <c r="Y139" i="16"/>
  <c r="Y50" i="16"/>
  <c r="Y787" i="16"/>
  <c r="Y507" i="16"/>
  <c r="C25" i="13" s="1"/>
  <c r="Y753" i="16"/>
  <c r="Y515" i="16"/>
  <c r="T515" i="16" s="1"/>
  <c r="Y534" i="16"/>
  <c r="Y30" i="16"/>
  <c r="Y343" i="16"/>
  <c r="Y761" i="16"/>
  <c r="Y780" i="16"/>
  <c r="T780" i="16" s="1"/>
  <c r="Y293" i="16"/>
  <c r="T293" i="16" s="1"/>
  <c r="Y796" i="16"/>
  <c r="T796" i="16" s="1"/>
  <c r="Y788" i="16"/>
  <c r="Y752" i="16"/>
  <c r="Y730" i="16"/>
  <c r="Y669" i="16"/>
  <c r="Y775" i="16"/>
  <c r="Y191" i="16"/>
  <c r="T191" i="16" s="1"/>
  <c r="Y562" i="16"/>
  <c r="Y250" i="16"/>
  <c r="Y846" i="16"/>
  <c r="T846" i="16" s="1"/>
  <c r="Y588" i="16"/>
  <c r="Y313" i="16"/>
  <c r="Y51" i="16"/>
  <c r="Y126" i="16"/>
  <c r="Y692" i="16"/>
  <c r="Y744" i="16"/>
  <c r="Y496" i="16"/>
  <c r="Y155" i="16"/>
  <c r="Y112" i="16"/>
  <c r="Y665" i="16"/>
  <c r="T665" i="16" s="1"/>
  <c r="Y477" i="16"/>
  <c r="Y182" i="16"/>
  <c r="Y526" i="16"/>
  <c r="Y829" i="16"/>
  <c r="Y358" i="16"/>
  <c r="Y617" i="16"/>
  <c r="T617" i="16" s="1"/>
  <c r="Y679" i="16"/>
  <c r="Y740" i="16"/>
  <c r="Y215" i="16"/>
  <c r="T215" i="16" s="1"/>
  <c r="Y131" i="16"/>
  <c r="Y282" i="16"/>
  <c r="Y826" i="16"/>
  <c r="Y722" i="16"/>
  <c r="Y797" i="16"/>
  <c r="Y355" i="16"/>
  <c r="Y862" i="16"/>
  <c r="Y249" i="16"/>
  <c r="Y453" i="16"/>
  <c r="Y202" i="16"/>
  <c r="Y402" i="16"/>
  <c r="T402" i="16" s="1"/>
  <c r="Y478" i="16"/>
  <c r="Y395" i="16"/>
  <c r="Y225" i="16"/>
  <c r="Y683" i="16"/>
  <c r="T683" i="16" s="1"/>
  <c r="Y84" i="16"/>
  <c r="Y408" i="16"/>
  <c r="T408" i="16" s="1"/>
  <c r="Y646" i="16"/>
  <c r="Y165" i="16"/>
  <c r="T165" i="16" s="1"/>
  <c r="Y762" i="16"/>
  <c r="T762" i="16" s="1"/>
  <c r="Y677" i="16"/>
  <c r="T677" i="16" s="1"/>
  <c r="Y450" i="16"/>
  <c r="T450" i="16" s="1"/>
  <c r="Y289" i="16"/>
  <c r="Y164" i="16"/>
  <c r="Y108" i="16"/>
  <c r="Y267" i="16"/>
  <c r="Y255" i="16"/>
  <c r="Y865" i="16"/>
  <c r="Y386" i="16"/>
  <c r="Y615" i="16"/>
  <c r="Y563" i="16"/>
  <c r="Y461" i="16"/>
  <c r="Y488" i="16"/>
  <c r="Y54" i="16"/>
  <c r="Y490" i="16"/>
  <c r="T490" i="16" s="1"/>
  <c r="Y728" i="16"/>
  <c r="Y724" i="16"/>
  <c r="Y538" i="16"/>
  <c r="Y641" i="16"/>
  <c r="T641" i="16" s="1"/>
  <c r="Y272" i="16"/>
  <c r="Y352" i="16"/>
  <c r="Y262" i="16"/>
  <c r="Y349" i="16"/>
  <c r="Y306" i="16"/>
  <c r="Y481" i="16"/>
  <c r="Y384" i="16"/>
  <c r="T384" i="16" s="1"/>
  <c r="Y90" i="16"/>
  <c r="Y472" i="16"/>
  <c r="Y769" i="16"/>
  <c r="Y720" i="16"/>
  <c r="Y552" i="16"/>
  <c r="Y170" i="16"/>
  <c r="Y581" i="16"/>
  <c r="Y648" i="16"/>
  <c r="Y494" i="16"/>
  <c r="Y376" i="16"/>
  <c r="Y626" i="16"/>
  <c r="Y841" i="16"/>
  <c r="T841" i="16" s="1"/>
  <c r="Y365" i="16"/>
  <c r="T365" i="16" s="1"/>
  <c r="Y328" i="16"/>
  <c r="T328" i="16" s="1"/>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V473" i="16" a="1"/>
  <c r="V473" i="16" s="1"/>
  <c r="V769" i="16" a="1"/>
  <c r="V769" i="16" s="1"/>
  <c r="V814" i="16" a="1"/>
  <c r="V814" i="16"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5" i="15"/>
  <c r="H7" i="15" l="1"/>
  <c r="C7" i="13"/>
  <c r="C11" i="13"/>
  <c r="I11" i="13" s="1"/>
  <c r="I32" i="13"/>
  <c r="J32" i="13"/>
  <c r="C5" i="13"/>
  <c r="E26" i="13"/>
  <c r="K26" i="13" s="1"/>
  <c r="E16" i="13"/>
  <c r="W16" i="13" s="1"/>
  <c r="E39" i="13"/>
  <c r="W39" i="13" s="1"/>
  <c r="E9" i="13"/>
  <c r="W9" i="13" s="1"/>
  <c r="K10" i="17" s="1"/>
  <c r="C41" i="13"/>
  <c r="F39" i="13" s="1" a="1"/>
  <c r="F39" i="13" s="1"/>
  <c r="A13" i="13"/>
  <c r="E12" i="13"/>
  <c r="W12" i="13" s="1"/>
  <c r="K13" i="17" s="1"/>
  <c r="A24" i="13"/>
  <c r="A25" i="13" s="1"/>
  <c r="C18" i="13"/>
  <c r="C19" i="13" s="1"/>
  <c r="C20" i="13" s="1"/>
  <c r="C22" i="13"/>
  <c r="C21" i="13"/>
  <c r="E19" i="13"/>
  <c r="W19" i="13" s="1"/>
  <c r="K7" i="17" s="1"/>
  <c r="A33" i="13"/>
  <c r="A34" i="13" s="1"/>
  <c r="E33" i="13"/>
  <c r="W33" i="13" s="1"/>
  <c r="K21" i="17"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S14" i="13"/>
  <c r="W14" i="13"/>
  <c r="X14" i="13"/>
  <c r="E25" i="13"/>
  <c r="W25" i="13" s="1"/>
  <c r="K17" i="17" s="1"/>
  <c r="E15" i="13"/>
  <c r="W15" i="13" s="1"/>
  <c r="E20" i="13"/>
  <c r="W20" i="13" s="1"/>
  <c r="K8" i="17" s="1"/>
  <c r="E7" i="13"/>
  <c r="E28" i="13"/>
  <c r="E24" i="13"/>
  <c r="W24" i="13" s="1"/>
  <c r="K16" i="17" s="1"/>
  <c r="E8" i="13"/>
  <c r="W8" i="13" s="1"/>
  <c r="K9" i="17" s="1"/>
  <c r="E13" i="13"/>
  <c r="W13" i="13" s="1"/>
  <c r="K12" i="17" s="1"/>
  <c r="E23" i="13"/>
  <c r="W23" i="13" s="1"/>
  <c r="K15" i="17" s="1"/>
  <c r="I2" i="17"/>
  <c r="J2" i="17" s="1"/>
  <c r="C40" i="13"/>
  <c r="C39" i="13" s="1"/>
  <c r="J39" i="13" s="1"/>
  <c r="V748" i="16" a="1"/>
  <c r="V748" i="16" s="1"/>
  <c r="V844" i="16" a="1"/>
  <c r="V844" i="16" s="1"/>
  <c r="J10" i="15"/>
  <c r="K10" i="15" s="1"/>
  <c r="C6" i="13"/>
  <c r="V841" i="16" a="1"/>
  <c r="V841" i="16" s="1"/>
  <c r="V743" i="16" a="1"/>
  <c r="V743" i="16" s="1"/>
  <c r="E5" i="13" s="1"/>
  <c r="W5" i="13" s="1"/>
  <c r="K2" i="17" s="1"/>
  <c r="V747" i="16" a="1"/>
  <c r="V747" i="16" s="1"/>
  <c r="E11" i="13" s="1"/>
  <c r="V745" i="16" a="1"/>
  <c r="V745" i="16" s="1"/>
  <c r="V746" i="16" a="1"/>
  <c r="V746" i="16" s="1"/>
  <c r="V744" i="16" a="1"/>
  <c r="V744" i="16" s="1"/>
  <c r="V842" i="16" a="1"/>
  <c r="V842" i="16" s="1"/>
  <c r="V845" i="16" a="1"/>
  <c r="V845" i="16" s="1"/>
  <c r="E40" i="13"/>
  <c r="X40" i="13" s="1"/>
  <c r="K11" i="17"/>
  <c r="V843" i="16" a="1"/>
  <c r="V843" i="16" s="1"/>
  <c r="Y326" i="16"/>
  <c r="E41" i="13"/>
  <c r="W41" i="13" s="1"/>
  <c r="I38" i="13"/>
  <c r="E6" i="13"/>
  <c r="I3" i="17"/>
  <c r="P6" i="13" s="1"/>
  <c r="I5" i="17"/>
  <c r="I6" i="17"/>
  <c r="I7" i="17"/>
  <c r="P19" i="13" s="1"/>
  <c r="I4" i="17"/>
  <c r="P7" i="13" s="1"/>
  <c r="I30" i="17"/>
  <c r="J30" i="17" s="1"/>
  <c r="I29" i="17"/>
  <c r="J29" i="17" s="1"/>
  <c r="I11" i="17"/>
  <c r="P10" i="13" s="1"/>
  <c r="I14" i="17"/>
  <c r="P22" i="13" s="1"/>
  <c r="I13" i="17"/>
  <c r="P12" i="13" s="1"/>
  <c r="J38" i="13"/>
  <c r="V869" i="16" a="1"/>
  <c r="V869" i="16" s="1"/>
  <c r="V868" i="16" a="1"/>
  <c r="V868" i="16" s="1"/>
  <c r="V867" i="16" a="1"/>
  <c r="V867" i="16" s="1"/>
  <c r="V870" i="16" a="1"/>
  <c r="V870" i="16" s="1"/>
  <c r="I12" i="17"/>
  <c r="P13" i="13" s="1"/>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J11" i="13" l="1"/>
  <c r="K11" i="13" s="1"/>
  <c r="K39" i="13"/>
  <c r="A15" i="13"/>
  <c r="H39" i="13"/>
  <c r="S39" i="13"/>
  <c r="X39" i="13"/>
  <c r="H26" i="13"/>
  <c r="W26" i="13"/>
  <c r="S26" i="13"/>
  <c r="X26" i="13"/>
  <c r="E1" i="13"/>
  <c r="S11" i="13"/>
  <c r="X11" i="13"/>
  <c r="W11" i="13"/>
  <c r="I41" i="13"/>
  <c r="J41" i="13"/>
  <c r="K41" i="13" s="1"/>
  <c r="K32" i="13"/>
  <c r="H32" i="13"/>
  <c r="W32" i="13"/>
  <c r="S32" i="13"/>
  <c r="N2" i="17"/>
  <c r="O2" i="17"/>
  <c r="M2" i="17"/>
  <c r="L2" i="17"/>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X41" i="13"/>
  <c r="W6" i="13"/>
  <c r="K3" i="17" s="1"/>
  <c r="J7" i="17"/>
  <c r="J13" i="17"/>
  <c r="J11" i="17"/>
  <c r="J12" i="17"/>
  <c r="J14" i="17"/>
  <c r="J9" i="17"/>
  <c r="J21" i="17"/>
  <c r="J8" i="17"/>
  <c r="J10" i="17"/>
  <c r="J22" i="17"/>
  <c r="J15" i="17"/>
  <c r="J20" i="17"/>
  <c r="J19" i="17"/>
  <c r="J16" i="17"/>
  <c r="J17" i="17"/>
  <c r="P2" i="17" l="1"/>
  <c r="Q2" i="17" s="1"/>
  <c r="L3" i="17"/>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l="1"/>
  <c r="G5" i="13" s="1" a="1"/>
  <c r="G5" i="13" s="1"/>
  <c r="H5" i="13" s="1"/>
  <c r="P4" i="17"/>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Q5" i="13"/>
  <c r="F22" i="13" a="1"/>
  <c r="F20" i="13" a="1"/>
  <c r="X5" i="13" l="1"/>
  <c r="J5" i="13"/>
  <c r="K5" i="13" s="1"/>
  <c r="R16" i="13"/>
  <c r="X16" i="13" s="1"/>
  <c r="R7" i="13"/>
  <c r="Q10" i="17"/>
  <c r="X27" i="13"/>
  <c r="Q21" i="17"/>
  <c r="Q22" i="17"/>
  <c r="R15" i="13"/>
  <c r="X15" i="13" s="1"/>
  <c r="Q20" i="17"/>
  <c r="X23" i="13"/>
  <c r="R6" i="13"/>
  <c r="Q5" i="17"/>
  <c r="Q15" i="17"/>
  <c r="Q23" i="17"/>
  <c r="Q18" i="17"/>
  <c r="R18" i="13"/>
  <c r="Q14" i="17"/>
  <c r="X19" i="13"/>
  <c r="X10" i="13"/>
  <c r="Q11" i="17"/>
  <c r="R12" i="13"/>
  <c r="X12" i="13" s="1"/>
  <c r="Q9" i="17"/>
  <c r="X13" i="13"/>
  <c r="Q7" i="17"/>
  <c r="Q19" i="17"/>
  <c r="R20" i="13"/>
  <c r="X20" i="13" s="1"/>
  <c r="Q12" i="17"/>
  <c r="Q17" i="17"/>
  <c r="Q16" i="17"/>
  <c r="F20" i="13"/>
  <c r="I20" i="13" s="1"/>
  <c r="F22" i="13"/>
  <c r="I22" i="13" s="1"/>
  <c r="X29" i="13"/>
  <c r="X34" i="13"/>
  <c r="X17" i="13"/>
  <c r="X7" i="13" l="1"/>
  <c r="X18" i="13"/>
  <c r="X6" i="13"/>
  <c r="S8" i="13" l="1"/>
  <c r="S9" i="13"/>
  <c r="S33" i="13"/>
  <c r="S17" i="13"/>
  <c r="S5" i="13"/>
  <c r="S25" i="13"/>
  <c r="S35" i="13"/>
  <c r="S10" i="13"/>
  <c r="S20" i="13"/>
  <c r="S31" i="13"/>
  <c r="S23" i="13"/>
  <c r="S16" i="13"/>
  <c r="S13" i="13"/>
  <c r="S19" i="13"/>
  <c r="S18" i="13"/>
  <c r="S22" i="13"/>
  <c r="S27" i="13"/>
  <c r="S12" i="13"/>
  <c r="S29" i="13"/>
  <c r="S34" i="13"/>
  <c r="S15" i="13"/>
  <c r="S6" i="13"/>
  <c r="S24" i="13"/>
  <c r="S7" i="13"/>
  <c r="G7" i="13" a="1"/>
  <c r="G18" i="13" a="1"/>
  <c r="G16" i="13" a="1"/>
  <c r="G6" i="13" a="1"/>
  <c r="G6" i="13" l="1"/>
  <c r="G7" i="13"/>
  <c r="G18" i="13"/>
  <c r="G16" i="13"/>
  <c r="J16" i="13" s="1"/>
  <c r="K16" i="13" s="1"/>
  <c r="H6" i="13" l="1"/>
  <c r="J6" i="13"/>
  <c r="K6" i="13" s="1"/>
  <c r="H16" i="13"/>
  <c r="J18" i="13"/>
  <c r="H18" i="13"/>
  <c r="H7" i="13"/>
  <c r="J7" i="13"/>
  <c r="G10" i="13" a="1"/>
  <c r="G15" i="13" a="1"/>
  <c r="G17" i="13" a="1"/>
  <c r="G15" i="13" l="1"/>
  <c r="G17" i="13"/>
  <c r="G10" i="13"/>
  <c r="K7" i="13"/>
  <c r="K18" i="13"/>
  <c r="J15" i="13" l="1"/>
  <c r="K15" i="13" s="1"/>
  <c r="H15" i="13"/>
  <c r="H10" i="13"/>
  <c r="J10" i="13"/>
  <c r="H17" i="13"/>
  <c r="J17" i="13"/>
  <c r="G19" i="13" a="1"/>
  <c r="G12" i="13" a="1"/>
  <c r="G19" i="13" l="1"/>
  <c r="G12" i="13"/>
  <c r="K17" i="13"/>
  <c r="K10" i="13"/>
  <c r="J19" i="13" l="1"/>
  <c r="H19" i="13"/>
  <c r="H12" i="13"/>
  <c r="J12" i="13"/>
  <c r="G24" i="13" a="1"/>
  <c r="G23" i="13" a="1"/>
  <c r="G13" i="13" a="1"/>
  <c r="G27" i="13" a="1"/>
  <c r="G20" i="13" a="1"/>
  <c r="G34" i="13" a="1"/>
  <c r="G22" i="13" a="1"/>
  <c r="G27" i="13" l="1"/>
  <c r="G13" i="13"/>
  <c r="G34" i="13"/>
  <c r="G20" i="13"/>
  <c r="G24" i="13"/>
  <c r="G23" i="13"/>
  <c r="G22" i="13"/>
  <c r="K19" i="13"/>
  <c r="K12" i="13"/>
  <c r="H20" i="13" l="1"/>
  <c r="J20" i="13"/>
  <c r="H24" i="13"/>
  <c r="J24" i="13"/>
  <c r="K24" i="13" s="1"/>
  <c r="J22" i="13"/>
  <c r="H22" i="13"/>
  <c r="J34" i="13"/>
  <c r="H34" i="13"/>
  <c r="H23" i="13"/>
  <c r="J23" i="13"/>
  <c r="K23" i="13" s="1"/>
  <c r="J13" i="13"/>
  <c r="H13" i="13"/>
  <c r="H27" i="13"/>
  <c r="J27" i="13"/>
  <c r="K27" i="13" s="1"/>
  <c r="G29" i="13" a="1"/>
  <c r="G8" i="13" a="1"/>
  <c r="G35" i="13" a="1"/>
  <c r="G25" i="13" a="1"/>
  <c r="G33" i="13" a="1"/>
  <c r="G29" i="13" l="1"/>
  <c r="G35" i="13"/>
  <c r="G25" i="13"/>
  <c r="G33" i="13"/>
  <c r="G8" i="13"/>
  <c r="K34" i="13"/>
  <c r="K13" i="13"/>
  <c r="K22" i="13"/>
  <c r="K20" i="13"/>
  <c r="J29" i="13" l="1"/>
  <c r="K29" i="13" s="1"/>
  <c r="H29" i="13"/>
  <c r="H8" i="13"/>
  <c r="J8" i="13"/>
  <c r="J33" i="13"/>
  <c r="K33" i="13" s="1"/>
  <c r="H33" i="13"/>
  <c r="H25" i="13"/>
  <c r="J25" i="13"/>
  <c r="H35" i="13"/>
  <c r="J35" i="13"/>
  <c r="K35" i="13" s="1"/>
  <c r="G9" i="13" a="1"/>
  <c r="G31" i="13" a="1"/>
  <c r="G31" i="13" l="1"/>
  <c r="G9" i="13"/>
  <c r="K25" i="13"/>
  <c r="K8" i="13"/>
  <c r="J9" i="13" l="1"/>
  <c r="K9" i="13" s="1"/>
  <c r="H9" i="13"/>
  <c r="H31" i="13"/>
  <c r="J31" i="13"/>
  <c r="K31"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<sst xmlns="http://schemas.openxmlformats.org/spreadsheetml/2006/main" count="5202" uniqueCount="972">
  <si>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</si>
  <si>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</si>
  <si>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</si>
  <si>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</si>
  <si>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</si>
  <si>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</si>
  <si>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</si>
  <si>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</si>
  <si>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</si>
  <si>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</si>
  <si>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</si>
  <si>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</si>
  <si>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</si>
  <si>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</si>
  <si>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</si>
  <si>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</si>
  <si>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</si>
  <si>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</si>
  <si>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</si>
  <si>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</si>
  <si>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</si>
  <si>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</si>
  <si>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</si>
  <si>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</si>
  <si>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</si>
  <si>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</si>
  <si>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</si>
  <si>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</si>
  <si>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</si>
  <si>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</si>
  <si>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</si>
  <si>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</si>
  <si>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</si>
  <si>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</si>
  <si>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</si>
  <si>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</si>
  <si>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</si>
  <si>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</si>
  <si>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</si>
  <si>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</si>
  <si>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</si>
  <si>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</si>
  <si>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</si>
  <si>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</si>
  <si>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</si>
  <si>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</si>
  <si>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</si>
  <si>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</si>
  <si>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</si>
  <si>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</si>
  <si>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</si>
  <si>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</si>
  <si>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</si>
  <si>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最大電流</t>
  </si>
  <si>
    <t>N</t>
  </si>
  <si>
    <t>整理</t>
    <phoneticPr fontId="2" type="noConversion"/>
  </si>
  <si>
    <t>最大電流</t>
    <phoneticPr fontId="2" type="noConversion"/>
  </si>
  <si>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</si>
  <si>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</si>
  <si>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</si>
  <si>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</si>
  <si>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</si>
  <si>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</si>
  <si>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主變代號</t>
    <phoneticPr fontId="2" type="noConversion"/>
  </si>
  <si>
    <t>(預留)</t>
    <phoneticPr fontId="2" type="noConversion"/>
  </si>
  <si>
    <t>可</t>
  </si>
  <si>
    <t>鎮興#32(G4800DD25) PLS開關切改入</t>
    <phoneticPr fontId="2" type="noConversion"/>
  </si>
  <si>
    <t>鎮興#32(G4800DD25) DS開關切改入</t>
    <phoneticPr fontId="2" type="noConversion"/>
  </si>
  <si>
    <t>饋線未取載</t>
    <phoneticPr fontId="2" type="noConversion"/>
  </si>
  <si>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</si>
  <si>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</si>
  <si>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</si>
  <si>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</si>
  <si>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</si>
  <si>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</si>
  <si>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</si>
  <si>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</si>
  <si>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</si>
  <si>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</si>
  <si>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</si>
  <si>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</si>
  <si>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</si>
  <si>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</si>
  <si>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</si>
  <si>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</si>
  <si>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</si>
  <si>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</si>
  <si>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</si>
  <si>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</si>
  <si>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</si>
  <si>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</si>
  <si>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</si>
  <si>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</si>
  <si>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</si>
  <si>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</si>
  <si>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</si>
  <si>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</si>
  <si>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</si>
  <si>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</si>
  <si>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</si>
  <si>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</si>
  <si>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</si>
  <si>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</si>
  <si>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</si>
  <si>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</si>
  <si>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</si>
  <si>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</si>
  <si>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</si>
  <si>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</si>
  <si>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</si>
  <si>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</si>
  <si>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</si>
  <si>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</si>
  <si>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</si>
  <si>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</si>
  <si>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</si>
  <si>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</si>
  <si>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</si>
  <si>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</si>
  <si>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</si>
  <si>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</si>
  <si>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</si>
  <si>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</si>
  <si>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</si>
  <si>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</si>
  <si>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</si>
  <si>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</si>
  <si>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</si>
  <si>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</si>
  <si>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</si>
  <si>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</si>
  <si>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</si>
  <si>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</si>
  <si>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</si>
  <si>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</si>
  <si>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</si>
  <si>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</si>
  <si>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</si>
  <si>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</si>
  <si>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</si>
  <si>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</si>
  <si>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</si>
  <si>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</si>
  <si>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</si>
  <si>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</si>
  <si>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</si>
  <si>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</si>
  <si>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</si>
  <si>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</si>
  <si>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</si>
  <si>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</si>
  <si>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</si>
  <si>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</si>
  <si>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</si>
  <si>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</si>
  <si>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</si>
  <si>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</si>
  <si>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</si>
  <si>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</si>
  <si>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</si>
  <si>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</si>
  <si>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</si>
  <si>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</si>
  <si>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</si>
  <si>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</si>
  <si>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</si>
  <si>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</si>
  <si>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</si>
  <si>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</si>
  <si>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</si>
  <si>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電流</t>
    <phoneticPr fontId="2" type="noConversion"/>
  </si>
  <si>
    <t>發生時間</t>
    <phoneticPr fontId="2" type="noConversion"/>
  </si>
  <si>
    <t>R</t>
    <phoneticPr fontId="2" type="noConversion"/>
  </si>
  <si>
    <t>T</t>
    <phoneticPr fontId="2" type="noConversion"/>
  </si>
  <si>
    <t>二水SS_IW</t>
    <phoneticPr fontId="2" type="noConversion"/>
  </si>
  <si>
    <t>#1MTR</t>
    <phoneticPr fontId="2" type="noConversion"/>
  </si>
  <si>
    <t>20:00:00</t>
    <phoneticPr fontId="2" type="noConversion"/>
  </si>
  <si>
    <t>19:00:00</t>
    <phoneticPr fontId="2" type="noConversion"/>
  </si>
  <si>
    <t>大莊線 (IW22)</t>
    <phoneticPr fontId="2" type="noConversion"/>
  </si>
  <si>
    <t>18:00:00</t>
    <phoneticPr fontId="2" type="noConversion"/>
  </si>
  <si>
    <t>11:00:00</t>
    <phoneticPr fontId="2" type="noConversion"/>
  </si>
  <si>
    <t>惠民線 (IW26)</t>
    <phoneticPr fontId="2" type="noConversion"/>
  </si>
  <si>
    <t>榮光線 (IW25)</t>
    <phoneticPr fontId="2" type="noConversion"/>
  </si>
  <si>
    <t>12:00:00</t>
    <phoneticPr fontId="2" type="noConversion"/>
  </si>
  <si>
    <t>17:00:00</t>
    <phoneticPr fontId="2" type="noConversion"/>
  </si>
  <si>
    <t>大崙線 (IW24)</t>
    <phoneticPr fontId="2" type="noConversion"/>
  </si>
  <si>
    <t>華成線 (IW29)</t>
    <phoneticPr fontId="2" type="noConversion"/>
  </si>
  <si>
    <t>#2MTR</t>
    <phoneticPr fontId="2" type="noConversion"/>
  </si>
  <si>
    <t>21:00:00</t>
    <phoneticPr fontId="2" type="noConversion"/>
  </si>
  <si>
    <t>吉安線 (IW30)</t>
    <phoneticPr fontId="2" type="noConversion"/>
  </si>
  <si>
    <t>柑園線 (IW34)</t>
    <phoneticPr fontId="2" type="noConversion"/>
  </si>
  <si>
    <t>大安線 (IW31)</t>
    <phoneticPr fontId="2" type="noConversion"/>
  </si>
  <si>
    <t>13:00:00</t>
    <phoneticPr fontId="2" type="noConversion"/>
  </si>
  <si>
    <t>羽台線 (IW33)</t>
    <phoneticPr fontId="2" type="noConversion"/>
  </si>
  <si>
    <t>00:00:00</t>
    <phoneticPr fontId="2" type="noConversion"/>
  </si>
  <si>
    <t>坑內線 (IW32)</t>
    <phoneticPr fontId="2" type="noConversion"/>
  </si>
  <si>
    <t>22:00:00</t>
    <phoneticPr fontId="2" type="noConversion"/>
  </si>
  <si>
    <t>#3MTR</t>
    <phoneticPr fontId="2" type="noConversion"/>
  </si>
  <si>
    <t>15:00:00</t>
    <phoneticPr fontId="2" type="noConversion"/>
  </si>
  <si>
    <t>南通線 (IW21)</t>
    <phoneticPr fontId="2" type="noConversion"/>
  </si>
  <si>
    <t>08:00:00</t>
    <phoneticPr fontId="2" type="noConversion"/>
  </si>
  <si>
    <t>源泉線 (IW20)</t>
    <phoneticPr fontId="2" type="noConversion"/>
  </si>
  <si>
    <t>榮民線 (IW27)</t>
    <phoneticPr fontId="2" type="noConversion"/>
  </si>
  <si>
    <t>14:00:00</t>
    <phoneticPr fontId="2" type="noConversion"/>
  </si>
  <si>
    <t>大同線 (IW23)</t>
    <phoneticPr fontId="2" type="noConversion"/>
  </si>
  <si>
    <t>16:00:00</t>
    <phoneticPr fontId="2" type="noConversion"/>
  </si>
  <si>
    <t>大田線 (IW28)</t>
    <phoneticPr fontId="2" type="noConversion"/>
  </si>
  <si>
    <t>10:00:00</t>
    <phoneticPr fontId="2" type="noConversion"/>
  </si>
  <si>
    <t>二林SS_IE</t>
    <phoneticPr fontId="2" type="noConversion"/>
  </si>
  <si>
    <t>永安線 (IE25)</t>
    <phoneticPr fontId="2" type="noConversion"/>
  </si>
  <si>
    <t>溝頭線 (IE24)</t>
    <phoneticPr fontId="2" type="noConversion"/>
  </si>
  <si>
    <t>23:00:00</t>
    <phoneticPr fontId="2" type="noConversion"/>
  </si>
  <si>
    <t>中西線 (IE21)</t>
    <phoneticPr fontId="2" type="noConversion"/>
  </si>
  <si>
    <t>埤北線 (IE27)</t>
    <phoneticPr fontId="2" type="noConversion"/>
  </si>
  <si>
    <t>07:00:00</t>
    <phoneticPr fontId="2" type="noConversion"/>
  </si>
  <si>
    <t>西斗線 (IE22)</t>
    <phoneticPr fontId="2" type="noConversion"/>
  </si>
  <si>
    <t>北平線 (IE23)</t>
    <phoneticPr fontId="2" type="noConversion"/>
  </si>
  <si>
    <t>廣西線 (IE28)</t>
    <phoneticPr fontId="2" type="noConversion"/>
  </si>
  <si>
    <t>三合線 (IE20)</t>
    <phoneticPr fontId="2" type="noConversion"/>
  </si>
  <si>
    <t>舊社線 (IE26)</t>
    <phoneticPr fontId="2" type="noConversion"/>
  </si>
  <si>
    <t>東興線 (IE29)</t>
    <phoneticPr fontId="2" type="noConversion"/>
  </si>
  <si>
    <t>大竹SS_IM</t>
    <phoneticPr fontId="2" type="noConversion"/>
  </si>
  <si>
    <t>竹彰線 (IM30)</t>
    <phoneticPr fontId="2" type="noConversion"/>
  </si>
  <si>
    <t>山坑線 (IM29)</t>
    <phoneticPr fontId="2" type="noConversion"/>
  </si>
  <si>
    <t>牛埔線 (IM26)</t>
    <phoneticPr fontId="2" type="noConversion"/>
  </si>
  <si>
    <t>大竹線 (IM22)</t>
    <phoneticPr fontId="2" type="noConversion"/>
  </si>
  <si>
    <t>渡船線 (IM20)</t>
    <phoneticPr fontId="2" type="noConversion"/>
  </si>
  <si>
    <t>渡橋線 (IM28)</t>
    <phoneticPr fontId="2" type="noConversion"/>
  </si>
  <si>
    <t>香山線 (IM27)</t>
    <phoneticPr fontId="2" type="noConversion"/>
  </si>
  <si>
    <t>09:00:00</t>
    <phoneticPr fontId="2" type="noConversion"/>
  </si>
  <si>
    <t>福山線 (IM25)</t>
    <phoneticPr fontId="2" type="noConversion"/>
  </si>
  <si>
    <t>中莊線 (IM24)</t>
    <phoneticPr fontId="2" type="noConversion"/>
  </si>
  <si>
    <t>快官線 (IM23)</t>
    <phoneticPr fontId="2" type="noConversion"/>
  </si>
  <si>
    <t>大東線 (IM21)</t>
    <phoneticPr fontId="2" type="noConversion"/>
  </si>
  <si>
    <t>大村SS_IN</t>
    <phoneticPr fontId="2" type="noConversion"/>
  </si>
  <si>
    <t>黃厝線 (IN28)</t>
    <phoneticPr fontId="2" type="noConversion"/>
  </si>
  <si>
    <t>中興線 (IN24)</t>
    <phoneticPr fontId="2" type="noConversion"/>
  </si>
  <si>
    <t>04:00:00</t>
    <phoneticPr fontId="2" type="noConversion"/>
  </si>
  <si>
    <t>內庄線 (IN20)</t>
    <phoneticPr fontId="2" type="noConversion"/>
  </si>
  <si>
    <t>三芬線 (IN31)</t>
    <phoneticPr fontId="2" type="noConversion"/>
  </si>
  <si>
    <t>村上線 (IN29)</t>
    <phoneticPr fontId="2" type="noConversion"/>
  </si>
  <si>
    <t>大橋線 (IN22)</t>
    <phoneticPr fontId="2" type="noConversion"/>
  </si>
  <si>
    <t>金墩線 (IN26)</t>
    <phoneticPr fontId="2" type="noConversion"/>
  </si>
  <si>
    <t>大村線 (IN23)</t>
    <phoneticPr fontId="2" type="noConversion"/>
  </si>
  <si>
    <t>灣口線 (IN27)</t>
    <phoneticPr fontId="2" type="noConversion"/>
  </si>
  <si>
    <t>長春線 (IN32)</t>
    <phoneticPr fontId="2" type="noConversion"/>
  </si>
  <si>
    <t>南寮線 (IN34)</t>
    <phoneticPr fontId="2" type="noConversion"/>
  </si>
  <si>
    <t>02:00:00</t>
    <phoneticPr fontId="2" type="noConversion"/>
  </si>
  <si>
    <t>上莊線 (IN33)</t>
    <phoneticPr fontId="2" type="noConversion"/>
  </si>
  <si>
    <t>三春線 (IN21)</t>
    <phoneticPr fontId="2" type="noConversion"/>
  </si>
  <si>
    <t>03:00:00</t>
    <phoneticPr fontId="2" type="noConversion"/>
  </si>
  <si>
    <t>村北線 (IN25)</t>
    <phoneticPr fontId="2" type="noConversion"/>
  </si>
  <si>
    <t>村宜線 (IN30)</t>
    <phoneticPr fontId="2" type="noConversion"/>
  </si>
  <si>
    <t>大城DS_9L</t>
    <phoneticPr fontId="2" type="noConversion"/>
  </si>
  <si>
    <t>#1DTR(A)</t>
    <phoneticPr fontId="2" type="noConversion"/>
  </si>
  <si>
    <t>9L21 (9L21)</t>
    <phoneticPr fontId="2" type="noConversion"/>
  </si>
  <si>
    <t>9L22 (9L22)</t>
    <phoneticPr fontId="2" type="noConversion"/>
  </si>
  <si>
    <t>9L23 (9L23)</t>
    <phoneticPr fontId="2" type="noConversion"/>
  </si>
  <si>
    <t>9L24 (9L24)</t>
    <phoneticPr fontId="2" type="noConversion"/>
  </si>
  <si>
    <t>9L25 (9L25)</t>
    <phoneticPr fontId="2" type="noConversion"/>
  </si>
  <si>
    <t>#1DTR(B1)</t>
    <phoneticPr fontId="2" type="noConversion"/>
  </si>
  <si>
    <t>9L26 (9L26)</t>
    <phoneticPr fontId="2" type="noConversion"/>
  </si>
  <si>
    <t>9L27 (9L27)</t>
    <phoneticPr fontId="2" type="noConversion"/>
  </si>
  <si>
    <t>05:00:00</t>
    <phoneticPr fontId="2" type="noConversion"/>
  </si>
  <si>
    <t>9L28 (9L28)</t>
    <phoneticPr fontId="2" type="noConversion"/>
  </si>
  <si>
    <t>9L29 (9L29)</t>
    <phoneticPr fontId="2" type="noConversion"/>
  </si>
  <si>
    <t>9L30 (9L30)</t>
    <phoneticPr fontId="2" type="noConversion"/>
  </si>
  <si>
    <t>#1DTR(B2)</t>
    <phoneticPr fontId="2" type="noConversion"/>
  </si>
  <si>
    <t>9LE0 (9LE0)</t>
    <phoneticPr fontId="2" type="noConversion"/>
  </si>
  <si>
    <t>9LE1 (9LE1)</t>
    <phoneticPr fontId="2" type="noConversion"/>
  </si>
  <si>
    <t>9LE2 (9LE2)</t>
    <phoneticPr fontId="2" type="noConversion"/>
  </si>
  <si>
    <t>9LE3 (9LE3)</t>
    <phoneticPr fontId="2" type="noConversion"/>
  </si>
  <si>
    <t>#2DTR(A1)</t>
    <phoneticPr fontId="2" type="noConversion"/>
  </si>
  <si>
    <t>9L35 (9L35)</t>
    <phoneticPr fontId="2" type="noConversion"/>
  </si>
  <si>
    <t>9L34 (9L34)</t>
    <phoneticPr fontId="2" type="noConversion"/>
  </si>
  <si>
    <t>9L33 (9L33)</t>
    <phoneticPr fontId="2" type="noConversion"/>
  </si>
  <si>
    <t>9L32 (9L32)</t>
    <phoneticPr fontId="2" type="noConversion"/>
  </si>
  <si>
    <t>9L31 (9L31)</t>
    <phoneticPr fontId="2" type="noConversion"/>
  </si>
  <si>
    <t>#2DTR(A2)</t>
    <phoneticPr fontId="2" type="noConversion"/>
  </si>
  <si>
    <t>9LE4 (9LE4)</t>
    <phoneticPr fontId="2" type="noConversion"/>
  </si>
  <si>
    <t>9LE5 (9LE5)</t>
    <phoneticPr fontId="2" type="noConversion"/>
  </si>
  <si>
    <t>9LE6 (9LE6)</t>
    <phoneticPr fontId="2" type="noConversion"/>
  </si>
  <si>
    <t>9LE7 (9LE7)</t>
    <phoneticPr fontId="2" type="noConversion"/>
  </si>
  <si>
    <t>#2DTR(B)</t>
    <phoneticPr fontId="2" type="noConversion"/>
  </si>
  <si>
    <t>9L40 (9L40)</t>
    <phoneticPr fontId="2" type="noConversion"/>
  </si>
  <si>
    <t>9L39 (9L39)</t>
    <phoneticPr fontId="2" type="noConversion"/>
  </si>
  <si>
    <t>9L38 (9L38)</t>
    <phoneticPr fontId="2" type="noConversion"/>
  </si>
  <si>
    <t>9L37 (9L37)</t>
    <phoneticPr fontId="2" type="noConversion"/>
  </si>
  <si>
    <t>9L36 (9L36)</t>
    <phoneticPr fontId="2" type="noConversion"/>
  </si>
  <si>
    <t>大霞DS_9K</t>
    <phoneticPr fontId="2" type="noConversion"/>
  </si>
  <si>
    <t>9K21 (9K21)</t>
    <phoneticPr fontId="2" type="noConversion"/>
  </si>
  <si>
    <t>9K22 (9K22)</t>
    <phoneticPr fontId="2" type="noConversion"/>
  </si>
  <si>
    <t>9K23 (9K23)</t>
    <phoneticPr fontId="2" type="noConversion"/>
  </si>
  <si>
    <t>9K24 (9K24)</t>
    <phoneticPr fontId="2" type="noConversion"/>
  </si>
  <si>
    <t>9K25 (9K25)</t>
    <phoneticPr fontId="2" type="noConversion"/>
  </si>
  <si>
    <t>#1DTR(B)</t>
    <phoneticPr fontId="2" type="noConversion"/>
  </si>
  <si>
    <t>9K26 (9K26)</t>
    <phoneticPr fontId="2" type="noConversion"/>
  </si>
  <si>
    <t>9K27 (9K27)</t>
    <phoneticPr fontId="2" type="noConversion"/>
  </si>
  <si>
    <t>9K28 (9K28)</t>
    <phoneticPr fontId="2" type="noConversion"/>
  </si>
  <si>
    <t>9K29 (9K29)</t>
    <phoneticPr fontId="2" type="noConversion"/>
  </si>
  <si>
    <t>9K30 (9K30)</t>
    <phoneticPr fontId="2" type="noConversion"/>
  </si>
  <si>
    <t>#2DTR(A)</t>
    <phoneticPr fontId="2" type="noConversion"/>
  </si>
  <si>
    <t>9K31 (9K31)</t>
    <phoneticPr fontId="2" type="noConversion"/>
  </si>
  <si>
    <t>9K32 (9K32)</t>
    <phoneticPr fontId="2" type="noConversion"/>
  </si>
  <si>
    <t>9K34 (9K34)</t>
    <phoneticPr fontId="2" type="noConversion"/>
  </si>
  <si>
    <t>9K35 (9K35)</t>
    <phoneticPr fontId="2" type="noConversion"/>
  </si>
  <si>
    <t>06:00:00</t>
    <phoneticPr fontId="2" type="noConversion"/>
  </si>
  <si>
    <t>9K33 (9K33)</t>
    <phoneticPr fontId="2" type="noConversion"/>
  </si>
  <si>
    <t>9K36 (9K36)</t>
    <phoneticPr fontId="2" type="noConversion"/>
  </si>
  <si>
    <t>9K37 (9K37)</t>
    <phoneticPr fontId="2" type="noConversion"/>
  </si>
  <si>
    <t>9K38 (9K38)</t>
    <phoneticPr fontId="2" type="noConversion"/>
  </si>
  <si>
    <t>9K39 (9K39)</t>
    <phoneticPr fontId="2" type="noConversion"/>
  </si>
  <si>
    <t>9K40 (9K40)</t>
    <phoneticPr fontId="2" type="noConversion"/>
  </si>
  <si>
    <t>北斗SS_IX</t>
    <phoneticPr fontId="2" type="noConversion"/>
  </si>
  <si>
    <t>斗裕線 (IX25)</t>
    <phoneticPr fontId="2" type="noConversion"/>
  </si>
  <si>
    <t>斗永線 (IX23)</t>
    <phoneticPr fontId="2" type="noConversion"/>
  </si>
  <si>
    <t>斗州線 (IX26)</t>
    <phoneticPr fontId="2" type="noConversion"/>
  </si>
  <si>
    <t>斗湖線 (IX30)</t>
    <phoneticPr fontId="2" type="noConversion"/>
  </si>
  <si>
    <t>文宗線 (IX24)</t>
    <phoneticPr fontId="2" type="noConversion"/>
  </si>
  <si>
    <t>斗建線 (IX28)</t>
    <phoneticPr fontId="2" type="noConversion"/>
  </si>
  <si>
    <t>斗鳳線 (IX34)</t>
    <phoneticPr fontId="2" type="noConversion"/>
  </si>
  <si>
    <t>斗圳線 (IX31)</t>
    <phoneticPr fontId="2" type="noConversion"/>
  </si>
  <si>
    <t>斗溪線 (IX33)</t>
    <phoneticPr fontId="2" type="noConversion"/>
  </si>
  <si>
    <t>斗興線 (IX32)</t>
    <phoneticPr fontId="2" type="noConversion"/>
  </si>
  <si>
    <t>斗海線 (IX22)</t>
    <phoneticPr fontId="2" type="noConversion"/>
  </si>
  <si>
    <t>斗苑線 (IX20)</t>
    <phoneticPr fontId="2" type="noConversion"/>
  </si>
  <si>
    <t>斗中線 (IX21)</t>
    <phoneticPr fontId="2" type="noConversion"/>
  </si>
  <si>
    <t>斗工線 (IX29)</t>
    <phoneticPr fontId="2" type="noConversion"/>
  </si>
  <si>
    <t>斗民線 (IX27)</t>
    <phoneticPr fontId="2" type="noConversion"/>
  </si>
  <si>
    <t>田中DS_IG</t>
    <phoneticPr fontId="2" type="noConversion"/>
  </si>
  <si>
    <t>IG30 (IG30)</t>
    <phoneticPr fontId="2" type="noConversion"/>
  </si>
  <si>
    <t>IG31 (IG31)</t>
    <phoneticPr fontId="2" type="noConversion"/>
  </si>
  <si>
    <t>IG32 (IG32)</t>
    <phoneticPr fontId="2" type="noConversion"/>
  </si>
  <si>
    <t>IG33 (IG33)</t>
    <phoneticPr fontId="2" type="noConversion"/>
  </si>
  <si>
    <t>IG34 (IG34)</t>
    <phoneticPr fontId="2" type="noConversion"/>
  </si>
  <si>
    <t>IG35 (IG35)</t>
    <phoneticPr fontId="2" type="noConversion"/>
  </si>
  <si>
    <t>IG36 (IG36)</t>
    <phoneticPr fontId="2" type="noConversion"/>
  </si>
  <si>
    <t>IG37 (IG37)</t>
    <phoneticPr fontId="2" type="noConversion"/>
  </si>
  <si>
    <t>IG38 (IG38)</t>
    <phoneticPr fontId="2" type="noConversion"/>
  </si>
  <si>
    <t>IG39 (IG39)</t>
    <phoneticPr fontId="2" type="noConversion"/>
  </si>
  <si>
    <t>IG40 (IG40)</t>
    <phoneticPr fontId="2" type="noConversion"/>
  </si>
  <si>
    <t>IG41 (IG41)</t>
    <phoneticPr fontId="2" type="noConversion"/>
  </si>
  <si>
    <t>IG43 (IG43)</t>
    <phoneticPr fontId="2" type="noConversion"/>
  </si>
  <si>
    <t>IG44 (IG44)</t>
    <phoneticPr fontId="2" type="noConversion"/>
  </si>
  <si>
    <t>IG42 (IG42)</t>
    <phoneticPr fontId="2" type="noConversion"/>
  </si>
  <si>
    <t>IG45 (IG45)</t>
    <phoneticPr fontId="2" type="noConversion"/>
  </si>
  <si>
    <t>IG46 (IG46)</t>
    <phoneticPr fontId="2" type="noConversion"/>
  </si>
  <si>
    <t>IG47 (IG47)</t>
    <phoneticPr fontId="2" type="noConversion"/>
  </si>
  <si>
    <t>IG48 (IG48)</t>
    <phoneticPr fontId="2" type="noConversion"/>
  </si>
  <si>
    <t>IG49 (IG49)</t>
    <phoneticPr fontId="2" type="noConversion"/>
  </si>
  <si>
    <t>全興ES_IZ</t>
    <phoneticPr fontId="2" type="noConversion"/>
  </si>
  <si>
    <t>#1DTR</t>
    <phoneticPr fontId="2" type="noConversion"/>
  </si>
  <si>
    <t>IZ51 (IZ51)</t>
    <phoneticPr fontId="2" type="noConversion"/>
  </si>
  <si>
    <t>IZ52 (IZ52)</t>
    <phoneticPr fontId="2" type="noConversion"/>
  </si>
  <si>
    <t>IZ53 (IZ53)</t>
    <phoneticPr fontId="2" type="noConversion"/>
  </si>
  <si>
    <t>IZ54 (IZ54)</t>
    <phoneticPr fontId="2" type="noConversion"/>
  </si>
  <si>
    <t>IZ55 (IZ55)</t>
    <phoneticPr fontId="2" type="noConversion"/>
  </si>
  <si>
    <t>IZ56 (IZ56)</t>
    <phoneticPr fontId="2" type="noConversion"/>
  </si>
  <si>
    <t>IZ57 (IZ57)</t>
    <phoneticPr fontId="2" type="noConversion"/>
  </si>
  <si>
    <t>IZ58 (IZ58)</t>
    <phoneticPr fontId="2" type="noConversion"/>
  </si>
  <si>
    <t>#2DTR</t>
    <phoneticPr fontId="2" type="noConversion"/>
  </si>
  <si>
    <t>IZ61 (IZ61)</t>
    <phoneticPr fontId="2" type="noConversion"/>
  </si>
  <si>
    <t>IZ62 (IZ62)</t>
    <phoneticPr fontId="2" type="noConversion"/>
  </si>
  <si>
    <t>IZ63 (IZ63)</t>
    <phoneticPr fontId="2" type="noConversion"/>
  </si>
  <si>
    <t>IZ64 (IZ64)</t>
    <phoneticPr fontId="2" type="noConversion"/>
  </si>
  <si>
    <t>IZ65 (IZ65)</t>
    <phoneticPr fontId="2" type="noConversion"/>
  </si>
  <si>
    <t>IZ66 (IZ66)</t>
    <phoneticPr fontId="2" type="noConversion"/>
  </si>
  <si>
    <t>IZ67 (IZ67)</t>
    <phoneticPr fontId="2" type="noConversion"/>
  </si>
  <si>
    <t>IZ68 (IZ68)</t>
    <phoneticPr fontId="2" type="noConversion"/>
  </si>
  <si>
    <t>#3DTR(A)</t>
    <phoneticPr fontId="2" type="noConversion"/>
  </si>
  <si>
    <t>IZ23 (IZ23)</t>
    <phoneticPr fontId="2" type="noConversion"/>
  </si>
  <si>
    <t>IZ22 (IZ22)</t>
    <phoneticPr fontId="2" type="noConversion"/>
  </si>
  <si>
    <t>IZ21 (IZ21)</t>
    <phoneticPr fontId="2" type="noConversion"/>
  </si>
  <si>
    <t>#3DTR(B)</t>
    <phoneticPr fontId="2" type="noConversion"/>
  </si>
  <si>
    <t>IZ26 (IZ26)</t>
    <phoneticPr fontId="2" type="noConversion"/>
  </si>
  <si>
    <t>IZ25 (IZ25)</t>
    <phoneticPr fontId="2" type="noConversion"/>
  </si>
  <si>
    <t>01:00:00</t>
    <phoneticPr fontId="2" type="noConversion"/>
  </si>
  <si>
    <t>IZ24 (IZ24)</t>
    <phoneticPr fontId="2" type="noConversion"/>
  </si>
  <si>
    <t>伸港SS_IV</t>
    <phoneticPr fontId="2" type="noConversion"/>
  </si>
  <si>
    <t>IV51 (IV51)</t>
    <phoneticPr fontId="2" type="noConversion"/>
  </si>
  <si>
    <t>IV52 (IV52)</t>
    <phoneticPr fontId="2" type="noConversion"/>
  </si>
  <si>
    <t>IV53 (IV53)</t>
    <phoneticPr fontId="2" type="noConversion"/>
  </si>
  <si>
    <t>IV54 (IV54)</t>
    <phoneticPr fontId="2" type="noConversion"/>
  </si>
  <si>
    <t>IV55 (IV55)</t>
    <phoneticPr fontId="2" type="noConversion"/>
  </si>
  <si>
    <t>伸湖線 (IV32)</t>
    <phoneticPr fontId="2" type="noConversion"/>
  </si>
  <si>
    <t>伸隆線 (IV34)</t>
    <phoneticPr fontId="2" type="noConversion"/>
  </si>
  <si>
    <t>伸尾線 (IV33)</t>
    <phoneticPr fontId="2" type="noConversion"/>
  </si>
  <si>
    <t>伸松線 (IV35)</t>
    <phoneticPr fontId="2" type="noConversion"/>
  </si>
  <si>
    <t>伸工線 (IV31)</t>
    <phoneticPr fontId="2" type="noConversion"/>
  </si>
  <si>
    <t>頂溪線 (IV24)</t>
    <phoneticPr fontId="2" type="noConversion"/>
  </si>
  <si>
    <t>伸海線 (IV25)</t>
    <phoneticPr fontId="2" type="noConversion"/>
  </si>
  <si>
    <t>水尾線 (IV22)</t>
    <phoneticPr fontId="2" type="noConversion"/>
  </si>
  <si>
    <t>草埔線 (IV21)</t>
    <phoneticPr fontId="2" type="noConversion"/>
  </si>
  <si>
    <t>伸三線 (IV29)</t>
    <phoneticPr fontId="2" type="noConversion"/>
  </si>
  <si>
    <t>伸港SS_SV</t>
    <phoneticPr fontId="2" type="noConversion"/>
  </si>
  <si>
    <t>和美SS_IJ</t>
    <phoneticPr fontId="2" type="noConversion"/>
  </si>
  <si>
    <t>和美線 (IJ23)</t>
    <phoneticPr fontId="2" type="noConversion"/>
  </si>
  <si>
    <t>和崁線 (IJ33)</t>
    <phoneticPr fontId="2" type="noConversion"/>
  </si>
  <si>
    <t>汴頭線 (IJ30)</t>
    <phoneticPr fontId="2" type="noConversion"/>
  </si>
  <si>
    <t>和西線 (IJ22)</t>
    <phoneticPr fontId="2" type="noConversion"/>
  </si>
  <si>
    <t>和張線 (IJ34)</t>
    <phoneticPr fontId="2" type="noConversion"/>
  </si>
  <si>
    <t>和發線 (IJ26)</t>
    <phoneticPr fontId="2" type="noConversion"/>
  </si>
  <si>
    <t>和東線 (IJ29)</t>
    <phoneticPr fontId="2" type="noConversion"/>
  </si>
  <si>
    <t>和南線 (IJ28)</t>
    <phoneticPr fontId="2" type="noConversion"/>
  </si>
  <si>
    <t>和雅線 (IJ32)</t>
    <phoneticPr fontId="2" type="noConversion"/>
  </si>
  <si>
    <t>和伸線 (IJ20)</t>
    <phoneticPr fontId="2" type="noConversion"/>
  </si>
  <si>
    <t>地政線 (IJ31)</t>
    <phoneticPr fontId="2" type="noConversion"/>
  </si>
  <si>
    <t>溪底線 (IJ24)</t>
    <phoneticPr fontId="2" type="noConversion"/>
  </si>
  <si>
    <t>下犁線 (IJ25)</t>
    <phoneticPr fontId="2" type="noConversion"/>
  </si>
  <si>
    <t>頂犁線 (IJ21)</t>
    <phoneticPr fontId="2" type="noConversion"/>
  </si>
  <si>
    <t>霞田線 (IJ27)</t>
    <phoneticPr fontId="2" type="noConversion"/>
  </si>
  <si>
    <t>社頭SS_IR</t>
    <phoneticPr fontId="2" type="noConversion"/>
  </si>
  <si>
    <t>社東線 (IR21)</t>
    <phoneticPr fontId="2" type="noConversion"/>
  </si>
  <si>
    <t>崙厝線 (IR31)</t>
    <phoneticPr fontId="2" type="noConversion"/>
  </si>
  <si>
    <t>雅果線 (IR32)</t>
    <phoneticPr fontId="2" type="noConversion"/>
  </si>
  <si>
    <t>清水線 (IR33)</t>
    <phoneticPr fontId="2" type="noConversion"/>
  </si>
  <si>
    <t>美雅線 (IR34)</t>
    <phoneticPr fontId="2" type="noConversion"/>
  </si>
  <si>
    <t>八堡線 (IR35)</t>
    <phoneticPr fontId="2" type="noConversion"/>
  </si>
  <si>
    <t>崙雅線 (IR25)</t>
    <phoneticPr fontId="2" type="noConversion"/>
  </si>
  <si>
    <t>朝興線 (IR26)</t>
    <phoneticPr fontId="2" type="noConversion"/>
  </si>
  <si>
    <t>新雅線 (IR20)</t>
    <phoneticPr fontId="2" type="noConversion"/>
  </si>
  <si>
    <t>社永線 (IR27)</t>
    <phoneticPr fontId="2" type="noConversion"/>
  </si>
  <si>
    <t>IR37 (IR37)</t>
    <phoneticPr fontId="2" type="noConversion"/>
  </si>
  <si>
    <t>IR38 (IR38)</t>
    <phoneticPr fontId="2" type="noConversion"/>
  </si>
  <si>
    <t>IR39 (IR39)</t>
    <phoneticPr fontId="2" type="noConversion"/>
  </si>
  <si>
    <t>IR36 (IR36)</t>
    <phoneticPr fontId="2" type="noConversion"/>
  </si>
  <si>
    <t>IR40 (IR40)</t>
    <phoneticPr fontId="2" type="noConversion"/>
  </si>
  <si>
    <t>#4MTR</t>
    <phoneticPr fontId="2" type="noConversion"/>
  </si>
  <si>
    <t>社斗線 (IR23)</t>
    <phoneticPr fontId="2" type="noConversion"/>
  </si>
  <si>
    <t>光雲線 (IR28)</t>
    <phoneticPr fontId="2" type="noConversion"/>
  </si>
  <si>
    <t>社西線 (IR22)</t>
    <phoneticPr fontId="2" type="noConversion"/>
  </si>
  <si>
    <t>圳尾線 (IR29)</t>
    <phoneticPr fontId="2" type="noConversion"/>
  </si>
  <si>
    <t>枋橋線 (IR24)</t>
    <phoneticPr fontId="2" type="noConversion"/>
  </si>
  <si>
    <t>芳苑SS_IY</t>
    <phoneticPr fontId="2" type="noConversion"/>
  </si>
  <si>
    <t>芳森線 (IY31)</t>
    <phoneticPr fontId="2" type="noConversion"/>
  </si>
  <si>
    <t>芳苑線 (IY21)</t>
    <phoneticPr fontId="2" type="noConversion"/>
  </si>
  <si>
    <t>芳中線 (IY32)</t>
    <phoneticPr fontId="2" type="noConversion"/>
  </si>
  <si>
    <t>芳隆線 (IY28)</t>
    <phoneticPr fontId="2" type="noConversion"/>
  </si>
  <si>
    <t>芳六線 (IY29)</t>
    <phoneticPr fontId="2" type="noConversion"/>
  </si>
  <si>
    <t>芳路線 (IY33)</t>
    <phoneticPr fontId="2" type="noConversion"/>
  </si>
  <si>
    <t>新街線 (IY20)</t>
    <phoneticPr fontId="2" type="noConversion"/>
  </si>
  <si>
    <t>芳林線 (IY34)</t>
    <phoneticPr fontId="2" type="noConversion"/>
  </si>
  <si>
    <t>芳街線 (IY35)</t>
    <phoneticPr fontId="2" type="noConversion"/>
  </si>
  <si>
    <t>永興線 (IY24)</t>
    <phoneticPr fontId="2" type="noConversion"/>
  </si>
  <si>
    <t>芳鵬線 (IY27)</t>
    <phoneticPr fontId="2" type="noConversion"/>
  </si>
  <si>
    <t>芳聚線 (IY26)</t>
    <phoneticPr fontId="2" type="noConversion"/>
  </si>
  <si>
    <t>芳南線 (IY22)</t>
    <phoneticPr fontId="2" type="noConversion"/>
  </si>
  <si>
    <t>芳北線 (IY23)</t>
    <phoneticPr fontId="2" type="noConversion"/>
  </si>
  <si>
    <t>芳麗線 (IY25)</t>
    <phoneticPr fontId="2" type="noConversion"/>
  </si>
  <si>
    <t>花壇DS_9P</t>
    <phoneticPr fontId="2" type="noConversion"/>
  </si>
  <si>
    <t>9P10 (9P10)</t>
    <phoneticPr fontId="2" type="noConversion"/>
  </si>
  <si>
    <t>9P11 (9P11)</t>
    <phoneticPr fontId="2" type="noConversion"/>
  </si>
  <si>
    <t>9P12 (9P12)</t>
    <phoneticPr fontId="2" type="noConversion"/>
  </si>
  <si>
    <t>9P13 (9P13)</t>
    <phoneticPr fontId="2" type="noConversion"/>
  </si>
  <si>
    <t>9P14 (9P14)</t>
    <phoneticPr fontId="2" type="noConversion"/>
  </si>
  <si>
    <t>9P15 (9P15)</t>
    <phoneticPr fontId="2" type="noConversion"/>
  </si>
  <si>
    <t>9P16 (9P16)</t>
    <phoneticPr fontId="2" type="noConversion"/>
  </si>
  <si>
    <t>9P17 (9P17)</t>
    <phoneticPr fontId="2" type="noConversion"/>
  </si>
  <si>
    <t>9P18 (9P18)</t>
    <phoneticPr fontId="2" type="noConversion"/>
  </si>
  <si>
    <t>9P19 (9P19)</t>
    <phoneticPr fontId="2" type="noConversion"/>
  </si>
  <si>
    <t>9P20 (9P20)</t>
    <phoneticPr fontId="2" type="noConversion"/>
  </si>
  <si>
    <t>9P21 (9P21)</t>
    <phoneticPr fontId="2" type="noConversion"/>
  </si>
  <si>
    <t>9P22 (9P22)</t>
    <phoneticPr fontId="2" type="noConversion"/>
  </si>
  <si>
    <t>9P23 (9P23)</t>
    <phoneticPr fontId="2" type="noConversion"/>
  </si>
  <si>
    <t>9P24 (9P24)</t>
    <phoneticPr fontId="2" type="noConversion"/>
  </si>
  <si>
    <t>9P25 (9P25)</t>
    <phoneticPr fontId="2" type="noConversion"/>
  </si>
  <si>
    <t>9P26 (9P26)</t>
    <phoneticPr fontId="2" type="noConversion"/>
  </si>
  <si>
    <t>9P27 (9P27)</t>
    <phoneticPr fontId="2" type="noConversion"/>
  </si>
  <si>
    <t>9P28 (9P28)</t>
    <phoneticPr fontId="2" type="noConversion"/>
  </si>
  <si>
    <t>9P29 (9P29)</t>
    <phoneticPr fontId="2" type="noConversion"/>
  </si>
  <si>
    <t>員東DS_IU</t>
    <phoneticPr fontId="2" type="noConversion"/>
  </si>
  <si>
    <t>IU21 (IU21)</t>
    <phoneticPr fontId="2" type="noConversion"/>
  </si>
  <si>
    <t>宏進線 (IU22)</t>
    <phoneticPr fontId="2" type="noConversion"/>
  </si>
  <si>
    <t>中崙線 (IU23)</t>
    <phoneticPr fontId="2" type="noConversion"/>
  </si>
  <si>
    <t>東山線 (IU24)</t>
    <phoneticPr fontId="2" type="noConversion"/>
  </si>
  <si>
    <t>湖水線 (IU25)</t>
    <phoneticPr fontId="2" type="noConversion"/>
  </si>
  <si>
    <t>IU26 (IU26)</t>
    <phoneticPr fontId="2" type="noConversion"/>
  </si>
  <si>
    <t>東新線 (IU31)</t>
    <phoneticPr fontId="2" type="noConversion"/>
  </si>
  <si>
    <t>西東線 (IU32)</t>
    <phoneticPr fontId="2" type="noConversion"/>
  </si>
  <si>
    <t>三民線 (IU33)</t>
    <phoneticPr fontId="2" type="noConversion"/>
  </si>
  <si>
    <t>IU34 (IU34)</t>
    <phoneticPr fontId="2" type="noConversion"/>
  </si>
  <si>
    <t>東羽線 (IU27)</t>
    <phoneticPr fontId="2" type="noConversion"/>
  </si>
  <si>
    <t>東北線 (IU28)</t>
    <phoneticPr fontId="2" type="noConversion"/>
  </si>
  <si>
    <t>東水線 (IU29)</t>
    <phoneticPr fontId="2" type="noConversion"/>
  </si>
  <si>
    <t>三條線 (IU30)</t>
    <phoneticPr fontId="2" type="noConversion"/>
  </si>
  <si>
    <t>山腳線 (IU35)</t>
    <phoneticPr fontId="2" type="noConversion"/>
  </si>
  <si>
    <t>鎮興線 (IU36)</t>
    <phoneticPr fontId="2" type="noConversion"/>
  </si>
  <si>
    <t>東門線 (IU37)</t>
    <phoneticPr fontId="2" type="noConversion"/>
  </si>
  <si>
    <t>金安線 (IU38)</t>
    <phoneticPr fontId="2" type="noConversion"/>
  </si>
  <si>
    <t>IU39 (IU39)</t>
    <phoneticPr fontId="2" type="noConversion"/>
  </si>
  <si>
    <t>IU40 (IU40)</t>
    <phoneticPr fontId="2" type="noConversion"/>
  </si>
  <si>
    <t>員林DS_9C</t>
    <phoneticPr fontId="2" type="noConversion"/>
  </si>
  <si>
    <t>9C20 (9C20)</t>
    <phoneticPr fontId="2" type="noConversion"/>
  </si>
  <si>
    <t>9C21 (9C21)</t>
    <phoneticPr fontId="2" type="noConversion"/>
  </si>
  <si>
    <t>9C22 (9C22)</t>
    <phoneticPr fontId="2" type="noConversion"/>
  </si>
  <si>
    <t>9C23 (9C23)</t>
    <phoneticPr fontId="2" type="noConversion"/>
  </si>
  <si>
    <t>9C24 (9C24)</t>
    <phoneticPr fontId="2" type="noConversion"/>
  </si>
  <si>
    <t>9C25 (9C25)</t>
    <phoneticPr fontId="2" type="noConversion"/>
  </si>
  <si>
    <t>9C26 (9C26)</t>
    <phoneticPr fontId="2" type="noConversion"/>
  </si>
  <si>
    <t>9C27 (9C27)</t>
    <phoneticPr fontId="2" type="noConversion"/>
  </si>
  <si>
    <t>9C28 (9C28)</t>
    <phoneticPr fontId="2" type="noConversion"/>
  </si>
  <si>
    <t>9C29 (9C29)</t>
    <phoneticPr fontId="2" type="noConversion"/>
  </si>
  <si>
    <t>9C30 (9C30)</t>
    <phoneticPr fontId="2" type="noConversion"/>
  </si>
  <si>
    <t>9C31 (9C31)</t>
    <phoneticPr fontId="2" type="noConversion"/>
  </si>
  <si>
    <t>9C33 (9C33)</t>
    <phoneticPr fontId="2" type="noConversion"/>
  </si>
  <si>
    <t>9C34 (9C34)</t>
    <phoneticPr fontId="2" type="noConversion"/>
  </si>
  <si>
    <t>9C32 (9C32)</t>
    <phoneticPr fontId="2" type="noConversion"/>
  </si>
  <si>
    <t>9C35 (9C35)</t>
    <phoneticPr fontId="2" type="noConversion"/>
  </si>
  <si>
    <t>9C36 (9C36)</t>
    <phoneticPr fontId="2" type="noConversion"/>
  </si>
  <si>
    <t>9C37 (9C37)</t>
    <phoneticPr fontId="2" type="noConversion"/>
  </si>
  <si>
    <t>9C38 (9C38)</t>
    <phoneticPr fontId="2" type="noConversion"/>
  </si>
  <si>
    <t>9C39 (9C39)</t>
    <phoneticPr fontId="2" type="noConversion"/>
  </si>
  <si>
    <t>9C40 (9C40)</t>
    <phoneticPr fontId="2" type="noConversion"/>
  </si>
  <si>
    <t>9C41 (9C41)</t>
    <phoneticPr fontId="2" type="noConversion"/>
  </si>
  <si>
    <t>9C42 (9C42)</t>
    <phoneticPr fontId="2" type="noConversion"/>
  </si>
  <si>
    <t>9C43 (9C43)</t>
    <phoneticPr fontId="2" type="noConversion"/>
  </si>
  <si>
    <t>9C44 (9C44)</t>
    <phoneticPr fontId="2" type="noConversion"/>
  </si>
  <si>
    <t>9C45 (9C45)</t>
    <phoneticPr fontId="2" type="noConversion"/>
  </si>
  <si>
    <t>9C46 (9C46)</t>
    <phoneticPr fontId="2" type="noConversion"/>
  </si>
  <si>
    <t>9C47 (9C47)</t>
    <phoneticPr fontId="2" type="noConversion"/>
  </si>
  <si>
    <t>9C48 (9C48)</t>
    <phoneticPr fontId="2" type="noConversion"/>
  </si>
  <si>
    <t>9C49 (9C49)</t>
    <phoneticPr fontId="2" type="noConversion"/>
  </si>
  <si>
    <t>員南SS_IL</t>
    <phoneticPr fontId="2" type="noConversion"/>
  </si>
  <si>
    <t>萬年線 (IL27)</t>
    <phoneticPr fontId="2" type="noConversion"/>
  </si>
  <si>
    <t>南靖線 (IL22)</t>
    <phoneticPr fontId="2" type="noConversion"/>
  </si>
  <si>
    <t>經口線 (IL21)</t>
    <phoneticPr fontId="2" type="noConversion"/>
  </si>
  <si>
    <t>太平線 (IL23)</t>
    <phoneticPr fontId="2" type="noConversion"/>
  </si>
  <si>
    <t>中央線 (IL24)</t>
    <phoneticPr fontId="2" type="noConversion"/>
  </si>
  <si>
    <t>F16 (F16)</t>
    <phoneticPr fontId="2" type="noConversion"/>
  </si>
  <si>
    <t>大華線 (IL32)</t>
    <phoneticPr fontId="2" type="noConversion"/>
  </si>
  <si>
    <t>瓦瑤線 (IL29)</t>
    <phoneticPr fontId="2" type="noConversion"/>
  </si>
  <si>
    <t>百果線 (IL20)</t>
    <phoneticPr fontId="2" type="noConversion"/>
  </si>
  <si>
    <t>溝皂線 (IL25)</t>
    <phoneticPr fontId="2" type="noConversion"/>
  </si>
  <si>
    <t>大饒線 (IL26)</t>
    <phoneticPr fontId="2" type="noConversion"/>
  </si>
  <si>
    <t>F15 (F15)</t>
    <phoneticPr fontId="2" type="noConversion"/>
  </si>
  <si>
    <t>F14 (F14)</t>
    <phoneticPr fontId="2" type="noConversion"/>
  </si>
  <si>
    <t>南門線 (IL30)</t>
    <phoneticPr fontId="2" type="noConversion"/>
  </si>
  <si>
    <t>五汴線 (IL28)</t>
    <phoneticPr fontId="2" type="noConversion"/>
  </si>
  <si>
    <t>莒光線 (IL31)</t>
    <phoneticPr fontId="2" type="noConversion"/>
  </si>
  <si>
    <t>埔鹽SS_9J</t>
    <phoneticPr fontId="2" type="noConversion"/>
  </si>
  <si>
    <t>9J11 (9J11)</t>
    <phoneticPr fontId="2" type="noConversion"/>
  </si>
  <si>
    <t>9J12 (9J12)</t>
    <phoneticPr fontId="2" type="noConversion"/>
  </si>
  <si>
    <t>9J13 (9J13)</t>
    <phoneticPr fontId="2" type="noConversion"/>
  </si>
  <si>
    <t>9J14 (9J14)</t>
    <phoneticPr fontId="2" type="noConversion"/>
  </si>
  <si>
    <t>9J15 (9J15)</t>
    <phoneticPr fontId="2" type="noConversion"/>
  </si>
  <si>
    <t>9J21 (9J21)</t>
    <phoneticPr fontId="2" type="noConversion"/>
  </si>
  <si>
    <t>9J24 (9J24)</t>
    <phoneticPr fontId="2" type="noConversion"/>
  </si>
  <si>
    <t>9J25 (9J25)</t>
    <phoneticPr fontId="2" type="noConversion"/>
  </si>
  <si>
    <t>9J22 (9J22)</t>
    <phoneticPr fontId="2" type="noConversion"/>
  </si>
  <si>
    <t>9J23 (9J23)</t>
    <phoneticPr fontId="2" type="noConversion"/>
  </si>
  <si>
    <t>9J31 (9J31)</t>
    <phoneticPr fontId="2" type="noConversion"/>
  </si>
  <si>
    <t>9J32 (9J32)</t>
    <phoneticPr fontId="2" type="noConversion"/>
  </si>
  <si>
    <t>9J33 (9J33)</t>
    <phoneticPr fontId="2" type="noConversion"/>
  </si>
  <si>
    <t>9J34 (9J34)</t>
    <phoneticPr fontId="2" type="noConversion"/>
  </si>
  <si>
    <t>9J35 (9J35)</t>
    <phoneticPr fontId="2" type="noConversion"/>
  </si>
  <si>
    <t>草港DS_9H</t>
    <phoneticPr fontId="2" type="noConversion"/>
  </si>
  <si>
    <t>9H20 (9H20)</t>
    <phoneticPr fontId="2" type="noConversion"/>
  </si>
  <si>
    <t>下港線 (9H21)</t>
    <phoneticPr fontId="2" type="noConversion"/>
  </si>
  <si>
    <t>草塭線 (9H22)</t>
    <phoneticPr fontId="2" type="noConversion"/>
  </si>
  <si>
    <t>崙尾線 (9H23)</t>
    <phoneticPr fontId="2" type="noConversion"/>
  </si>
  <si>
    <t>崙草線 (9H24)</t>
    <phoneticPr fontId="2" type="noConversion"/>
  </si>
  <si>
    <t>南勢線 (9H25)</t>
    <phoneticPr fontId="2" type="noConversion"/>
  </si>
  <si>
    <t>草洋線 (9H26)</t>
    <phoneticPr fontId="2" type="noConversion"/>
  </si>
  <si>
    <t>草港線 (9H27)</t>
    <phoneticPr fontId="2" type="noConversion"/>
  </si>
  <si>
    <t>草莊線 (9H28)</t>
    <phoneticPr fontId="2" type="noConversion"/>
  </si>
  <si>
    <t>草東線 (9H29)</t>
    <phoneticPr fontId="2" type="noConversion"/>
  </si>
  <si>
    <t>9H30 (9H30)</t>
    <phoneticPr fontId="2" type="noConversion"/>
  </si>
  <si>
    <t>西崙線 (9H31)</t>
    <phoneticPr fontId="2" type="noConversion"/>
  </si>
  <si>
    <t>草一線 (9H32)</t>
    <phoneticPr fontId="2" type="noConversion"/>
  </si>
  <si>
    <t>草鹿線 (9H33)</t>
    <phoneticPr fontId="2" type="noConversion"/>
  </si>
  <si>
    <t>頂山線 (9H34)</t>
    <phoneticPr fontId="2" type="noConversion"/>
  </si>
  <si>
    <t>草中線 (9H35)</t>
    <phoneticPr fontId="2" type="noConversion"/>
  </si>
  <si>
    <t>草子線 (9H36)</t>
    <phoneticPr fontId="2" type="noConversion"/>
  </si>
  <si>
    <t>東正線 (9H37)</t>
    <phoneticPr fontId="2" type="noConversion"/>
  </si>
  <si>
    <t>草嶺線 (9H38)</t>
    <phoneticPr fontId="2" type="noConversion"/>
  </si>
  <si>
    <t>草伸線 (9H39)</t>
    <phoneticPr fontId="2" type="noConversion"/>
  </si>
  <si>
    <t>草湖SS_IS</t>
    <phoneticPr fontId="2" type="noConversion"/>
  </si>
  <si>
    <t>草北線 (IS20)</t>
    <phoneticPr fontId="2" type="noConversion"/>
  </si>
  <si>
    <t>竹寮線 (IS21)</t>
    <phoneticPr fontId="2" type="noConversion"/>
  </si>
  <si>
    <t>趙甲線 (IS22)</t>
    <phoneticPr fontId="2" type="noConversion"/>
  </si>
  <si>
    <t>建平線 (IS27)</t>
    <phoneticPr fontId="2" type="noConversion"/>
  </si>
  <si>
    <t>胡厝線 (IS29)</t>
    <phoneticPr fontId="2" type="noConversion"/>
  </si>
  <si>
    <t>八甲線 (IS26)</t>
    <phoneticPr fontId="2" type="noConversion"/>
  </si>
  <si>
    <t>川邊線 (IS25)</t>
    <phoneticPr fontId="2" type="noConversion"/>
  </si>
  <si>
    <t>草苑線 (IS23)</t>
    <phoneticPr fontId="2" type="noConversion"/>
  </si>
  <si>
    <t>崙腳線 (IS24)</t>
    <phoneticPr fontId="2" type="noConversion"/>
  </si>
  <si>
    <t>興海線 (IS28)</t>
    <phoneticPr fontId="2" type="noConversion"/>
  </si>
  <si>
    <t>ISA0 (ISA0)</t>
    <phoneticPr fontId="2" type="noConversion"/>
  </si>
  <si>
    <t>ISA1 (ISA1)</t>
    <phoneticPr fontId="2" type="noConversion"/>
  </si>
  <si>
    <t>IS32 (IS32)</t>
    <phoneticPr fontId="2" type="noConversion"/>
  </si>
  <si>
    <t>IS31 (IS31)</t>
    <phoneticPr fontId="2" type="noConversion"/>
  </si>
  <si>
    <t>IS30 (IS30)</t>
    <phoneticPr fontId="2" type="noConversion"/>
  </si>
  <si>
    <t>鹿西DS_9F</t>
    <phoneticPr fontId="2" type="noConversion"/>
  </si>
  <si>
    <t>9F51 (9F51)</t>
    <phoneticPr fontId="2" type="noConversion"/>
  </si>
  <si>
    <t>9F52 (9F52)</t>
    <phoneticPr fontId="2" type="noConversion"/>
  </si>
  <si>
    <t>9F53 (9F53)</t>
    <phoneticPr fontId="2" type="noConversion"/>
  </si>
  <si>
    <t>9F54 (9F54)</t>
    <phoneticPr fontId="2" type="noConversion"/>
  </si>
  <si>
    <t>9F55 (9F55)</t>
    <phoneticPr fontId="2" type="noConversion"/>
  </si>
  <si>
    <t>9F56 (9F56)</t>
    <phoneticPr fontId="2" type="noConversion"/>
  </si>
  <si>
    <t>9F57 (9F57)</t>
    <phoneticPr fontId="2" type="noConversion"/>
  </si>
  <si>
    <t>9F58 (9F58)</t>
    <phoneticPr fontId="2" type="noConversion"/>
  </si>
  <si>
    <t>9F61 (9F61)</t>
    <phoneticPr fontId="2" type="noConversion"/>
  </si>
  <si>
    <t>9F62 (9F62)</t>
    <phoneticPr fontId="2" type="noConversion"/>
  </si>
  <si>
    <t>9F63 (9F63)</t>
    <phoneticPr fontId="2" type="noConversion"/>
  </si>
  <si>
    <t>9F64 (9F64)</t>
    <phoneticPr fontId="2" type="noConversion"/>
  </si>
  <si>
    <t>9F65 (9F65)</t>
    <phoneticPr fontId="2" type="noConversion"/>
  </si>
  <si>
    <t>9F66 (9F66)</t>
    <phoneticPr fontId="2" type="noConversion"/>
  </si>
  <si>
    <t>9F67 (9F67)</t>
    <phoneticPr fontId="2" type="noConversion"/>
  </si>
  <si>
    <t>9F68 (9F68)</t>
    <phoneticPr fontId="2" type="noConversion"/>
  </si>
  <si>
    <t>鹿東DS_IO</t>
    <phoneticPr fontId="2" type="noConversion"/>
  </si>
  <si>
    <t>IO51 (IO51)</t>
    <phoneticPr fontId="2" type="noConversion"/>
  </si>
  <si>
    <t>IO52 (IO52)</t>
    <phoneticPr fontId="2" type="noConversion"/>
  </si>
  <si>
    <t>IO53 (IO53)</t>
    <phoneticPr fontId="2" type="noConversion"/>
  </si>
  <si>
    <t>IO54 (IO54)</t>
    <phoneticPr fontId="2" type="noConversion"/>
  </si>
  <si>
    <t>IO55 (IO55)</t>
    <phoneticPr fontId="2" type="noConversion"/>
  </si>
  <si>
    <t>IO56 (IO56)</t>
    <phoneticPr fontId="2" type="noConversion"/>
  </si>
  <si>
    <t>IO61 (IO61)</t>
    <phoneticPr fontId="2" type="noConversion"/>
  </si>
  <si>
    <t>IO64 (IO64)</t>
    <phoneticPr fontId="2" type="noConversion"/>
  </si>
  <si>
    <t>IO65 (IO65)</t>
    <phoneticPr fontId="2" type="noConversion"/>
  </si>
  <si>
    <t>IO62 (IO62)</t>
    <phoneticPr fontId="2" type="noConversion"/>
  </si>
  <si>
    <t>IO63 (IO63)</t>
    <phoneticPr fontId="2" type="noConversion"/>
  </si>
  <si>
    <t>IO66 (IO66)</t>
    <phoneticPr fontId="2" type="noConversion"/>
  </si>
  <si>
    <t>#3DTR</t>
    <phoneticPr fontId="2" type="noConversion"/>
  </si>
  <si>
    <t>IO76 (IO76)</t>
    <phoneticPr fontId="2" type="noConversion"/>
  </si>
  <si>
    <t>IO75 (IO75)</t>
    <phoneticPr fontId="2" type="noConversion"/>
  </si>
  <si>
    <t>IO73 (IO73)</t>
    <phoneticPr fontId="2" type="noConversion"/>
  </si>
  <si>
    <t>IO74 (IO74)</t>
    <phoneticPr fontId="2" type="noConversion"/>
  </si>
  <si>
    <t>IO72 (IO72)</t>
    <phoneticPr fontId="2" type="noConversion"/>
  </si>
  <si>
    <t>IO71 (IO71)</t>
    <phoneticPr fontId="2" type="noConversion"/>
  </si>
  <si>
    <t>IO26 (IO26)</t>
    <phoneticPr fontId="2" type="noConversion"/>
  </si>
  <si>
    <t>IO25 (IO25)</t>
    <phoneticPr fontId="2" type="noConversion"/>
  </si>
  <si>
    <t>IO24 (IO24)</t>
    <phoneticPr fontId="2" type="noConversion"/>
  </si>
  <si>
    <t>IO23 (IO23)</t>
    <phoneticPr fontId="2" type="noConversion"/>
  </si>
  <si>
    <t>IO22 (IO22)</t>
    <phoneticPr fontId="2" type="noConversion"/>
  </si>
  <si>
    <t>IO21 (IO21)</t>
    <phoneticPr fontId="2" type="noConversion"/>
  </si>
  <si>
    <t>鹿港SS_IB</t>
    <phoneticPr fontId="2" type="noConversion"/>
  </si>
  <si>
    <t>二港線 (IB20)</t>
    <phoneticPr fontId="2" type="noConversion"/>
  </si>
  <si>
    <t>海埔線 (IB22)</t>
    <phoneticPr fontId="2" type="noConversion"/>
  </si>
  <si>
    <t>下庄線 (IB30)</t>
    <phoneticPr fontId="2" type="noConversion"/>
  </si>
  <si>
    <t>鹿一線 (IB31)</t>
    <phoneticPr fontId="2" type="noConversion"/>
  </si>
  <si>
    <t>橋頭線 (IB21)</t>
    <phoneticPr fontId="2" type="noConversion"/>
  </si>
  <si>
    <t>龍山線 (IB28)</t>
    <phoneticPr fontId="2" type="noConversion"/>
  </si>
  <si>
    <t>鹽場線 (IB25)</t>
    <phoneticPr fontId="2" type="noConversion"/>
  </si>
  <si>
    <t>鹿三線 (IB33)</t>
    <phoneticPr fontId="2" type="noConversion"/>
  </si>
  <si>
    <t>鹿東線 (IB27)</t>
    <phoneticPr fontId="2" type="noConversion"/>
  </si>
  <si>
    <t>鹿溪線 (IB24)</t>
    <phoneticPr fontId="2" type="noConversion"/>
  </si>
  <si>
    <t>永豐線 (IB34)</t>
    <phoneticPr fontId="2" type="noConversion"/>
  </si>
  <si>
    <t>鹿管線 (IB29)</t>
    <phoneticPr fontId="2" type="noConversion"/>
  </si>
  <si>
    <t>鹿二線 (IB32)</t>
    <phoneticPr fontId="2" type="noConversion"/>
  </si>
  <si>
    <t>頂厝線 (IB26)</t>
    <phoneticPr fontId="2" type="noConversion"/>
  </si>
  <si>
    <t>鹿中線 (IB23)</t>
    <phoneticPr fontId="2" type="noConversion"/>
  </si>
  <si>
    <t>溝墘SS_IT</t>
    <phoneticPr fontId="2" type="noConversion"/>
  </si>
  <si>
    <t>嘉佃線 (IT29)</t>
    <phoneticPr fontId="2" type="noConversion"/>
  </si>
  <si>
    <t>頭崙線 (IT22)</t>
    <phoneticPr fontId="2" type="noConversion"/>
  </si>
  <si>
    <t>溝南線 (IT34)</t>
    <phoneticPr fontId="2" type="noConversion"/>
  </si>
  <si>
    <t>馬興線 (IT23)</t>
    <phoneticPr fontId="2" type="noConversion"/>
  </si>
  <si>
    <t>葉厝線 (IT25)</t>
    <phoneticPr fontId="2" type="noConversion"/>
  </si>
  <si>
    <t>棋盤線 (IT24)</t>
    <phoneticPr fontId="2" type="noConversion"/>
  </si>
  <si>
    <t>鎮平線 (IT20)</t>
    <phoneticPr fontId="2" type="noConversion"/>
  </si>
  <si>
    <t>溝中線 (IT32)</t>
    <phoneticPr fontId="2" type="noConversion"/>
  </si>
  <si>
    <t>溝東線 (IT33)</t>
    <phoneticPr fontId="2" type="noConversion"/>
  </si>
  <si>
    <t>南海線 (IT27)</t>
    <phoneticPr fontId="2" type="noConversion"/>
  </si>
  <si>
    <t>頂番線 (IT21)</t>
    <phoneticPr fontId="2" type="noConversion"/>
  </si>
  <si>
    <t>溝圳線 (IT30)</t>
    <phoneticPr fontId="2" type="noConversion"/>
  </si>
  <si>
    <t>溝北線 (IT26)</t>
    <phoneticPr fontId="2" type="noConversion"/>
  </si>
  <si>
    <t>溝鹿線 (IT31)</t>
    <phoneticPr fontId="2" type="noConversion"/>
  </si>
  <si>
    <t>三永線 (IT28)</t>
    <phoneticPr fontId="2" type="noConversion"/>
  </si>
  <si>
    <t>溪州SS_IF</t>
    <phoneticPr fontId="2" type="noConversion"/>
  </si>
  <si>
    <t>IF40 (IF40)</t>
    <phoneticPr fontId="2" type="noConversion"/>
  </si>
  <si>
    <t>埤頭線 (IF21)</t>
    <phoneticPr fontId="2" type="noConversion"/>
  </si>
  <si>
    <t>下霸線 (IF25)</t>
    <phoneticPr fontId="2" type="noConversion"/>
  </si>
  <si>
    <t>田頭線 (IF30)</t>
    <phoneticPr fontId="2" type="noConversion"/>
  </si>
  <si>
    <t>溪工線 (IF33)</t>
    <phoneticPr fontId="2" type="noConversion"/>
  </si>
  <si>
    <t>農場線 (IF34)</t>
    <phoneticPr fontId="2" type="noConversion"/>
  </si>
  <si>
    <t>IF41 (IF41)</t>
    <phoneticPr fontId="2" type="noConversion"/>
  </si>
  <si>
    <t>溪竹線 (IF31)</t>
    <phoneticPr fontId="2" type="noConversion"/>
  </si>
  <si>
    <t>埤工線 (IF24)</t>
    <phoneticPr fontId="2" type="noConversion"/>
  </si>
  <si>
    <t>潮洋線 (IF22)</t>
    <phoneticPr fontId="2" type="noConversion"/>
  </si>
  <si>
    <t>路口線 (IF23)</t>
    <phoneticPr fontId="2" type="noConversion"/>
  </si>
  <si>
    <t>埔尾線 (IF26)</t>
    <phoneticPr fontId="2" type="noConversion"/>
  </si>
  <si>
    <t>IF35 (IF35)</t>
    <phoneticPr fontId="2" type="noConversion"/>
  </si>
  <si>
    <t>IF38 (IF38)</t>
    <phoneticPr fontId="2" type="noConversion"/>
  </si>
  <si>
    <t>IF36 (IF36)</t>
    <phoneticPr fontId="2" type="noConversion"/>
  </si>
  <si>
    <t>IF37 (IF37)</t>
    <phoneticPr fontId="2" type="noConversion"/>
  </si>
  <si>
    <t>IF39 (IF39)</t>
    <phoneticPr fontId="2" type="noConversion"/>
  </si>
  <si>
    <t>元埔線 (IF27)</t>
    <phoneticPr fontId="2" type="noConversion"/>
  </si>
  <si>
    <t>溪斗線 (IF20)</t>
    <phoneticPr fontId="2" type="noConversion"/>
  </si>
  <si>
    <t>南州線 (IF28)</t>
    <phoneticPr fontId="2" type="noConversion"/>
  </si>
  <si>
    <t>溪林線 (IF32)</t>
    <phoneticPr fontId="2" type="noConversion"/>
  </si>
  <si>
    <t>合興線 (IF29)</t>
    <phoneticPr fontId="2" type="noConversion"/>
  </si>
  <si>
    <t>溪湖SS_ID</t>
    <phoneticPr fontId="2" type="noConversion"/>
  </si>
  <si>
    <t>湖北線 (ID31)</t>
    <phoneticPr fontId="2" type="noConversion"/>
  </si>
  <si>
    <t>湳底線 (ID26)</t>
    <phoneticPr fontId="2" type="noConversion"/>
  </si>
  <si>
    <t>溪湖線 (ID28)</t>
    <phoneticPr fontId="2" type="noConversion"/>
  </si>
  <si>
    <t>湖南線 (ID23)</t>
    <phoneticPr fontId="2" type="noConversion"/>
  </si>
  <si>
    <t>西寮線 (ID20)</t>
    <phoneticPr fontId="2" type="noConversion"/>
  </si>
  <si>
    <t>東寮線 (ID25)</t>
    <phoneticPr fontId="2" type="noConversion"/>
  </si>
  <si>
    <t>南新線 (ID29)</t>
    <phoneticPr fontId="2" type="noConversion"/>
  </si>
  <si>
    <t>二重線 (ID21)</t>
    <phoneticPr fontId="2" type="noConversion"/>
  </si>
  <si>
    <t>溪東線 (ID24)</t>
    <phoneticPr fontId="2" type="noConversion"/>
  </si>
  <si>
    <t>湖中線 (ID30)</t>
    <phoneticPr fontId="2" type="noConversion"/>
  </si>
  <si>
    <t>巫厝線 (ID27)</t>
    <phoneticPr fontId="2" type="noConversion"/>
  </si>
  <si>
    <t>番婆線 (ID32)</t>
    <phoneticPr fontId="2" type="noConversion"/>
  </si>
  <si>
    <t>湖西線 (ID22)</t>
    <phoneticPr fontId="2" type="noConversion"/>
  </si>
  <si>
    <t>彰化DS_IK</t>
    <phoneticPr fontId="2" type="noConversion"/>
  </si>
  <si>
    <t>IK30 (IK30)</t>
    <phoneticPr fontId="2" type="noConversion"/>
  </si>
  <si>
    <t>IK31 (IK31)</t>
    <phoneticPr fontId="2" type="noConversion"/>
  </si>
  <si>
    <t>IK32 (IK32)</t>
    <phoneticPr fontId="2" type="noConversion"/>
  </si>
  <si>
    <t>IK33 (IK33)</t>
    <phoneticPr fontId="2" type="noConversion"/>
  </si>
  <si>
    <t>IK34 (IK34)</t>
    <phoneticPr fontId="2" type="noConversion"/>
  </si>
  <si>
    <t>IK35 (IK35)</t>
    <phoneticPr fontId="2" type="noConversion"/>
  </si>
  <si>
    <t>IK49 (IK49)</t>
    <phoneticPr fontId="2" type="noConversion"/>
  </si>
  <si>
    <t>IK48 (IK48)</t>
    <phoneticPr fontId="2" type="noConversion"/>
  </si>
  <si>
    <t>IK47 (IK47)</t>
    <phoneticPr fontId="2" type="noConversion"/>
  </si>
  <si>
    <t>IK46 (IK46)</t>
    <phoneticPr fontId="2" type="noConversion"/>
  </si>
  <si>
    <t>IK36 (IK36)</t>
    <phoneticPr fontId="2" type="noConversion"/>
  </si>
  <si>
    <t>IK37 (IK37)</t>
    <phoneticPr fontId="2" type="noConversion"/>
  </si>
  <si>
    <t>IK38 (IK38)</t>
    <phoneticPr fontId="2" type="noConversion"/>
  </si>
  <si>
    <t>IK39 (IK39)</t>
    <phoneticPr fontId="2" type="noConversion"/>
  </si>
  <si>
    <t>IK45 (IK45)</t>
    <phoneticPr fontId="2" type="noConversion"/>
  </si>
  <si>
    <t>IK44 (IK44)</t>
    <phoneticPr fontId="2" type="noConversion"/>
  </si>
  <si>
    <t>IK43 (IK43)</t>
    <phoneticPr fontId="2" type="noConversion"/>
  </si>
  <si>
    <t>IK42 (IK42)</t>
    <phoneticPr fontId="2" type="noConversion"/>
  </si>
  <si>
    <t>IK41 (IK41)</t>
    <phoneticPr fontId="2" type="noConversion"/>
  </si>
  <si>
    <t>IK40 (IK40)</t>
    <phoneticPr fontId="2" type="noConversion"/>
  </si>
  <si>
    <t>彰化PS_IK</t>
    <phoneticPr fontId="2" type="noConversion"/>
  </si>
  <si>
    <t>彰竹DS_9N</t>
    <phoneticPr fontId="2" type="noConversion"/>
  </si>
  <si>
    <t>9N20 (9N20)</t>
    <phoneticPr fontId="2" type="noConversion"/>
  </si>
  <si>
    <t>9N21 (9N21)</t>
    <phoneticPr fontId="2" type="noConversion"/>
  </si>
  <si>
    <t>9N22 (9N22)</t>
    <phoneticPr fontId="2" type="noConversion"/>
  </si>
  <si>
    <t>9N23 (9N23)</t>
    <phoneticPr fontId="2" type="noConversion"/>
  </si>
  <si>
    <t>9N24 (9N24)</t>
    <phoneticPr fontId="2" type="noConversion"/>
  </si>
  <si>
    <t>9N25 (9N25)</t>
    <phoneticPr fontId="2" type="noConversion"/>
  </si>
  <si>
    <t>9N26 (9N26)</t>
    <phoneticPr fontId="2" type="noConversion"/>
  </si>
  <si>
    <t>9N27 (9N27)</t>
    <phoneticPr fontId="2" type="noConversion"/>
  </si>
  <si>
    <t>9N28 (9N28)</t>
    <phoneticPr fontId="2" type="noConversion"/>
  </si>
  <si>
    <t>9N29 (9N29)</t>
    <phoneticPr fontId="2" type="noConversion"/>
  </si>
  <si>
    <t>彰西SS_IH</t>
    <phoneticPr fontId="2" type="noConversion"/>
  </si>
  <si>
    <t>西鎮線 (IH27)</t>
    <phoneticPr fontId="2" type="noConversion"/>
  </si>
  <si>
    <t>西美線 (IH21)</t>
    <phoneticPr fontId="2" type="noConversion"/>
  </si>
  <si>
    <t>西安線 (IH25)</t>
    <phoneticPr fontId="2" type="noConversion"/>
  </si>
  <si>
    <t>下湳線 (IH24)</t>
    <phoneticPr fontId="2" type="noConversion"/>
  </si>
  <si>
    <t>西溝線 (IH28)</t>
    <phoneticPr fontId="2" type="noConversion"/>
  </si>
  <si>
    <t>建和線 (IH33)</t>
    <phoneticPr fontId="2" type="noConversion"/>
  </si>
  <si>
    <t>中華線 (IH32)</t>
    <phoneticPr fontId="2" type="noConversion"/>
  </si>
  <si>
    <t>平和線 (IH34)</t>
    <phoneticPr fontId="2" type="noConversion"/>
  </si>
  <si>
    <t>林森線 (IH31)</t>
    <phoneticPr fontId="2" type="noConversion"/>
  </si>
  <si>
    <t>崙平線 (IH35)</t>
    <phoneticPr fontId="2" type="noConversion"/>
  </si>
  <si>
    <t>西南線 (IH29)</t>
    <phoneticPr fontId="2" type="noConversion"/>
  </si>
  <si>
    <t>頂湳線 (IH23)</t>
    <phoneticPr fontId="2" type="noConversion"/>
  </si>
  <si>
    <t>源埤線 (IH22)</t>
    <phoneticPr fontId="2" type="noConversion"/>
  </si>
  <si>
    <t>西華線 (IH26)</t>
    <phoneticPr fontId="2" type="noConversion"/>
  </si>
  <si>
    <t>後港線 (IH20)</t>
    <phoneticPr fontId="2" type="noConversion"/>
  </si>
  <si>
    <t>彰東SS_IQ</t>
    <phoneticPr fontId="2" type="noConversion"/>
  </si>
  <si>
    <t>IQ21 (IQ21)</t>
    <phoneticPr fontId="2" type="noConversion"/>
  </si>
  <si>
    <t>IQ22 (IQ22)</t>
    <phoneticPr fontId="2" type="noConversion"/>
  </si>
  <si>
    <t>IQ23 (IQ23)</t>
    <phoneticPr fontId="2" type="noConversion"/>
  </si>
  <si>
    <t>IQ24 (IQ24)</t>
    <phoneticPr fontId="2" type="noConversion"/>
  </si>
  <si>
    <t>IQ25 (IQ25)</t>
    <phoneticPr fontId="2" type="noConversion"/>
  </si>
  <si>
    <t>IQ26 (IQ26)</t>
    <phoneticPr fontId="2" type="noConversion"/>
  </si>
  <si>
    <t>IQ29 (IQ29)</t>
    <phoneticPr fontId="2" type="noConversion"/>
  </si>
  <si>
    <t>IQ30 (IQ30)</t>
    <phoneticPr fontId="2" type="noConversion"/>
  </si>
  <si>
    <t>IQ27 (IQ27)</t>
    <phoneticPr fontId="2" type="noConversion"/>
  </si>
  <si>
    <t>IQ28 (IQ28)</t>
    <phoneticPr fontId="2" type="noConversion"/>
  </si>
  <si>
    <t>IQ31 (IQ31)</t>
    <phoneticPr fontId="2" type="noConversion"/>
  </si>
  <si>
    <t>IQ32 (IQ32)</t>
    <phoneticPr fontId="2" type="noConversion"/>
  </si>
  <si>
    <t>IQ33 (IQ33)</t>
    <phoneticPr fontId="2" type="noConversion"/>
  </si>
  <si>
    <t>IQ34 (IQ34)</t>
    <phoneticPr fontId="2" type="noConversion"/>
  </si>
  <si>
    <t>IQ35 (IQ35)</t>
    <phoneticPr fontId="2" type="noConversion"/>
  </si>
  <si>
    <t>彰林ES_9M</t>
    <phoneticPr fontId="2" type="noConversion"/>
  </si>
  <si>
    <t>9M20 (9M20)</t>
    <phoneticPr fontId="2" type="noConversion"/>
  </si>
  <si>
    <t>9M21 (9M21)</t>
    <phoneticPr fontId="2" type="noConversion"/>
  </si>
  <si>
    <t>9M22 (9M22)</t>
    <phoneticPr fontId="2" type="noConversion"/>
  </si>
  <si>
    <t>9M23 (9M23)</t>
    <phoneticPr fontId="2" type="noConversion"/>
  </si>
  <si>
    <t>9M24 (9M24)</t>
    <phoneticPr fontId="2" type="noConversion"/>
  </si>
  <si>
    <t>9M25 (9M25)</t>
    <phoneticPr fontId="2" type="noConversion"/>
  </si>
  <si>
    <t>9M26 (9M26)</t>
    <phoneticPr fontId="2" type="noConversion"/>
  </si>
  <si>
    <t>9M27 (9M27)</t>
    <phoneticPr fontId="2" type="noConversion"/>
  </si>
  <si>
    <t>9M28 (9M28)</t>
    <phoneticPr fontId="2" type="noConversion"/>
  </si>
  <si>
    <t>9M29 (9M29)</t>
    <phoneticPr fontId="2" type="noConversion"/>
  </si>
  <si>
    <t>9M30 (9M30)</t>
    <phoneticPr fontId="2" type="noConversion"/>
  </si>
  <si>
    <t>9M31 (9M31)</t>
    <phoneticPr fontId="2" type="noConversion"/>
  </si>
  <si>
    <t>9M32 (9M32)</t>
    <phoneticPr fontId="2" type="noConversion"/>
  </si>
  <si>
    <t>9M33 (9M33)</t>
    <phoneticPr fontId="2" type="noConversion"/>
  </si>
  <si>
    <t>9M34 (9M34)</t>
    <phoneticPr fontId="2" type="noConversion"/>
  </si>
  <si>
    <t>9M35 (9M35)</t>
    <phoneticPr fontId="2" type="noConversion"/>
  </si>
  <si>
    <t>9M36 (9M36)</t>
    <phoneticPr fontId="2" type="noConversion"/>
  </si>
  <si>
    <t>9M37 (9M37)</t>
    <phoneticPr fontId="2" type="noConversion"/>
  </si>
  <si>
    <t>9M38 (9M38)</t>
    <phoneticPr fontId="2" type="noConversion"/>
  </si>
  <si>
    <t>9M39 (9M39)</t>
    <phoneticPr fontId="2" type="noConversion"/>
  </si>
  <si>
    <t>彰南SS_II</t>
    <phoneticPr fontId="2" type="noConversion"/>
  </si>
  <si>
    <t>縣府線 (II22)</t>
    <phoneticPr fontId="2" type="noConversion"/>
  </si>
  <si>
    <t>西門線 (II25)</t>
    <phoneticPr fontId="2" type="noConversion"/>
  </si>
  <si>
    <t>新生線 (II20)</t>
    <phoneticPr fontId="2" type="noConversion"/>
  </si>
  <si>
    <t>南興線 (II26)</t>
    <phoneticPr fontId="2" type="noConversion"/>
  </si>
  <si>
    <t>南和線 (II27)</t>
    <phoneticPr fontId="2" type="noConversion"/>
  </si>
  <si>
    <t>南郭線 (II32)</t>
    <phoneticPr fontId="2" type="noConversion"/>
  </si>
  <si>
    <t>民族線 (II31)</t>
    <phoneticPr fontId="2" type="noConversion"/>
  </si>
  <si>
    <t>民權線 (II34)</t>
    <phoneticPr fontId="2" type="noConversion"/>
  </si>
  <si>
    <t>虎山線 (II30)</t>
    <phoneticPr fontId="2" type="noConversion"/>
  </si>
  <si>
    <t>大埔線 (II28)</t>
    <phoneticPr fontId="2" type="noConversion"/>
  </si>
  <si>
    <t>建寶線 (II24)</t>
    <phoneticPr fontId="2" type="noConversion"/>
  </si>
  <si>
    <t>天祥線 (II33)</t>
    <phoneticPr fontId="2" type="noConversion"/>
  </si>
  <si>
    <t>南瑤線 (II21)</t>
    <phoneticPr fontId="2" type="noConversion"/>
  </si>
  <si>
    <t>口庄線 (II29)</t>
    <phoneticPr fontId="2" type="noConversion"/>
  </si>
  <si>
    <t>田寮線 (II23)</t>
    <phoneticPr fontId="2" type="noConversion"/>
  </si>
  <si>
    <t>彰南SS_SI</t>
    <phoneticPr fontId="2" type="noConversion"/>
  </si>
  <si>
    <t>縣府線 (SI22)</t>
    <phoneticPr fontId="2" type="noConversion"/>
  </si>
  <si>
    <t>西門線 (SI25)</t>
    <phoneticPr fontId="2" type="noConversion"/>
  </si>
  <si>
    <t>新生線 (SI20)</t>
    <phoneticPr fontId="2" type="noConversion"/>
  </si>
  <si>
    <t>南興線 (SI26)</t>
    <phoneticPr fontId="2" type="noConversion"/>
  </si>
  <si>
    <t>南和線 (SI27)</t>
    <phoneticPr fontId="2" type="noConversion"/>
  </si>
  <si>
    <t>南郭線 (SI32)</t>
    <phoneticPr fontId="2" type="noConversion"/>
  </si>
  <si>
    <t>民族線 (SI31)</t>
    <phoneticPr fontId="2" type="noConversion"/>
  </si>
  <si>
    <t>民權線 (SI34)</t>
    <phoneticPr fontId="2" type="noConversion"/>
  </si>
  <si>
    <t>虎山線 (SI30)</t>
    <phoneticPr fontId="2" type="noConversion"/>
  </si>
  <si>
    <t>大埔線 (SI28)</t>
    <phoneticPr fontId="2" type="noConversion"/>
  </si>
  <si>
    <t>建寶線 (SI24)</t>
    <phoneticPr fontId="2" type="noConversion"/>
  </si>
  <si>
    <t>天祥線 (SI33)</t>
    <phoneticPr fontId="2" type="noConversion"/>
  </si>
  <si>
    <t>南瑤線 (SI21)</t>
    <phoneticPr fontId="2" type="noConversion"/>
  </si>
  <si>
    <t>口庄線 (SI29)</t>
    <phoneticPr fontId="2" type="noConversion"/>
  </si>
  <si>
    <t>田寮線 (SI23)</t>
    <phoneticPr fontId="2" type="noConversion"/>
  </si>
  <si>
    <t>彰新DS_IA</t>
    <phoneticPr fontId="2" type="noConversion"/>
  </si>
  <si>
    <t>民生線 (IA28)</t>
    <phoneticPr fontId="2" type="noConversion"/>
  </si>
  <si>
    <t>北部線 (IA37)</t>
    <phoneticPr fontId="2" type="noConversion"/>
  </si>
  <si>
    <t>磚瑤線 (IA30)</t>
    <phoneticPr fontId="2" type="noConversion"/>
  </si>
  <si>
    <t>鐵山線 (IA32)</t>
    <phoneticPr fontId="2" type="noConversion"/>
  </si>
  <si>
    <t>彰茂線 (IA35)</t>
    <phoneticPr fontId="2" type="noConversion"/>
  </si>
  <si>
    <t>北安線 (IA39)</t>
    <phoneticPr fontId="2" type="noConversion"/>
  </si>
  <si>
    <t>阿夷線 (IA24)</t>
    <phoneticPr fontId="2" type="noConversion"/>
  </si>
  <si>
    <t>新庄線 (IA29)</t>
    <phoneticPr fontId="2" type="noConversion"/>
  </si>
  <si>
    <t>犁盛線 (IA33)</t>
    <phoneticPr fontId="2" type="noConversion"/>
  </si>
  <si>
    <t>成功線 (IA36)</t>
    <phoneticPr fontId="2" type="noConversion"/>
  </si>
  <si>
    <t>中山線 (IA23)</t>
    <phoneticPr fontId="2" type="noConversion"/>
  </si>
  <si>
    <t>泰和線 (IA26)</t>
    <phoneticPr fontId="2" type="noConversion"/>
  </si>
  <si>
    <t>辭修線 (IA27)</t>
    <phoneticPr fontId="2" type="noConversion"/>
  </si>
  <si>
    <t>車站線 (IA34)</t>
    <phoneticPr fontId="2" type="noConversion"/>
  </si>
  <si>
    <t>大成線 (IA22)</t>
    <phoneticPr fontId="2" type="noConversion"/>
  </si>
  <si>
    <t>北建線 (IA38)</t>
    <phoneticPr fontId="2" type="noConversion"/>
  </si>
  <si>
    <t>北新線 (IA31)</t>
    <phoneticPr fontId="2" type="noConversion"/>
  </si>
  <si>
    <t>北廠線 (IA21)</t>
    <phoneticPr fontId="2" type="noConversion"/>
  </si>
  <si>
    <t>北美線 (IA25)</t>
    <phoneticPr fontId="2" type="noConversion"/>
  </si>
  <si>
    <t>中圍線 (IA20)</t>
    <phoneticPr fontId="2" type="noConversion"/>
  </si>
  <si>
    <t>國聖線 (IA40)</t>
    <phoneticPr fontId="2" type="noConversion"/>
  </si>
  <si>
    <t>忠孝線 (IA41)</t>
    <phoneticPr fontId="2" type="noConversion"/>
  </si>
  <si>
    <t>建國線 (IA42)</t>
    <phoneticPr fontId="2" type="noConversion"/>
  </si>
  <si>
    <t>公園線 (IA43)</t>
    <phoneticPr fontId="2" type="noConversion"/>
  </si>
  <si>
    <t>東頭線 (IA44)</t>
    <phoneticPr fontId="2" type="noConversion"/>
  </si>
  <si>
    <t>牛稠線 (IA45)</t>
    <phoneticPr fontId="2" type="noConversion"/>
  </si>
  <si>
    <t>茄苳線 (IA46)</t>
    <phoneticPr fontId="2" type="noConversion"/>
  </si>
  <si>
    <t>卦山線 (IA47)</t>
    <phoneticPr fontId="2" type="noConversion"/>
  </si>
  <si>
    <t>保警線 (IA48)</t>
    <phoneticPr fontId="2" type="noConversion"/>
  </si>
  <si>
    <t>西勢線 (IA49)</t>
    <phoneticPr fontId="2" type="noConversion"/>
  </si>
  <si>
    <t>彰濱ES_9A</t>
    <phoneticPr fontId="2" type="noConversion"/>
  </si>
  <si>
    <t>9A70 (9A70)</t>
    <phoneticPr fontId="2" type="noConversion"/>
  </si>
  <si>
    <t>9A71 (9A71)</t>
    <phoneticPr fontId="2" type="noConversion"/>
  </si>
  <si>
    <t>9A72 (9A72)</t>
    <phoneticPr fontId="2" type="noConversion"/>
  </si>
  <si>
    <t>9A73 (9A73)</t>
    <phoneticPr fontId="2" type="noConversion"/>
  </si>
  <si>
    <t>9A74 (9A74)</t>
    <phoneticPr fontId="2" type="noConversion"/>
  </si>
  <si>
    <t>9A75 (9A75)</t>
    <phoneticPr fontId="2" type="noConversion"/>
  </si>
  <si>
    <t>9A76 (9A76)</t>
    <phoneticPr fontId="2" type="noConversion"/>
  </si>
  <si>
    <t>9A77 (9A77)</t>
    <phoneticPr fontId="2" type="noConversion"/>
  </si>
  <si>
    <t>9A61 (9A61)</t>
    <phoneticPr fontId="2" type="noConversion"/>
  </si>
  <si>
    <t>9A62 (9A62)</t>
    <phoneticPr fontId="2" type="noConversion"/>
  </si>
  <si>
    <t>9A63 (9A63)</t>
    <phoneticPr fontId="2" type="noConversion"/>
  </si>
  <si>
    <t>9A64 (9A64)</t>
    <phoneticPr fontId="2" type="noConversion"/>
  </si>
  <si>
    <t>9A65 (9A65)</t>
    <phoneticPr fontId="2" type="noConversion"/>
  </si>
  <si>
    <t>9A66 (9A66)</t>
    <phoneticPr fontId="2" type="noConversion"/>
  </si>
  <si>
    <t>#4DTR(A)</t>
    <phoneticPr fontId="2" type="noConversion"/>
  </si>
  <si>
    <t>9A51 (9A51)</t>
    <phoneticPr fontId="2" type="noConversion"/>
  </si>
  <si>
    <t>9A52 (9A52)</t>
    <phoneticPr fontId="2" type="noConversion"/>
  </si>
  <si>
    <t>9A53 (9A53)</t>
    <phoneticPr fontId="2" type="noConversion"/>
  </si>
  <si>
    <t>9A54 (9A54)</t>
    <phoneticPr fontId="2" type="noConversion"/>
  </si>
  <si>
    <t>9A55 (9A55)</t>
    <phoneticPr fontId="2" type="noConversion"/>
  </si>
  <si>
    <t>9A56 (9A56)</t>
    <phoneticPr fontId="2" type="noConversion"/>
  </si>
  <si>
    <t>#4DTR(B)</t>
    <phoneticPr fontId="2" type="noConversion"/>
  </si>
  <si>
    <t>9AE0 (9AE0)</t>
    <phoneticPr fontId="2" type="noConversion"/>
  </si>
  <si>
    <t>9A68 (9A68)</t>
    <phoneticPr fontId="2" type="noConversion"/>
  </si>
  <si>
    <t>9A67 (9A67)</t>
    <phoneticPr fontId="2" type="noConversion"/>
  </si>
  <si>
    <t>9A59 (9A59)</t>
    <phoneticPr fontId="2" type="noConversion"/>
  </si>
  <si>
    <t>9A58 (9A58)</t>
    <phoneticPr fontId="2" type="noConversion"/>
  </si>
  <si>
    <t>9A57 (9A57)</t>
    <phoneticPr fontId="2" type="noConversion"/>
  </si>
  <si>
    <t>漢寶DS_9G</t>
    <phoneticPr fontId="2" type="noConversion"/>
  </si>
  <si>
    <t>星寶 (9GE0)</t>
    <phoneticPr fontId="2" type="noConversion"/>
  </si>
  <si>
    <t>北苑 (9GE1)</t>
    <phoneticPr fontId="2" type="noConversion"/>
  </si>
  <si>
    <t>9GE2 (9GE2)</t>
    <phoneticPr fontId="2" type="noConversion"/>
  </si>
  <si>
    <t>9GE3 (9GE3)</t>
    <phoneticPr fontId="2" type="noConversion"/>
  </si>
  <si>
    <t>彰苑 (9GE4)</t>
    <phoneticPr fontId="2" type="noConversion"/>
  </si>
  <si>
    <t>彰旺 (9GE5)</t>
    <phoneticPr fontId="2" type="noConversion"/>
  </si>
  <si>
    <t>9GE6 (9GE6)</t>
    <phoneticPr fontId="2" type="noConversion"/>
  </si>
  <si>
    <t>9GE7 (9GE7)</t>
    <phoneticPr fontId="2" type="noConversion"/>
  </si>
  <si>
    <t>9G20 (9G20)</t>
    <phoneticPr fontId="2" type="noConversion"/>
  </si>
  <si>
    <t>9G21 (9G21)</t>
    <phoneticPr fontId="2" type="noConversion"/>
  </si>
  <si>
    <t>9G22 (9G22)</t>
    <phoneticPr fontId="2" type="noConversion"/>
  </si>
  <si>
    <t>9G23 (9G23)</t>
    <phoneticPr fontId="2" type="noConversion"/>
  </si>
  <si>
    <t>9G24 (9G24)</t>
    <phoneticPr fontId="2" type="noConversion"/>
  </si>
  <si>
    <t>9G25 (9G25)</t>
    <phoneticPr fontId="2" type="noConversion"/>
  </si>
  <si>
    <t>9G26 (9G26)</t>
    <phoneticPr fontId="2" type="noConversion"/>
  </si>
  <si>
    <t>9G27 (9G27)</t>
    <phoneticPr fontId="2" type="noConversion"/>
  </si>
  <si>
    <t>9G28 (9G28)</t>
    <phoneticPr fontId="2" type="noConversion"/>
  </si>
  <si>
    <t>9G29 (9G29)</t>
    <phoneticPr fontId="2" type="noConversion"/>
  </si>
  <si>
    <t>立風1 (9GE8)</t>
    <phoneticPr fontId="2" type="noConversion"/>
  </si>
  <si>
    <t>9G30 (9G30)</t>
    <phoneticPr fontId="2" type="noConversion"/>
  </si>
  <si>
    <t>9G31 (9G31)</t>
    <phoneticPr fontId="2" type="noConversion"/>
  </si>
  <si>
    <t>9G32 (9G32)</t>
    <phoneticPr fontId="2" type="noConversion"/>
  </si>
  <si>
    <t>9G33 (9G33)</t>
    <phoneticPr fontId="2" type="noConversion"/>
  </si>
  <si>
    <t>9G34 (9G34)</t>
    <phoneticPr fontId="2" type="noConversion"/>
  </si>
  <si>
    <t>9G35 (9G35)</t>
    <phoneticPr fontId="2" type="noConversion"/>
  </si>
  <si>
    <t>9G36 (9G36)</t>
    <phoneticPr fontId="2" type="noConversion"/>
  </si>
  <si>
    <t>9G37 (9G37)</t>
    <phoneticPr fontId="2" type="noConversion"/>
  </si>
  <si>
    <t>9G38 (9G38)</t>
    <phoneticPr fontId="2" type="noConversion"/>
  </si>
  <si>
    <t>9G39 (9G39)</t>
    <phoneticPr fontId="2" type="noConversion"/>
  </si>
  <si>
    <t>立風2 (9GE9)</t>
    <phoneticPr fontId="2" type="noConversion"/>
  </si>
  <si>
    <t>福工SS_IP</t>
    <phoneticPr fontId="2" type="noConversion"/>
  </si>
  <si>
    <t>金崙線 (IP29)</t>
    <phoneticPr fontId="2" type="noConversion"/>
  </si>
  <si>
    <t>福工線 (IP24)</t>
    <phoneticPr fontId="2" type="noConversion"/>
  </si>
  <si>
    <t>廓仔線 (IP22)</t>
    <phoneticPr fontId="2" type="noConversion"/>
  </si>
  <si>
    <t>金興線 (IP21)</t>
    <phoneticPr fontId="2" type="noConversion"/>
  </si>
  <si>
    <t>番社線 (IP20)</t>
    <phoneticPr fontId="2" type="noConversion"/>
  </si>
  <si>
    <t>福東線 (IP31)</t>
    <phoneticPr fontId="2" type="noConversion"/>
  </si>
  <si>
    <t>福南線 (IP30)</t>
    <phoneticPr fontId="2" type="noConversion"/>
  </si>
  <si>
    <t>三汴線 (IP25)</t>
    <phoneticPr fontId="2" type="noConversion"/>
  </si>
  <si>
    <t>外埔線 (IP27)</t>
    <phoneticPr fontId="2" type="noConversion"/>
  </si>
  <si>
    <t>南港線 (IP28)</t>
    <phoneticPr fontId="2" type="noConversion"/>
  </si>
  <si>
    <t>埔崙線 (IP23)</t>
    <phoneticPr fontId="2" type="noConversion"/>
  </si>
  <si>
    <t>福北線 (IP26)</t>
    <phoneticPr fontId="2" type="noConversion"/>
  </si>
  <si>
    <t>福村線 (IP32)</t>
    <phoneticPr fontId="2" type="noConversion"/>
  </si>
  <si>
    <t>福旗線 (IP33)</t>
    <phoneticPr fontId="2" type="noConversion"/>
  </si>
  <si>
    <t>福溪線 (IP34)</t>
    <phoneticPr fontId="2" type="noConversion"/>
  </si>
  <si>
    <t>福興DS_9I</t>
    <phoneticPr fontId="2" type="noConversion"/>
  </si>
  <si>
    <t>9I20 (9I20)</t>
    <phoneticPr fontId="2" type="noConversion"/>
  </si>
  <si>
    <t>9I21 (9I21)</t>
    <phoneticPr fontId="2" type="noConversion"/>
  </si>
  <si>
    <t>9I22 (9I22)</t>
    <phoneticPr fontId="2" type="noConversion"/>
  </si>
  <si>
    <t>9I23 (9I23)</t>
    <phoneticPr fontId="2" type="noConversion"/>
  </si>
  <si>
    <t>9I24 (9I24)</t>
    <phoneticPr fontId="2" type="noConversion"/>
  </si>
  <si>
    <t>9I25 (9I25)</t>
    <phoneticPr fontId="2" type="noConversion"/>
  </si>
  <si>
    <t>9I39 (9I39)</t>
    <phoneticPr fontId="2" type="noConversion"/>
  </si>
  <si>
    <t>9I38 (9I38)</t>
    <phoneticPr fontId="2" type="noConversion"/>
  </si>
  <si>
    <t>9I37 (9I37)</t>
    <phoneticPr fontId="2" type="noConversion"/>
  </si>
  <si>
    <t>9I36 (9I36)</t>
    <phoneticPr fontId="2" type="noConversion"/>
  </si>
  <si>
    <t>9I26 (9I26)</t>
    <phoneticPr fontId="2" type="noConversion"/>
  </si>
  <si>
    <t>9I27 (9I27)</t>
    <phoneticPr fontId="2" type="noConversion"/>
  </si>
  <si>
    <t>9I28 (9I28)</t>
    <phoneticPr fontId="2" type="noConversion"/>
  </si>
  <si>
    <t>9I29 (9I29)</t>
    <phoneticPr fontId="2" type="noConversion"/>
  </si>
  <si>
    <t>9I35 (9I35)</t>
    <phoneticPr fontId="2" type="noConversion"/>
  </si>
  <si>
    <t>9I34 (9I34)</t>
    <phoneticPr fontId="2" type="noConversion"/>
  </si>
  <si>
    <t>9I33 (9I33)</t>
    <phoneticPr fontId="2" type="noConversion"/>
  </si>
  <si>
    <t>9I32 (9I32)</t>
    <phoneticPr fontId="2" type="noConversion"/>
  </si>
  <si>
    <t>9I31 (9I31)</t>
    <phoneticPr fontId="2" type="noConversion"/>
  </si>
  <si>
    <t>9I30 (9I30)</t>
    <phoneticPr fontId="2" type="noConversion"/>
  </si>
  <si>
    <t>線西DS_9B</t>
    <phoneticPr fontId="2" type="noConversion"/>
  </si>
  <si>
    <t>9B51 (9B51)</t>
    <phoneticPr fontId="2" type="noConversion"/>
  </si>
  <si>
    <t>9B52 (9B52)</t>
    <phoneticPr fontId="2" type="noConversion"/>
  </si>
  <si>
    <t>9B53 (9B53)</t>
    <phoneticPr fontId="2" type="noConversion"/>
  </si>
  <si>
    <t>9B54 (9B54)</t>
    <phoneticPr fontId="2" type="noConversion"/>
  </si>
  <si>
    <t>9B55 (9B55)</t>
    <phoneticPr fontId="2" type="noConversion"/>
  </si>
  <si>
    <t>9B56 (9B56)</t>
    <phoneticPr fontId="2" type="noConversion"/>
  </si>
  <si>
    <t>9B57 (9B57)</t>
    <phoneticPr fontId="2" type="noConversion"/>
  </si>
  <si>
    <t>9B58 (9B58)</t>
    <phoneticPr fontId="2" type="noConversion"/>
  </si>
  <si>
    <t>9B61 (9B61)</t>
    <phoneticPr fontId="2" type="noConversion"/>
  </si>
  <si>
    <t>9B62 (9B62)</t>
    <phoneticPr fontId="2" type="noConversion"/>
  </si>
  <si>
    <t>9B63 (9B63)</t>
    <phoneticPr fontId="2" type="noConversion"/>
  </si>
  <si>
    <t>9B64 (9B64)</t>
    <phoneticPr fontId="2" type="noConversion"/>
  </si>
  <si>
    <t>9B65 (9B65)</t>
    <phoneticPr fontId="2" type="noConversion"/>
  </si>
  <si>
    <t>9B66 (9B66)</t>
    <phoneticPr fontId="2" type="noConversion"/>
  </si>
  <si>
    <t>9B67 (9B67)</t>
    <phoneticPr fontId="2" type="noConversion"/>
  </si>
  <si>
    <t>9B68 (9B68)</t>
    <phoneticPr fontId="2" type="noConversion"/>
  </si>
  <si>
    <t xml:space="preserve">  </t>
  </si>
  <si>
    <t>變電所別</t>
    <phoneticPr fontId="2" type="noConversion"/>
  </si>
  <si>
    <t>饋線名稱</t>
    <phoneticPr fontId="2" type="noConversion"/>
  </si>
  <si>
    <t>變壓器或</t>
    <phoneticPr fontId="2" type="noConversion"/>
  </si>
  <si>
    <t>S</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</si>
</sst>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0">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3">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0" fillId="0" borderId="0" xfId="0" applyAlignment="1">
      <alignment horizontal="center" vertical="center"/>
    </xf>
    <xf numFmtId="178" fontId="0" fillId="0" borderId="0" xfId="0" applyNumberFormat="1" applyAlignment="1">
      <alignment horizontal="center" vertical="center"/>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5" borderId="1" xfId="0" applyFont="1" applyFill="1" applyBorder="1" applyAlignment="1">
      <alignment horizontal="left" vertical="center" wrapText="1"/>
    </xf>
    <xf numFmtId="0" fontId="40" fillId="6"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6"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7" borderId="24" xfId="4" applyFont="1" applyFill="1" applyBorder="1" applyAlignment="1">
      <alignment horizontal="center" vertical="center"/>
    </xf>
    <xf numFmtId="177" fontId="26" fillId="7" borderId="7" xfId="4" applyNumberFormat="1" applyFont="1" applyFill="1" applyBorder="1" applyAlignment="1">
      <alignment horizontal="center" vertical="center"/>
    </xf>
    <xf numFmtId="0" fontId="25" fillId="7" borderId="7" xfId="4" applyFont="1" applyFill="1" applyBorder="1" applyAlignment="1">
      <alignment horizontal="center" vertical="center"/>
    </xf>
    <xf numFmtId="0" fontId="52" fillId="7" borderId="7" xfId="4" applyFont="1" applyFill="1" applyBorder="1" applyAlignment="1">
      <alignment horizontal="center" vertical="center"/>
    </xf>
    <xf numFmtId="177" fontId="52" fillId="7" borderId="7" xfId="4" applyNumberFormat="1" applyFont="1" applyFill="1" applyBorder="1" applyAlignment="1">
      <alignment horizontal="center" vertical="center"/>
    </xf>
    <xf numFmtId="176" fontId="25" fillId="7" borderId="7" xfId="4" applyNumberFormat="1" applyFont="1" applyFill="1" applyBorder="1" applyAlignment="1">
      <alignment horizontal="center" vertical="center"/>
    </xf>
    <xf numFmtId="10" fontId="25" fillId="7" borderId="7" xfId="5" applyNumberFormat="1" applyFont="1" applyFill="1" applyBorder="1" applyAlignment="1">
      <alignment horizontal="center" vertical="center"/>
    </xf>
    <xf numFmtId="177" fontId="25" fillId="7" borderId="7" xfId="4" applyNumberFormat="1" applyFont="1" applyFill="1" applyBorder="1" applyAlignment="1">
      <alignment horizontal="center" vertical="center"/>
    </xf>
    <xf numFmtId="176" fontId="25" fillId="7" borderId="7" xfId="5" applyNumberFormat="1" applyFont="1" applyFill="1" applyBorder="1" applyAlignment="1">
      <alignment horizontal="center" vertical="center"/>
    </xf>
    <xf numFmtId="0" fontId="25" fillId="7" borderId="7" xfId="0" applyFont="1" applyFill="1" applyBorder="1" applyAlignment="1">
      <alignment horizontal="left" vertical="center" wrapText="1"/>
    </xf>
    <xf numFmtId="0" fontId="52" fillId="7" borderId="7" xfId="3" applyFont="1" applyFill="1" applyBorder="1" applyAlignment="1">
      <alignment horizontal="center" vertical="center" wrapText="1"/>
    </xf>
    <xf numFmtId="0" fontId="52" fillId="7"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5" borderId="3" xfId="4" applyFont="1" applyFill="1" applyBorder="1" applyAlignment="1">
      <alignment horizontal="center" vertical="center"/>
    </xf>
    <xf numFmtId="0" fontId="25" fillId="5" borderId="1" xfId="4" applyFont="1" applyFill="1" applyBorder="1" applyAlignment="1">
      <alignment horizontal="center" vertical="center"/>
    </xf>
    <xf numFmtId="0" fontId="52" fillId="5" borderId="1" xfId="4" applyFont="1" applyFill="1" applyBorder="1" applyAlignment="1">
      <alignment horizontal="center" vertical="center"/>
    </xf>
    <xf numFmtId="177" fontId="52" fillId="5" borderId="1" xfId="4" applyNumberFormat="1" applyFont="1" applyFill="1" applyBorder="1" applyAlignment="1">
      <alignment horizontal="center" vertical="center"/>
    </xf>
    <xf numFmtId="176" fontId="25" fillId="5" borderId="1" xfId="4" applyNumberFormat="1" applyFont="1" applyFill="1" applyBorder="1" applyAlignment="1">
      <alignment horizontal="center" vertical="center"/>
    </xf>
    <xf numFmtId="10" fontId="25" fillId="5" borderId="1" xfId="5" applyNumberFormat="1" applyFont="1" applyFill="1" applyBorder="1" applyAlignment="1">
      <alignment horizontal="center" vertical="center"/>
    </xf>
    <xf numFmtId="177" fontId="25" fillId="5" borderId="1" xfId="4" applyNumberFormat="1" applyFont="1" applyFill="1" applyBorder="1" applyAlignment="1">
      <alignment horizontal="center" vertical="center"/>
    </xf>
    <xf numFmtId="176" fontId="25" fillId="5" borderId="1" xfId="5" applyNumberFormat="1" applyFont="1" applyFill="1" applyBorder="1" applyAlignment="1">
      <alignment horizontal="center" vertical="center"/>
    </xf>
    <xf numFmtId="0" fontId="25" fillId="5" borderId="1" xfId="0" applyFont="1" applyFill="1" applyBorder="1" applyAlignment="1">
      <alignment horizontal="left" vertical="center" wrapText="1"/>
    </xf>
    <xf numFmtId="0" fontId="52" fillId="5" borderId="1" xfId="3" applyFont="1" applyFill="1" applyBorder="1" applyAlignment="1">
      <alignment horizontal="center" vertical="center" wrapText="1"/>
    </xf>
    <xf numFmtId="0" fontId="52" fillId="5"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7" borderId="22" xfId="4" applyFont="1" applyFill="1" applyBorder="1" applyAlignment="1">
      <alignment horizontal="center" vertical="center"/>
    </xf>
    <xf numFmtId="177" fontId="26" fillId="7" borderId="10" xfId="4" applyNumberFormat="1" applyFont="1" applyFill="1" applyBorder="1" applyAlignment="1">
      <alignment horizontal="center" vertical="center"/>
    </xf>
    <xf numFmtId="0" fontId="52" fillId="7" borderId="10" xfId="4" applyFont="1" applyFill="1" applyBorder="1" applyAlignment="1">
      <alignment horizontal="center" vertical="center"/>
    </xf>
    <xf numFmtId="176" fontId="26" fillId="7" borderId="10" xfId="4" applyNumberFormat="1" applyFont="1" applyFill="1" applyBorder="1" applyAlignment="1">
      <alignment horizontal="center" vertical="center"/>
    </xf>
    <xf numFmtId="10" fontId="25" fillId="7" borderId="10" xfId="5" applyNumberFormat="1" applyFont="1" applyFill="1" applyBorder="1" applyAlignment="1">
      <alignment horizontal="center" vertical="center"/>
    </xf>
    <xf numFmtId="177" fontId="25" fillId="7" borderId="10" xfId="4" applyNumberFormat="1" applyFont="1" applyFill="1" applyBorder="1" applyAlignment="1">
      <alignment horizontal="center" vertical="center"/>
    </xf>
    <xf numFmtId="176" fontId="25" fillId="7" borderId="10" xfId="5" applyNumberFormat="1" applyFont="1" applyFill="1" applyBorder="1" applyAlignment="1">
      <alignment horizontal="center" vertical="center"/>
    </xf>
    <xf numFmtId="0" fontId="25" fillId="7" borderId="10" xfId="0" applyFont="1" applyFill="1" applyBorder="1" applyAlignment="1">
      <alignment horizontal="left" vertical="center" wrapText="1"/>
    </xf>
    <xf numFmtId="0" fontId="52" fillId="7" borderId="10" xfId="3" applyFont="1" applyFill="1" applyBorder="1" applyAlignment="1">
      <alignment horizontal="center" vertical="center" wrapText="1"/>
    </xf>
    <xf numFmtId="0" fontId="52" fillId="7"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5" borderId="3" xfId="4" applyFont="1" applyFill="1" applyBorder="1" applyAlignment="1">
      <alignment horizontal="center" vertical="center"/>
    </xf>
    <xf numFmtId="0" fontId="25" fillId="5" borderId="1" xfId="0" applyFont="1" applyFill="1" applyBorder="1" applyAlignment="1">
      <alignment vertical="center" wrapText="1"/>
    </xf>
    <xf numFmtId="0" fontId="51" fillId="5"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7" borderId="4" xfId="4" applyNumberFormat="1" applyFont="1" applyFill="1" applyBorder="1" applyAlignment="1">
      <alignment horizontal="center" vertical="center"/>
    </xf>
    <xf numFmtId="0" fontId="25" fillId="7" borderId="4" xfId="4" applyFont="1" applyFill="1" applyBorder="1" applyAlignment="1">
      <alignment horizontal="center" vertical="center"/>
    </xf>
    <xf numFmtId="0" fontId="52" fillId="7" borderId="4" xfId="4" applyFont="1" applyFill="1" applyBorder="1" applyAlignment="1">
      <alignment horizontal="center" vertical="center"/>
    </xf>
    <xf numFmtId="177" fontId="52" fillId="7" borderId="4" xfId="4" applyNumberFormat="1" applyFont="1" applyFill="1" applyBorder="1" applyAlignment="1">
      <alignment horizontal="center" vertical="center"/>
    </xf>
    <xf numFmtId="176" fontId="25" fillId="7" borderId="4" xfId="4" applyNumberFormat="1" applyFont="1" applyFill="1" applyBorder="1" applyAlignment="1">
      <alignment horizontal="center" vertical="center"/>
    </xf>
    <xf numFmtId="10" fontId="25" fillId="7" borderId="4" xfId="5" applyNumberFormat="1" applyFont="1" applyFill="1" applyBorder="1" applyAlignment="1">
      <alignment horizontal="center" vertical="center"/>
    </xf>
    <xf numFmtId="176" fontId="25" fillId="7" borderId="4" xfId="5" applyNumberFormat="1" applyFont="1" applyFill="1" applyBorder="1" applyAlignment="1">
      <alignment horizontal="center" vertical="center"/>
    </xf>
    <xf numFmtId="0" fontId="25" fillId="7" borderId="4" xfId="0" applyFont="1" applyFill="1" applyBorder="1" applyAlignment="1">
      <alignment horizontal="left" vertical="center" wrapText="1"/>
    </xf>
    <xf numFmtId="0" fontId="51" fillId="7" borderId="4" xfId="3" applyFont="1" applyFill="1" applyBorder="1" applyAlignment="1">
      <alignment horizontal="center" vertical="center" wrapText="1"/>
    </xf>
    <xf numFmtId="0" fontId="52" fillId="7" borderId="4" xfId="3" applyFont="1" applyFill="1" applyBorder="1" applyAlignment="1">
      <alignment horizontal="center" vertical="center" wrapText="1"/>
    </xf>
    <xf numFmtId="0" fontId="52" fillId="7"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7" borderId="1" xfId="4" applyNumberFormat="1" applyFont="1" applyFill="1" applyBorder="1" applyAlignment="1">
      <alignment horizontal="center" vertical="center"/>
    </xf>
    <xf numFmtId="0" fontId="25" fillId="7" borderId="1" xfId="4" applyFont="1" applyFill="1" applyBorder="1" applyAlignment="1">
      <alignment horizontal="center" vertical="center"/>
    </xf>
    <xf numFmtId="0" fontId="52" fillId="7" borderId="1" xfId="4" applyFont="1" applyFill="1" applyBorder="1" applyAlignment="1">
      <alignment horizontal="center" vertical="center"/>
    </xf>
    <xf numFmtId="177" fontId="52" fillId="7" borderId="1" xfId="4" applyNumberFormat="1" applyFont="1" applyFill="1" applyBorder="1" applyAlignment="1">
      <alignment horizontal="center" vertical="center"/>
    </xf>
    <xf numFmtId="176" fontId="25" fillId="7" borderId="1" xfId="4" applyNumberFormat="1" applyFont="1" applyFill="1" applyBorder="1" applyAlignment="1">
      <alignment horizontal="center" vertical="center"/>
    </xf>
    <xf numFmtId="10" fontId="25" fillId="7" borderId="1" xfId="5" applyNumberFormat="1" applyFont="1" applyFill="1" applyBorder="1" applyAlignment="1">
      <alignment horizontal="center" vertical="center"/>
    </xf>
    <xf numFmtId="176" fontId="25" fillId="7" borderId="1" xfId="5" applyNumberFormat="1" applyFont="1" applyFill="1" applyBorder="1" applyAlignment="1">
      <alignment horizontal="center" vertical="center"/>
    </xf>
    <xf numFmtId="0" fontId="25" fillId="7" borderId="1" xfId="0" applyFont="1" applyFill="1" applyBorder="1" applyAlignment="1">
      <alignment horizontal="left" vertical="center" wrapText="1"/>
    </xf>
    <xf numFmtId="0" fontId="51" fillId="7" borderId="1" xfId="3" applyFont="1" applyFill="1" applyBorder="1" applyAlignment="1">
      <alignment horizontal="center" vertical="center" wrapText="1"/>
    </xf>
    <xf numFmtId="0" fontId="52" fillId="7"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7" borderId="3" xfId="4" applyFont="1" applyFill="1" applyBorder="1" applyAlignment="1">
      <alignment horizontal="center" vertical="center"/>
    </xf>
    <xf numFmtId="0" fontId="52" fillId="7"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5" borderId="1" xfId="3" applyFont="1" applyFill="1" applyBorder="1" applyAlignment="1">
      <alignment horizontal="center" vertical="center" wrapText="1"/>
    </xf>
    <xf numFmtId="0" fontId="52" fillId="5" borderId="1" xfId="3" applyFont="1" applyFill="1" applyBorder="1" applyAlignment="1">
      <alignment horizontal="center" vertical="center"/>
    </xf>
    <xf numFmtId="179" fontId="26" fillId="5" borderId="1" xfId="4" applyNumberFormat="1" applyFont="1" applyFill="1" applyBorder="1" applyAlignment="1">
      <alignment horizontal="center" vertical="center" wrapText="1"/>
    </xf>
    <xf numFmtId="0" fontId="25" fillId="5"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5" borderId="5" xfId="4" applyNumberFormat="1" applyFont="1" applyFill="1" applyBorder="1" applyAlignment="1">
      <alignment horizontal="center" vertical="center"/>
    </xf>
    <xf numFmtId="0" fontId="25" fillId="5" borderId="5" xfId="4" applyFont="1" applyFill="1" applyBorder="1" applyAlignment="1">
      <alignment horizontal="center" vertical="center"/>
    </xf>
    <xf numFmtId="0" fontId="52" fillId="5" borderId="5" xfId="4" applyFont="1" applyFill="1" applyBorder="1" applyAlignment="1">
      <alignment horizontal="center" vertical="center"/>
    </xf>
    <xf numFmtId="177" fontId="52" fillId="5" borderId="5" xfId="4" applyNumberFormat="1" applyFont="1" applyFill="1" applyBorder="1" applyAlignment="1">
      <alignment horizontal="center" vertical="center"/>
    </xf>
    <xf numFmtId="176" fontId="25" fillId="5" borderId="5" xfId="4" applyNumberFormat="1" applyFont="1" applyFill="1" applyBorder="1" applyAlignment="1">
      <alignment horizontal="center" vertical="center"/>
    </xf>
    <xf numFmtId="10" fontId="25" fillId="5" borderId="5" xfId="5" applyNumberFormat="1" applyFont="1" applyFill="1" applyBorder="1" applyAlignment="1">
      <alignment horizontal="center" vertical="center"/>
    </xf>
    <xf numFmtId="176" fontId="25" fillId="5" borderId="5" xfId="5" applyNumberFormat="1" applyFont="1" applyFill="1" applyBorder="1" applyAlignment="1">
      <alignment horizontal="center" vertical="center"/>
    </xf>
    <xf numFmtId="0" fontId="25" fillId="5" borderId="5" xfId="0" applyFont="1" applyFill="1" applyBorder="1" applyAlignment="1">
      <alignment horizontal="left" vertical="center" wrapText="1"/>
    </xf>
    <xf numFmtId="0" fontId="53" fillId="5" borderId="5" xfId="3" applyFont="1" applyFill="1" applyBorder="1" applyAlignment="1">
      <alignment horizontal="center" vertical="center" wrapText="1"/>
    </xf>
    <xf numFmtId="0" fontId="52" fillId="5" borderId="5" xfId="3" applyFont="1" applyFill="1" applyBorder="1" applyAlignment="1">
      <alignment horizontal="center" vertical="center"/>
    </xf>
    <xf numFmtId="0" fontId="52" fillId="5"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7" borderId="1" xfId="0" applyFont="1" applyFill="1" applyBorder="1" applyAlignment="1">
      <alignment horizontal="center" vertical="center"/>
    </xf>
    <xf numFmtId="177" fontId="53" fillId="7" borderId="1" xfId="4" applyNumberFormat="1" applyFont="1" applyFill="1" applyBorder="1" applyAlignment="1">
      <alignment horizontal="center" vertical="center"/>
    </xf>
    <xf numFmtId="176" fontId="26" fillId="7" borderId="1" xfId="4" applyNumberFormat="1" applyFont="1" applyFill="1" applyBorder="1" applyAlignment="1">
      <alignment horizontal="center" vertical="center"/>
    </xf>
    <xf numFmtId="0" fontId="52" fillId="7" borderId="1" xfId="3" applyFont="1" applyFill="1" applyBorder="1" applyAlignment="1">
      <alignment horizontal="center" vertical="center"/>
    </xf>
    <xf numFmtId="179" fontId="51" fillId="7" borderId="1" xfId="4" applyNumberFormat="1" applyFont="1" applyFill="1" applyBorder="1" applyAlignment="1">
      <alignment horizontal="center" vertical="center" wrapText="1"/>
    </xf>
    <xf numFmtId="0" fontId="25" fillId="7"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5" borderId="24" xfId="4" applyFont="1" applyFill="1" applyBorder="1" applyAlignment="1">
      <alignment horizontal="center" vertical="center"/>
    </xf>
    <xf numFmtId="177" fontId="25" fillId="5" borderId="7" xfId="4" applyNumberFormat="1" applyFont="1" applyFill="1" applyBorder="1" applyAlignment="1">
      <alignment horizontal="center" vertical="center"/>
    </xf>
    <xf numFmtId="0" fontId="25" fillId="5" borderId="7" xfId="0" applyFont="1" applyFill="1" applyBorder="1" applyAlignment="1">
      <alignment horizontal="center" vertical="center"/>
    </xf>
    <xf numFmtId="0" fontId="52" fillId="5" borderId="7" xfId="4" applyFont="1" applyFill="1" applyBorder="1" applyAlignment="1">
      <alignment horizontal="center" vertical="center"/>
    </xf>
    <xf numFmtId="176" fontId="25" fillId="5" borderId="7" xfId="4" applyNumberFormat="1" applyFont="1" applyFill="1" applyBorder="1" applyAlignment="1">
      <alignment horizontal="center" vertical="center"/>
    </xf>
    <xf numFmtId="10" fontId="25" fillId="5" borderId="7" xfId="5" applyNumberFormat="1" applyFont="1" applyFill="1" applyBorder="1" applyAlignment="1">
      <alignment horizontal="center" vertical="center"/>
    </xf>
    <xf numFmtId="176" fontId="25" fillId="5" borderId="7" xfId="5" applyNumberFormat="1" applyFont="1" applyFill="1" applyBorder="1" applyAlignment="1">
      <alignment horizontal="center" vertical="center"/>
    </xf>
    <xf numFmtId="0" fontId="25" fillId="5" borderId="7" xfId="0" applyFont="1" applyFill="1" applyBorder="1" applyAlignment="1">
      <alignment vertical="center" wrapText="1"/>
    </xf>
    <xf numFmtId="179" fontId="52" fillId="5" borderId="7" xfId="4" applyNumberFormat="1" applyFont="1" applyFill="1" applyBorder="1" applyAlignment="1">
      <alignment horizontal="center" vertical="center" wrapText="1"/>
    </xf>
    <xf numFmtId="0" fontId="52" fillId="5" borderId="7" xfId="3" applyFont="1" applyFill="1" applyBorder="1" applyAlignment="1">
      <alignment horizontal="center" vertical="center" wrapText="1"/>
    </xf>
    <xf numFmtId="0" fontId="52" fillId="5" borderId="25" xfId="4" applyFont="1" applyFill="1" applyBorder="1" applyAlignment="1">
      <alignment horizontal="center" vertical="center"/>
    </xf>
    <xf numFmtId="0" fontId="54" fillId="0" borderId="0" xfId="4" applyFont="1" applyAlignment="1">
      <alignment horizontal="center" vertical="center"/>
    </xf>
    <xf numFmtId="177" fontId="26" fillId="7" borderId="1" xfId="4" applyNumberFormat="1" applyFont="1" applyFill="1" applyBorder="1" applyAlignment="1">
      <alignment horizontal="center" vertical="center"/>
    </xf>
    <xf numFmtId="179" fontId="26" fillId="7"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7" borderId="3" xfId="4" applyFont="1" applyFill="1" applyBorder="1" applyAlignment="1">
      <alignment horizontal="center" vertical="center"/>
    </xf>
    <xf numFmtId="0" fontId="25" fillId="7"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5" borderId="3" xfId="4" applyFont="1" applyFill="1" applyBorder="1" applyAlignment="1">
      <alignment horizontal="center" vertical="center"/>
    </xf>
    <xf numFmtId="0" fontId="26" fillId="5"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7" borderId="24" xfId="4" applyFont="1" applyFill="1" applyBorder="1" applyAlignment="1">
      <alignment horizontal="center" vertical="center"/>
    </xf>
    <xf numFmtId="0" fontId="25" fillId="7"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5" borderId="1" xfId="4" applyFont="1" applyFill="1" applyBorder="1" applyAlignment="1">
      <alignment horizontal="left" vertical="center"/>
    </xf>
    <xf numFmtId="0" fontId="52" fillId="7" borderId="3" xfId="4" applyFont="1" applyFill="1" applyBorder="1" applyAlignment="1">
      <alignment horizontal="center" vertical="center"/>
    </xf>
    <xf numFmtId="0" fontId="25" fillId="7" borderId="1" xfId="4" applyFont="1" applyFill="1" applyBorder="1" applyAlignment="1">
      <alignment horizontal="left" vertical="center" wrapText="1"/>
    </xf>
    <xf numFmtId="0" fontId="51" fillId="5" borderId="1" xfId="4" applyFont="1" applyFill="1" applyBorder="1" applyAlignment="1">
      <alignment horizontal="center" vertical="center" wrapText="1"/>
    </xf>
    <xf numFmtId="0" fontId="57" fillId="7" borderId="1" xfId="4" applyFont="1" applyFill="1" applyBorder="1" applyAlignment="1">
      <alignment horizontal="center" vertical="center"/>
    </xf>
    <xf numFmtId="177" fontId="57" fillId="7" borderId="1" xfId="4" applyNumberFormat="1" applyFont="1" applyFill="1" applyBorder="1" applyAlignment="1">
      <alignment horizontal="center" vertical="center"/>
    </xf>
    <xf numFmtId="176" fontId="57" fillId="7" borderId="1" xfId="4" applyNumberFormat="1" applyFont="1" applyFill="1" applyBorder="1" applyAlignment="1">
      <alignment horizontal="center" vertical="center"/>
    </xf>
    <xf numFmtId="10" fontId="57" fillId="7" borderId="1" xfId="5" applyNumberFormat="1" applyFont="1" applyFill="1" applyBorder="1" applyAlignment="1">
      <alignment horizontal="center" vertical="center"/>
    </xf>
    <xf numFmtId="176" fontId="57" fillId="7" borderId="1" xfId="5" applyNumberFormat="1" applyFont="1" applyFill="1" applyBorder="1" applyAlignment="1">
      <alignment horizontal="center" vertical="center"/>
    </xf>
    <xf numFmtId="0" fontId="57" fillId="7"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5" borderId="1" xfId="4" applyFont="1" applyFill="1" applyBorder="1" applyAlignment="1">
      <alignment horizontal="center" vertical="center"/>
    </xf>
    <xf numFmtId="0" fontId="51" fillId="7" borderId="1" xfId="0" applyFont="1" applyFill="1" applyBorder="1" applyAlignment="1">
      <alignment horizontal="center" vertical="center"/>
    </xf>
    <xf numFmtId="177" fontId="51" fillId="7" borderId="10" xfId="4" applyNumberFormat="1" applyFont="1" applyFill="1" applyBorder="1" applyAlignment="1">
      <alignment horizontal="center" vertical="center"/>
    </xf>
    <xf numFmtId="177" fontId="51" fillId="5" borderId="1" xfId="4" applyNumberFormat="1" applyFont="1" applyFill="1" applyBorder="1" applyAlignment="1">
      <alignment horizontal="center" vertical="center"/>
    </xf>
    <xf numFmtId="0" fontId="51" fillId="5" borderId="1" xfId="0" applyFont="1" applyFill="1" applyBorder="1" applyAlignment="1">
      <alignment horizontal="center" vertical="center"/>
    </xf>
    <xf numFmtId="0" fontId="51" fillId="7" borderId="1" xfId="3" applyFont="1" applyFill="1" applyBorder="1" applyAlignment="1">
      <alignment horizontal="center" vertical="center"/>
    </xf>
    <xf numFmtId="177" fontId="51" fillId="7" borderId="1" xfId="4" applyNumberFormat="1" applyFont="1" applyFill="1" applyBorder="1" applyAlignment="1">
      <alignment horizontal="center" vertical="center"/>
    </xf>
    <xf numFmtId="177" fontId="51" fillId="5"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5" borderId="22" xfId="4" applyFont="1" applyFill="1" applyBorder="1" applyAlignment="1">
      <alignment horizontal="center" vertical="center"/>
    </xf>
    <xf numFmtId="177" fontId="25" fillId="5" borderId="10" xfId="4" applyNumberFormat="1" applyFont="1" applyFill="1" applyBorder="1" applyAlignment="1">
      <alignment horizontal="center" vertical="center"/>
    </xf>
    <xf numFmtId="0" fontId="25" fillId="5" borderId="10" xfId="4" applyFont="1" applyFill="1" applyBorder="1" applyAlignment="1">
      <alignment horizontal="center" vertical="center"/>
    </xf>
    <xf numFmtId="0" fontId="52" fillId="5" borderId="10" xfId="4" applyFont="1" applyFill="1" applyBorder="1" applyAlignment="1">
      <alignment horizontal="center" vertical="center"/>
    </xf>
    <xf numFmtId="177" fontId="52" fillId="5" borderId="10" xfId="4" applyNumberFormat="1" applyFont="1" applyFill="1" applyBorder="1" applyAlignment="1">
      <alignment horizontal="center" vertical="center"/>
    </xf>
    <xf numFmtId="176" fontId="25" fillId="5" borderId="10" xfId="4" applyNumberFormat="1" applyFont="1" applyFill="1" applyBorder="1" applyAlignment="1">
      <alignment horizontal="center" vertical="center"/>
    </xf>
    <xf numFmtId="10" fontId="25" fillId="5" borderId="10" xfId="5" applyNumberFormat="1" applyFont="1" applyFill="1" applyBorder="1" applyAlignment="1">
      <alignment horizontal="center" vertical="center"/>
    </xf>
    <xf numFmtId="176" fontId="25" fillId="5" borderId="10" xfId="5" applyNumberFormat="1" applyFont="1" applyFill="1" applyBorder="1" applyAlignment="1">
      <alignment horizontal="center" vertical="center"/>
    </xf>
    <xf numFmtId="0" fontId="25" fillId="5" borderId="10" xfId="0" applyFont="1" applyFill="1" applyBorder="1" applyAlignment="1">
      <alignment vertical="center" wrapText="1"/>
    </xf>
    <xf numFmtId="0" fontId="51" fillId="5" borderId="10" xfId="3" applyFont="1" applyFill="1" applyBorder="1" applyAlignment="1">
      <alignment horizontal="center" vertical="center" wrapText="1"/>
    </xf>
    <xf numFmtId="0" fontId="52" fillId="5" borderId="10" xfId="3" applyFont="1" applyFill="1" applyBorder="1" applyAlignment="1">
      <alignment horizontal="center" vertical="center" wrapText="1"/>
    </xf>
    <xf numFmtId="0" fontId="52" fillId="5" borderId="21" xfId="4" applyFont="1" applyFill="1" applyBorder="1" applyAlignment="1">
      <alignment horizontal="center" vertical="center"/>
    </xf>
    <xf numFmtId="0" fontId="49" fillId="0" borderId="1" xfId="4" applyFont="1" applyBorder="1" applyAlignment="1">
      <alignment horizontal="center" vertical="center"/>
    </xf>
    <xf numFmtId="14" fontId="59" fillId="8"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9" borderId="0" xfId="0" applyNumberFormat="1" applyFill="1" applyAlignment="1">
      <alignment horizontal="center" vertical="center"/>
    </xf>
    <xf numFmtId="21" fontId="0" fillId="0" borderId="0" xfId="0" applyNumberFormat="1" applyAlignment="1">
      <alignment horizontal="center" vertical="center"/>
    </xf>
    <xf numFmtId="21" fontId="0" fillId="0" borderId="0" xfId="0" applyNumberFormat="1">
      <alignment vertical="center"/>
    </xf>
    <xf numFmtId="0" fontId="0" fillId="3" borderId="36" xfId="0" applyFill="1" applyBorder="1" applyAlignment="1">
      <alignment horizontal="center" vertical="center" wrapText="1"/>
    </xf>
    <xf numFmtId="0" fontId="0" fillId="3" borderId="37" xfId="0" applyFill="1" applyBorder="1" applyAlignment="1">
      <alignment horizontal="center" vertical="center" wrapText="1"/>
    </xf>
    <xf numFmtId="0" fontId="0" fillId="3" borderId="38" xfId="0" applyFill="1" applyBorder="1" applyAlignment="1">
      <alignment horizontal="center" vertical="center" wrapText="1"/>
    </xf>
    <xf numFmtId="0" fontId="48" fillId="0" borderId="0" xfId="4" applyFont="1" applyAlignment="1">
      <alignment horizontal="center" vertical="center"/>
    </xf>
    <xf numFmtId="0" fontId="25" fillId="5" borderId="28" xfId="4" applyFont="1" applyFill="1" applyBorder="1" applyAlignment="1">
      <alignment horizontal="center" vertical="center"/>
    </xf>
    <xf numFmtId="0" fontId="25" fillId="5" borderId="27" xfId="4" applyFont="1" applyFill="1" applyBorder="1" applyAlignment="1">
      <alignment horizontal="center" vertical="center"/>
    </xf>
    <xf numFmtId="0" fontId="25" fillId="5" borderId="31" xfId="4" applyFont="1" applyFill="1" applyBorder="1" applyAlignment="1">
      <alignment horizontal="center" vertical="center"/>
    </xf>
    <xf numFmtId="0" fontId="25" fillId="7" borderId="3" xfId="4" applyFont="1" applyFill="1" applyBorder="1" applyAlignment="1">
      <alignment horizontal="center" vertical="center"/>
    </xf>
    <xf numFmtId="0" fontId="25" fillId="7" borderId="27" xfId="4" applyFont="1" applyFill="1" applyBorder="1" applyAlignment="1">
      <alignment horizontal="center" vertical="center"/>
    </xf>
    <xf numFmtId="0" fontId="25" fillId="7" borderId="31" xfId="4" applyFont="1" applyFill="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7"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7" borderId="29" xfId="4" applyFont="1" applyFill="1" applyBorder="1" applyAlignment="1">
      <alignment horizontal="center" vertical="center"/>
    </xf>
    <xf numFmtId="0" fontId="52" fillId="7" borderId="30" xfId="4" applyFont="1" applyFill="1" applyBorder="1" applyAlignment="1">
      <alignment horizontal="center" vertical="center"/>
    </xf>
    <xf numFmtId="0" fontId="0" fillId="0" borderId="0" xfId="4" applyFont="1" applyAlignment="1">
      <alignment horizontal="left" vertical="center"/>
    </xf>
    <xf numFmtId="0" fontId="8" fillId="0" borderId="0" xfId="4" applyFont="1" applyAlignment="1">
      <alignment horizontal="left" vertical="center"/>
    </xf>
    <xf numFmtId="0" fontId="17"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8" fillId="0" borderId="0" xfId="4" applyFont="1" applyAlignment="1">
      <alignment horizontal="left" vertical="center" wrapText="1"/>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0" fillId="3" borderId="48" xfId="0" applyFill="1" applyBorder="1" applyAlignment="1">
      <alignment horizontal="center" vertical="center" wrapText="1"/>
    </xf>
    <xf numFmtId="0" fontId="0" fillId="3" borderId="49" xfId="0" applyFill="1" applyBorder="1" applyAlignment="1">
      <alignment horizontal="center" vertical="center" wrapText="1"/>
    </xf>
    <xf numFmtId="14" fontId="0" fillId="3" borderId="36" xfId="0" applyNumberFormat="1" applyFill="1" applyBorder="1" applyAlignment="1">
      <alignment horizontal="center" vertical="center" wrapText="1"/>
    </xf>
    <xf numFmtId="0" fontId="0" fillId="3" borderId="37" xfId="0" applyFill="1" applyBorder="1" applyAlignment="1">
      <alignment horizontal="center" vertical="center" wrapText="1"/>
    </xf>
    <xf numFmtId="0" fontId="0" fillId="3" borderId="36" xfId="0"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tabSelected="1" view="pageBreakPreview" zoomScale="70" zoomScaleNormal="70" zoomScaleSheetLayoutView="70" workbookViewId="0">
      <pane ySplit="4" topLeftCell="A5" activePane="bottomLeft" state="frozen"/>
      <selection pane="bottomLeft" activeCell="L5" sqref="L5"/>
    </sheetView>
  </sheetViews>
  <sheetFormatPr defaultColWidth="8.875" defaultRowHeight="18" x14ac:dyDescent="0.25"/>
  <cols>
    <col min="1" max="1" width="20.875" style="35" customWidth="1"/>
    <col min="2" max="2" width="15.625" style="159" customWidth="1"/>
    <col min="3" max="3" width="15.625" style="160" customWidth="1"/>
    <col min="4" max="4" width="15.625" style="159" customWidth="1"/>
    <col min="5" max="5" width="16.75" style="159" customWidth="1"/>
    <col min="6" max="6" width="15.625" style="160" customWidth="1"/>
    <col min="7" max="7" width="15.625" style="159" customWidth="1"/>
    <col min="8" max="8" width="15.625" style="161" customWidth="1"/>
    <col min="9" max="10" width="15.625" style="160" customWidth="1"/>
    <col min="11" max="11" width="15.625" style="161" customWidth="1"/>
    <col min="12" max="12" width="57" style="140" customWidth="1"/>
    <col min="13" max="13" width="64.375" style="159"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4" customFormat="1" ht="36.75" x14ac:dyDescent="0.25">
      <c r="A1" s="171"/>
      <c r="B1" s="172"/>
      <c r="C1" s="387" t="s">
        <v>123</v>
      </c>
      <c r="D1" s="387"/>
      <c r="E1" s="172" t="str">
        <f>VLOOKUP(A13,DATA!V:Z,5,FALSE)</f>
        <v>鹿港</v>
      </c>
      <c r="F1" s="407" t="s">
        <v>124</v>
      </c>
      <c r="G1" s="407"/>
      <c r="H1" s="407"/>
      <c r="I1" s="407"/>
      <c r="J1" s="407"/>
      <c r="K1" s="407"/>
      <c r="L1" s="407"/>
      <c r="M1" s="407"/>
      <c r="N1" s="407"/>
      <c r="O1" s="407"/>
      <c r="P1" s="173"/>
      <c r="Q1" s="376" t="s">
        <v>169</v>
      </c>
      <c r="R1" s="377">
        <v>45485</v>
      </c>
      <c r="S1" s="173"/>
    </row>
    <row r="2" spans="1:24" s="174" customFormat="1" ht="36.75" x14ac:dyDescent="0.25">
      <c r="A2" s="408" t="s">
        <v>152</v>
      </c>
      <c r="B2" s="408"/>
      <c r="C2" s="408"/>
      <c r="D2" s="408"/>
      <c r="E2" s="408"/>
      <c r="F2" s="408"/>
      <c r="G2" s="408"/>
      <c r="H2" s="408"/>
      <c r="I2" s="408"/>
      <c r="J2" s="408"/>
      <c r="K2" s="408"/>
      <c r="L2" s="408"/>
      <c r="M2" s="408"/>
      <c r="N2" s="408"/>
      <c r="O2" s="408"/>
      <c r="P2" s="173"/>
      <c r="Q2" s="173"/>
      <c r="R2" s="173"/>
      <c r="S2" s="173"/>
    </row>
    <row r="3" spans="1:24" s="302" customFormat="1" ht="28.5" customHeight="1" x14ac:dyDescent="0.25">
      <c r="A3" s="394" t="s">
        <v>69</v>
      </c>
      <c r="B3" s="394" t="s">
        <v>121</v>
      </c>
      <c r="C3" s="346"/>
      <c r="D3" s="394" t="s">
        <v>161</v>
      </c>
      <c r="E3" s="394"/>
      <c r="F3" s="409" t="s">
        <v>19</v>
      </c>
      <c r="G3" s="409"/>
      <c r="H3" s="409"/>
      <c r="I3" s="409" t="s">
        <v>20</v>
      </c>
      <c r="J3" s="409"/>
      <c r="K3" s="409"/>
      <c r="L3" s="396" t="s">
        <v>23</v>
      </c>
      <c r="M3" s="394" t="s">
        <v>162</v>
      </c>
      <c r="N3" s="395" t="s">
        <v>16</v>
      </c>
      <c r="O3" s="394" t="s">
        <v>22</v>
      </c>
      <c r="P3" s="347"/>
      <c r="Q3" s="347"/>
      <c r="R3" s="347"/>
      <c r="S3" s="347"/>
    </row>
    <row r="4" spans="1:24" s="302" customFormat="1" ht="73.5" customHeight="1" thickBot="1" x14ac:dyDescent="0.3">
      <c r="A4" s="415"/>
      <c r="B4" s="395"/>
      <c r="C4" s="348" t="s">
        <v>10</v>
      </c>
      <c r="D4" s="349" t="s">
        <v>132</v>
      </c>
      <c r="E4" s="349" t="s">
        <v>150</v>
      </c>
      <c r="F4" s="348" t="s">
        <v>163</v>
      </c>
      <c r="G4" s="349" t="s">
        <v>164</v>
      </c>
      <c r="H4" s="350" t="s">
        <v>165</v>
      </c>
      <c r="I4" s="348" t="s">
        <v>163</v>
      </c>
      <c r="J4" s="348" t="s">
        <v>164</v>
      </c>
      <c r="K4" s="350" t="s">
        <v>165</v>
      </c>
      <c r="L4" s="397"/>
      <c r="M4" s="395"/>
      <c r="N4" s="410"/>
      <c r="O4" s="395"/>
      <c r="P4" s="351" t="s">
        <v>58</v>
      </c>
      <c r="Q4" s="351" t="s">
        <v>59</v>
      </c>
      <c r="R4" s="351" t="s">
        <v>60</v>
      </c>
      <c r="S4" s="351" t="s">
        <v>61</v>
      </c>
      <c r="T4" s="352"/>
      <c r="U4" s="353"/>
      <c r="V4" s="354" t="s">
        <v>62</v>
      </c>
      <c r="W4" s="353"/>
      <c r="X4" s="354" t="s">
        <v>62</v>
      </c>
    </row>
    <row r="5" spans="1:24" ht="50.1" customHeight="1" x14ac:dyDescent="0.25">
      <c r="A5" s="175" t="s">
        <v>96</v>
      </c>
      <c r="B5" s="176" t="s">
        <v>92</v>
      </c>
      <c r="C5" s="177">
        <f ca="1">IF(B5="","",VLOOKUP(B5,DATA!$P:$T,5,FALSE))</f>
        <v>4.1500000000000004</v>
      </c>
      <c r="D5" s="178" t="s">
        <v>94</v>
      </c>
      <c r="E5" s="179" t="str">
        <f>IF(D5="","",VLOOKUP(D5,DATA!$P:$V,7,FALSE))</f>
        <v>9G#1DTR(B)</v>
      </c>
      <c r="F5" s="180">
        <f t="array" aca="1" ref="F5" ca="1">IF(P5=0,VLOOKUP(D5,DATA!$P:$T,5,FALSE),INDIRECT(Q5))</f>
        <v>5.0199999999999996</v>
      </c>
      <c r="G5" s="181">
        <f t="array" aca="1" ref="G5" ca="1">IF(R5=0,VLOOKUP(E5,DATA!$P:$T,5,FALSE),INDIRECT(S5))-C9</f>
        <v>14.83</v>
      </c>
      <c r="H5" s="182">
        <f ca="1">G5/VLOOKUP(E5,DATA!$V:$W,2,FALSE)</f>
        <v>0.49433333333333335</v>
      </c>
      <c r="I5" s="183">
        <f ca="1">C5+F5</f>
        <v>9.17</v>
      </c>
      <c r="J5" s="184">
        <f ca="1">G5+C5</f>
        <v>18.98</v>
      </c>
      <c r="K5" s="182">
        <f ca="1">J5/VLOOKUP(E5,DATA!$V:$W,2,FALSE)</f>
        <v>0.63266666666666671</v>
      </c>
      <c r="L5" s="185" t="s">
        <v>141</v>
      </c>
      <c r="M5" s="186" t="s">
        <v>98</v>
      </c>
      <c r="N5" s="186">
        <v>1</v>
      </c>
      <c r="O5" s="187" t="s">
        <v>65</v>
      </c>
      <c r="P5" s="127">
        <f>VLOOKUP(N5,排序!C:I,7,0)</f>
        <v>0</v>
      </c>
      <c r="Q5" s="128" t="str">
        <f t="shared" ref="Q5:Q41" si="0">IFERROR("I"&amp;(MATCH(D5&amp;"-"&amp;(P5-1),$V$5:$V$111,0))+4,"")</f>
        <v/>
      </c>
      <c r="R5" s="127">
        <f>VLOOKUP(N5,排序!C:Q,14,0)</f>
        <v>0</v>
      </c>
      <c r="S5" s="128"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88" t="s">
        <v>97</v>
      </c>
      <c r="B6" s="189" t="s">
        <v>72</v>
      </c>
      <c r="C6" s="358">
        <f ca="1">IF(B6="","",VLOOKUP(B6,DATA!$P:$T,5,FALSE))*12120.8/(9799.6+12120.8)</f>
        <v>3.212616923048849</v>
      </c>
      <c r="D6" s="355" t="s">
        <v>93</v>
      </c>
      <c r="E6" s="191" t="str">
        <f>IF(D6="","",VLOOKUP(D6,DATA!$P:$V,7,FALSE))</f>
        <v>9G#1DTR(A)</v>
      </c>
      <c r="F6" s="192">
        <f t="array" aca="1" ref="F6" ca="1">IF(P6=0,VLOOKUP(D6,DATA!$P:$T,5,FALSE),INDIRECT(Q6))-C5</f>
        <v>-4.1500000000000004</v>
      </c>
      <c r="G6" s="193">
        <f t="array" aca="1" ref="G6" ca="1">IF(R6=0,VLOOKUP(E6,DATA!$P:$T,5,FALSE),INDIRECT(S6))-C5</f>
        <v>4.6399999999999988</v>
      </c>
      <c r="H6" s="194">
        <f ca="1">G6/VLOOKUP(E6,DATA!$V:$W,2,FALSE)</f>
        <v>0.15466666666666662</v>
      </c>
      <c r="I6" s="195">
        <f ca="1">C6+F6</f>
        <v>-0.93738307695115131</v>
      </c>
      <c r="J6" s="196">
        <f ca="1">G6+C6</f>
        <v>7.8526169230488474</v>
      </c>
      <c r="K6" s="194">
        <f ca="1">J6/VLOOKUP(E6,DATA!$V:$W,2,FALSE)</f>
        <v>0.26175389743496158</v>
      </c>
      <c r="L6" s="197" t="s">
        <v>133</v>
      </c>
      <c r="M6" s="198" t="s">
        <v>144</v>
      </c>
      <c r="N6" s="198">
        <v>2</v>
      </c>
      <c r="O6" s="199" t="s">
        <v>65</v>
      </c>
      <c r="P6" s="127">
        <f>VLOOKUP(N6,排序!C:I,7,0)</f>
        <v>0</v>
      </c>
      <c r="Q6" s="128" t="str">
        <f t="shared" si="0"/>
        <v/>
      </c>
      <c r="R6" s="127">
        <f>VLOOKUP(N6,排序!C:Q,14,0)</f>
        <v>0</v>
      </c>
      <c r="S6" s="128" t="str">
        <f t="shared" si="1"/>
        <v/>
      </c>
      <c r="T6" s="5"/>
      <c r="U6" s="5" t="str">
        <f t="shared" si="2"/>
        <v>9G24</v>
      </c>
      <c r="V6" s="5" t="str">
        <f t="shared" si="3"/>
        <v>9G24-0</v>
      </c>
      <c r="W6" s="5" t="str">
        <f t="shared" si="4"/>
        <v>9G#1DTR(A)</v>
      </c>
      <c r="X6" s="5" t="str">
        <f t="shared" si="5"/>
        <v>9G#1DTR(A)-0</v>
      </c>
    </row>
    <row r="7" spans="1:24" ht="50.1" customHeight="1" thickBot="1" x14ac:dyDescent="0.3">
      <c r="A7" s="200" t="s">
        <v>97</v>
      </c>
      <c r="B7" s="201" t="s">
        <v>74</v>
      </c>
      <c r="C7" s="202">
        <f ca="1">IF(B7="","",VLOOKUP(B7,DATA!$P:$T,5,FALSE))*2560/(13281.4+2560)</f>
        <v>0.98900349716565461</v>
      </c>
      <c r="D7" s="203" t="s">
        <v>72</v>
      </c>
      <c r="E7" s="203" t="str">
        <f>IF(D7="","",VLOOKUP(D7,DATA!$P:$V,7,FALSE))</f>
        <v>9G#2DTR(B)</v>
      </c>
      <c r="F7" s="357">
        <f t="array" aca="1" ref="F7" ca="1">IF(P7=0,VLOOKUP(D7,DATA!$P:$T,5,FALSE),INDIRECT(Q7))</f>
        <v>5.81</v>
      </c>
      <c r="G7" s="204">
        <f t="array" aca="1" ref="G7" ca="1">IF(R7=0,VLOOKUP(E7,DATA!$P:$T,5,FALSE),INDIRECT(S7))-C6</f>
        <v>18.247383076951152</v>
      </c>
      <c r="H7" s="205">
        <f ca="1">G7/VLOOKUP(E7,DATA!$V:$W,2,FALSE)</f>
        <v>0.60824610256503842</v>
      </c>
      <c r="I7" s="206">
        <f t="shared" ref="I7:I41" ca="1" si="6">C7+F7</f>
        <v>6.7990034971656543</v>
      </c>
      <c r="J7" s="207">
        <f t="shared" ref="J7:J41" ca="1" si="7">G7+C7</f>
        <v>19.236386574116807</v>
      </c>
      <c r="K7" s="205">
        <f ca="1">J7/VLOOKUP(E7,DATA!$V:$W,2,FALSE)</f>
        <v>0.64121288580389357</v>
      </c>
      <c r="L7" s="208" t="s">
        <v>95</v>
      </c>
      <c r="M7" s="209" t="s">
        <v>142</v>
      </c>
      <c r="N7" s="209">
        <v>3</v>
      </c>
      <c r="O7" s="210" t="s">
        <v>65</v>
      </c>
      <c r="P7" s="127">
        <f>VLOOKUP(N7,排序!C:I,7,0)</f>
        <v>0</v>
      </c>
      <c r="Q7" s="128" t="str">
        <f t="shared" si="0"/>
        <v/>
      </c>
      <c r="R7" s="127">
        <f>VLOOKUP(N7,排序!C:Q,14,0)</f>
        <v>0</v>
      </c>
      <c r="S7" s="128" t="str">
        <f t="shared" si="1"/>
        <v/>
      </c>
      <c r="T7" s="5"/>
      <c r="U7" s="5" t="str">
        <f t="shared" si="2"/>
        <v>9G38</v>
      </c>
      <c r="V7" s="5" t="str">
        <f t="shared" si="3"/>
        <v>9G38-0</v>
      </c>
      <c r="W7" s="5" t="str">
        <f t="shared" si="4"/>
        <v>9G#2DTR(B)</v>
      </c>
      <c r="X7" s="5" t="str">
        <f t="shared" si="5"/>
        <v>9G#2DTR(B)-0</v>
      </c>
    </row>
    <row r="8" spans="1:24" ht="50.1" customHeight="1" thickBot="1" x14ac:dyDescent="0.3">
      <c r="A8" s="363"/>
      <c r="B8" s="364" t="s">
        <v>44</v>
      </c>
      <c r="C8" s="365">
        <f ca="1">IF(B8="","",VLOOKUP(B8,DATA!$P:$T,5,FALSE))*6954.2/(14191.6+6954.2)</f>
        <v>1.3121876684731721</v>
      </c>
      <c r="D8" s="366" t="s">
        <v>78</v>
      </c>
      <c r="E8" s="367" t="str">
        <f>IF(D8="","",VLOOKUP(D8,DATA!$P:$V,7,FALSE))</f>
        <v>9G#2DTR(B)</v>
      </c>
      <c r="F8" s="368">
        <f t="array" aca="1" ref="F8" ca="1">IF(P8=0,VLOOKUP(D8,DATA!$P:$T,5,FALSE),INDIRECT(Q8))</f>
        <v>3.61</v>
      </c>
      <c r="G8" s="369">
        <f t="array" aca="1" ref="G8" ca="1">IF(R8=0,VLOOKUP(E8,DATA!$P:$T,5,FALSE),INDIRECT(S8))</f>
        <v>19.236386574116807</v>
      </c>
      <c r="H8" s="370">
        <f ca="1">G8/VLOOKUP(E8,DATA!$V:$W,2,FALSE)</f>
        <v>0.64121288580389357</v>
      </c>
      <c r="I8" s="365">
        <f ca="1">C8+F8</f>
        <v>4.922187668473172</v>
      </c>
      <c r="J8" s="371">
        <f ca="1">G8+C8</f>
        <v>20.548574242589979</v>
      </c>
      <c r="K8" s="370">
        <f ca="1">J8/VLOOKUP(E8,DATA!$V:$W,2,FALSE)</f>
        <v>0.68495247475299925</v>
      </c>
      <c r="L8" s="372" t="s">
        <v>153</v>
      </c>
      <c r="M8" s="373"/>
      <c r="N8" s="374">
        <v>8</v>
      </c>
      <c r="O8" s="375" t="s">
        <v>65</v>
      </c>
      <c r="P8" s="127">
        <f>VLOOKUP(N8,排序!C:I,7,0)</f>
        <v>0</v>
      </c>
      <c r="Q8" s="128" t="str">
        <f t="shared" si="0"/>
        <v/>
      </c>
      <c r="R8" s="127">
        <f>VLOOKUP(N8,排序!C:Q,14,0)</f>
        <v>2</v>
      </c>
      <c r="S8" s="128" t="str">
        <f t="shared" si="1"/>
        <v>J20</v>
      </c>
      <c r="T8" s="5"/>
      <c r="U8" s="5" t="str">
        <f t="shared" si="2"/>
        <v>9G36</v>
      </c>
      <c r="V8" s="5" t="str">
        <f t="shared" si="3"/>
        <v>9G36-0</v>
      </c>
      <c r="W8" s="5" t="str">
        <f t="shared" si="4"/>
        <v>9G#2DTR(B)</v>
      </c>
      <c r="X8" s="5" t="str">
        <f t="shared" si="5"/>
        <v>9G#2DTR(B)-2</v>
      </c>
    </row>
    <row r="9" spans="1:24" ht="50.1" customHeight="1" x14ac:dyDescent="0.25">
      <c r="A9" s="227"/>
      <c r="B9" s="392" t="s">
        <v>28</v>
      </c>
      <c r="C9" s="216">
        <f ca="1">IF(B9="","",VLOOKUP(B9,DATA!$P:$T,5,FALSE))*3923.8/(7060+3923.8)</f>
        <v>0</v>
      </c>
      <c r="D9" s="217" t="s">
        <v>44</v>
      </c>
      <c r="E9" s="218" t="str">
        <f>IF(D9="","",VLOOKUP(D9,DATA!$P:$V,7,FALSE))</f>
        <v>9G#2DTR(B)</v>
      </c>
      <c r="F9" s="219">
        <f t="array" aca="1" ref="F9" ca="1">IF(P9=0,VLOOKUP(D9,DATA!$P:$T,5,FALSE),INDIRECT(Q9))-C8</f>
        <v>2.6778123315268281</v>
      </c>
      <c r="G9" s="220">
        <f t="array" aca="1" ref="G9" ca="1">IF(R9=0,VLOOKUP(E9,DATA!$P:$T,5,FALSE),INDIRECT(S9))-C8</f>
        <v>19.236386574116807</v>
      </c>
      <c r="H9" s="221">
        <f ca="1">G9/VLOOKUP(E9,DATA!$V:$W,2,FALSE)</f>
        <v>0.64121288580389357</v>
      </c>
      <c r="I9" s="216">
        <f t="shared" ca="1" si="6"/>
        <v>2.6778123315268281</v>
      </c>
      <c r="J9" s="222">
        <f ca="1">G9+C9</f>
        <v>19.236386574116807</v>
      </c>
      <c r="K9" s="221">
        <f ca="1">J9/VLOOKUP(E9,DATA!$V:$W,2,FALSE)</f>
        <v>0.64121288580389357</v>
      </c>
      <c r="L9" s="223" t="s">
        <v>122</v>
      </c>
      <c r="M9" s="224"/>
      <c r="N9" s="225">
        <v>9</v>
      </c>
      <c r="O9" s="226" t="s">
        <v>65</v>
      </c>
      <c r="P9" s="127">
        <f>VLOOKUP(N9,排序!C:I,7,0)</f>
        <v>0</v>
      </c>
      <c r="Q9" s="128" t="str">
        <f t="shared" si="0"/>
        <v/>
      </c>
      <c r="R9" s="127">
        <f>VLOOKUP(N9,排序!C:Q,14,0)</f>
        <v>3</v>
      </c>
      <c r="S9" s="128" t="str">
        <f t="shared" si="1"/>
        <v>J8</v>
      </c>
      <c r="T9" s="5"/>
      <c r="U9" s="5" t="str">
        <f t="shared" si="2"/>
        <v>9G37</v>
      </c>
      <c r="V9" s="5" t="str">
        <f t="shared" si="3"/>
        <v>9G37-0</v>
      </c>
      <c r="W9" s="5" t="str">
        <f t="shared" si="4"/>
        <v>9G#2DTR(B)</v>
      </c>
      <c r="X9" s="5" t="str">
        <f t="shared" si="5"/>
        <v>9G#2DTR(B)-3</v>
      </c>
    </row>
    <row r="10" spans="1:24" ht="50.1" customHeight="1" x14ac:dyDescent="0.25">
      <c r="A10" s="227"/>
      <c r="B10" s="393"/>
      <c r="C10" s="228">
        <f ca="1">IF(B9="","",VLOOKUP(B9,DATA!$P:$T,5,FALSE))-C9</f>
        <v>0</v>
      </c>
      <c r="D10" s="229" t="s">
        <v>99</v>
      </c>
      <c r="E10" s="230" t="str">
        <f>IF(D10="","",VLOOKUP(D10,DATA!$P:$V,7,FALSE))</f>
        <v>9I#2DTR(A)</v>
      </c>
      <c r="F10" s="231">
        <f t="array" aca="1" ref="F10" ca="1">IF(P10=0,VLOOKUP(D10,DATA!$P:$T,5,FALSE),INDIRECT(Q10))</f>
        <v>2.61</v>
      </c>
      <c r="G10" s="232">
        <f t="array" aca="1" ref="G10" ca="1">IF(R10=0,VLOOKUP(E10,DATA!$P:$T,5,FALSE),INDIRECT(S10))</f>
        <v>14.04</v>
      </c>
      <c r="H10" s="233">
        <f ca="1">G10/VLOOKUP(E10,DATA!$V:$W,2,FALSE)</f>
        <v>0.46799999999999997</v>
      </c>
      <c r="I10" s="228">
        <f t="shared" ca="1" si="6"/>
        <v>2.61</v>
      </c>
      <c r="J10" s="234">
        <f t="shared" ca="1" si="7"/>
        <v>14.04</v>
      </c>
      <c r="K10" s="233">
        <f ca="1">J10/VLOOKUP(E10,DATA!$V:$W,2,FALSE)</f>
        <v>0.46799999999999997</v>
      </c>
      <c r="L10" s="235" t="s">
        <v>156</v>
      </c>
      <c r="M10" s="236" t="s">
        <v>143</v>
      </c>
      <c r="N10" s="237">
        <v>10</v>
      </c>
      <c r="O10" s="230" t="s">
        <v>65</v>
      </c>
      <c r="P10" s="127">
        <f>VLOOKUP(N10,排序!C:I,7,0)</f>
        <v>0</v>
      </c>
      <c r="Q10" s="128" t="str">
        <f t="shared" si="0"/>
        <v/>
      </c>
      <c r="R10" s="127">
        <f>VLOOKUP(N10,排序!C:Q,14,0)</f>
        <v>0</v>
      </c>
      <c r="S10" s="128" t="str">
        <f t="shared" si="1"/>
        <v/>
      </c>
      <c r="T10" s="5"/>
      <c r="U10" s="5" t="str">
        <f t="shared" si="2"/>
        <v>9I26</v>
      </c>
      <c r="V10" s="5" t="str">
        <f t="shared" si="3"/>
        <v>9I26-0</v>
      </c>
      <c r="W10" s="5" t="str">
        <f t="shared" si="4"/>
        <v>9I#2DTR(A)</v>
      </c>
      <c r="X10" s="5" t="str">
        <f t="shared" si="5"/>
        <v>9I#2DTR(A)-0</v>
      </c>
    </row>
    <row r="11" spans="1:24" ht="45" customHeight="1" x14ac:dyDescent="0.25">
      <c r="A11" s="211"/>
      <c r="B11" s="238" t="s">
        <v>94</v>
      </c>
      <c r="C11" s="239">
        <f ca="1">IF(B11="","",VLOOKUP(B11,DATA!$P:$T,5,FALSE))</f>
        <v>5.0199999999999996</v>
      </c>
      <c r="D11" s="240" t="s">
        <v>93</v>
      </c>
      <c r="E11" s="241" t="str">
        <f>IF(D11="","",VLOOKUP(D11,DATA!$P:$V,7,FALSE))</f>
        <v>9G#1DTR(A)</v>
      </c>
      <c r="F11" s="242" t="e">
        <f t="array" aca="1" ref="F11" ca="1">IF(P11=0,VLOOKUP(D11,DATA!$P:$T,5,FALSE),INDIRECT(Q11))</f>
        <v>#N/A</v>
      </c>
      <c r="G11" s="243" t="e">
        <f t="array" aca="1" ref="G11" ca="1">IF(R11=0,VLOOKUP(E11,DATA!$P:$T,5,FALSE),INDIRECT(S11))</f>
        <v>#N/A</v>
      </c>
      <c r="H11" s="244" t="e">
        <f ca="1">G11/VLOOKUP(E11,DATA!$V:$W,2,FALSE)</f>
        <v>#N/A</v>
      </c>
      <c r="I11" s="239" t="e">
        <f t="shared" ca="1" si="6"/>
        <v>#N/A</v>
      </c>
      <c r="J11" s="245" t="e">
        <f t="shared" ca="1" si="7"/>
        <v>#N/A</v>
      </c>
      <c r="K11" s="244" t="e">
        <f ca="1">J11/VLOOKUP(E11,DATA!$V:$W,2,FALSE)</f>
        <v>#N/A</v>
      </c>
      <c r="L11" s="246" t="s">
        <v>79</v>
      </c>
      <c r="M11" s="247"/>
      <c r="N11" s="248">
        <v>0</v>
      </c>
      <c r="O11" s="249" t="s">
        <v>65</v>
      </c>
      <c r="P11" s="127" t="e">
        <f>VLOOKUP(N11,排序!C:I,7,0)</f>
        <v>#N/A</v>
      </c>
      <c r="Q11" s="128" t="str">
        <f t="shared" si="0"/>
        <v/>
      </c>
      <c r="R11" s="127" t="e">
        <f>VLOOKUP(N11,排序!C:Q,14,0)</f>
        <v>#N/A</v>
      </c>
      <c r="S11" s="128" t="str">
        <f t="shared" si="1"/>
        <v/>
      </c>
      <c r="T11" s="5"/>
      <c r="U11" s="5" t="str">
        <f t="shared" si="2"/>
        <v>9G24</v>
      </c>
      <c r="V11" s="5" t="e">
        <f t="shared" si="3"/>
        <v>#N/A</v>
      </c>
      <c r="W11" s="5" t="str">
        <f t="shared" si="4"/>
        <v>9G#1DTR(A)</v>
      </c>
      <c r="X11" s="5" t="e">
        <f t="shared" si="5"/>
        <v>#N/A</v>
      </c>
    </row>
    <row r="12" spans="1:24" ht="50.1" customHeight="1" x14ac:dyDescent="0.25">
      <c r="A12" s="211"/>
      <c r="B12" s="212" t="s">
        <v>29</v>
      </c>
      <c r="C12" s="195">
        <f ca="1">IF(B12="","",VLOOKUP(B12,DATA!$P:$T,5,FALSE))</f>
        <v>0</v>
      </c>
      <c r="D12" s="190" t="s">
        <v>82</v>
      </c>
      <c r="E12" s="191" t="str">
        <f>IF(D12="","",VLOOKUP(D12,DATA!$P:$V,7,FALSE))</f>
        <v>9I#1DTR(A)</v>
      </c>
      <c r="F12" s="192">
        <f t="array" aca="1" ref="F12" ca="1">IF(P12=0,VLOOKUP(D12,DATA!$P:$T,5,FALSE),INDIRECT(Q12))</f>
        <v>4.54</v>
      </c>
      <c r="G12" s="193">
        <f t="array" aca="1" ref="G12" ca="1">IF(R12=0,VLOOKUP(E12,DATA!$P:$T,5,FALSE),INDIRECT(S12))</f>
        <v>20.85</v>
      </c>
      <c r="H12" s="194">
        <f ca="1">G12/VLOOKUP(E12,DATA!$V:$W,2,FALSE)</f>
        <v>0.69500000000000006</v>
      </c>
      <c r="I12" s="195">
        <f t="shared" ca="1" si="6"/>
        <v>4.54</v>
      </c>
      <c r="J12" s="196">
        <f t="shared" ca="1" si="7"/>
        <v>20.85</v>
      </c>
      <c r="K12" s="194">
        <f ca="1">J12/VLOOKUP(E12,DATA!$V:$W,2,FALSE)</f>
        <v>0.69500000000000006</v>
      </c>
      <c r="L12" s="213" t="s">
        <v>157</v>
      </c>
      <c r="M12" s="214" t="s">
        <v>84</v>
      </c>
      <c r="N12" s="198">
        <v>12</v>
      </c>
      <c r="O12" s="199" t="s">
        <v>65</v>
      </c>
      <c r="P12" s="127">
        <f>VLOOKUP(N12,排序!C:I,7,0)</f>
        <v>0</v>
      </c>
      <c r="Q12" s="128" t="str">
        <f t="shared" si="0"/>
        <v/>
      </c>
      <c r="R12" s="127">
        <f>VLOOKUP(N12,排序!C:Q,14,0)</f>
        <v>1</v>
      </c>
      <c r="S12" s="128" t="str">
        <f t="shared" si="1"/>
        <v>J18</v>
      </c>
      <c r="T12" s="5"/>
      <c r="U12" s="5" t="str">
        <f t="shared" si="2"/>
        <v>9I22</v>
      </c>
      <c r="V12" s="5" t="str">
        <f t="shared" si="3"/>
        <v>9I22-0</v>
      </c>
      <c r="W12" s="5" t="str">
        <f t="shared" si="4"/>
        <v>9I#1DTR(A)</v>
      </c>
      <c r="X12" s="5" t="str">
        <f t="shared" si="5"/>
        <v>9I#1DTR(A)-1</v>
      </c>
    </row>
    <row r="13" spans="1:24" ht="50.1" customHeight="1" x14ac:dyDescent="0.25">
      <c r="A13" s="250" t="str">
        <f>IF(B9="","",VLOOKUP(B9,DATA!$P:$V,7,FALSE))</f>
        <v>IB#1MTR</v>
      </c>
      <c r="B13" s="251" t="s">
        <v>30</v>
      </c>
      <c r="C13" s="228">
        <f ca="1">IF(B13="","",VLOOKUP(B13,DATA!$P:$T,5,FALSE))</f>
        <v>0</v>
      </c>
      <c r="D13" s="229" t="s">
        <v>70</v>
      </c>
      <c r="E13" s="230" t="str">
        <f>IF(D13="","",VLOOKUP(D13,DATA!$P:$V,7,FALSE))</f>
        <v>IO#1DTR(B)</v>
      </c>
      <c r="F13" s="231">
        <f t="array" aca="1" ref="F13" ca="1">IF(P13=0,VLOOKUP(D13,DATA!$P:$T,5,FALSE),INDIRECT(Q13))</f>
        <v>4.9800000000000004</v>
      </c>
      <c r="G13" s="232">
        <f t="array" aca="1" ref="G13" ca="1">IF(R13=0,VLOOKUP(E13,DATA!$P:$T,5,FALSE),INDIRECT(S13))</f>
        <v>22.69</v>
      </c>
      <c r="H13" s="233">
        <f ca="1">G13/VLOOKUP(E13,DATA!$V:$W,2,FALSE)</f>
        <v>0.75633333333333341</v>
      </c>
      <c r="I13" s="228">
        <f t="shared" ca="1" si="6"/>
        <v>4.9800000000000004</v>
      </c>
      <c r="J13" s="234">
        <f t="shared" ca="1" si="7"/>
        <v>22.69</v>
      </c>
      <c r="K13" s="233">
        <f ca="1">J13/VLOOKUP(E13,DATA!$V:$W,2,FALSE)</f>
        <v>0.75633333333333341</v>
      </c>
      <c r="L13" s="235" t="s">
        <v>158</v>
      </c>
      <c r="M13" s="236"/>
      <c r="N13" s="237">
        <v>11</v>
      </c>
      <c r="O13" s="252" t="s">
        <v>65</v>
      </c>
      <c r="P13" s="127">
        <f>VLOOKUP(N13,排序!C:I,7,0)</f>
        <v>0</v>
      </c>
      <c r="Q13" s="128" t="str">
        <f t="shared" si="0"/>
        <v/>
      </c>
      <c r="R13" s="127">
        <f>VLOOKUP(N13,排序!C:Q,14,0)</f>
        <v>0</v>
      </c>
      <c r="S13" s="128" t="str">
        <f t="shared" si="1"/>
        <v/>
      </c>
      <c r="T13" s="5"/>
      <c r="U13" s="5" t="str">
        <f t="shared" si="2"/>
        <v>IO26</v>
      </c>
      <c r="V13" s="5" t="str">
        <f t="shared" si="3"/>
        <v>IO26-0</v>
      </c>
      <c r="W13" s="5" t="str">
        <f t="shared" si="4"/>
        <v>IO#1DTR(B)</v>
      </c>
      <c r="X13" s="5" t="str">
        <f t="shared" si="5"/>
        <v>IO#1DTR(B)-0</v>
      </c>
    </row>
    <row r="14" spans="1:24" ht="45" customHeight="1" x14ac:dyDescent="0.25">
      <c r="A14" s="253"/>
      <c r="B14" s="238" t="s">
        <v>72</v>
      </c>
      <c r="C14" s="239">
        <f ca="1">IF(B14="","",VLOOKUP(B14,DATA!$P:$T,5,FALSE))*12120.8/(9799.6+12120.8)</f>
        <v>3.212616923048849</v>
      </c>
      <c r="D14" s="240" t="s">
        <v>76</v>
      </c>
      <c r="E14" s="241" t="str">
        <f>IF(D14="","",VLOOKUP(D14,DATA!$P:$V,7,FALSE))</f>
        <v>9G#2DTR(A)</v>
      </c>
      <c r="F14" s="242" t="e">
        <f t="array" aca="1" ref="F14" ca="1">IF(P14=0,VLOOKUP(D14,DATA!$P:$T,5,FALSE),INDIRECT(Q14))</f>
        <v>#N/A</v>
      </c>
      <c r="G14" s="243" t="e">
        <f t="array" aca="1" ref="G14" ca="1">IF(R14=0,VLOOKUP(E14,DATA!$P:$T,5,FALSE),INDIRECT(S14))</f>
        <v>#N/A</v>
      </c>
      <c r="H14" s="244" t="e">
        <f ca="1">G14/VLOOKUP(E14,DATA!$V:$W,2,FALSE)</f>
        <v>#N/A</v>
      </c>
      <c r="I14" s="239" t="e">
        <f t="shared" ca="1" si="6"/>
        <v>#N/A</v>
      </c>
      <c r="J14" s="245" t="e">
        <f t="shared" ca="1" si="7"/>
        <v>#N/A</v>
      </c>
      <c r="K14" s="244" t="e">
        <f ca="1">J14/VLOOKUP(E14,DATA!$V:$W,2,FALSE)</f>
        <v>#N/A</v>
      </c>
      <c r="L14" s="246" t="s">
        <v>91</v>
      </c>
      <c r="M14" s="247" t="s">
        <v>81</v>
      </c>
      <c r="N14" s="248"/>
      <c r="O14" s="249" t="s">
        <v>65</v>
      </c>
      <c r="P14" s="127" t="e">
        <f>VLOOKUP(N14,排序!C:I,7,0)</f>
        <v>#N/A</v>
      </c>
      <c r="Q14" s="128" t="str">
        <f t="shared" si="0"/>
        <v/>
      </c>
      <c r="R14" s="127" t="e">
        <f>VLOOKUP(N14,排序!C:Q,14,0)</f>
        <v>#N/A</v>
      </c>
      <c r="S14" s="128" t="str">
        <f t="shared" si="1"/>
        <v/>
      </c>
      <c r="T14" s="5"/>
      <c r="U14" s="5" t="str">
        <f t="shared" si="2"/>
        <v>9G33</v>
      </c>
      <c r="V14" s="5" t="e">
        <f t="shared" si="3"/>
        <v>#N/A</v>
      </c>
      <c r="W14" s="5" t="str">
        <f t="shared" si="4"/>
        <v>9G#2DTR(A)</v>
      </c>
      <c r="X14" s="5" t="e">
        <f t="shared" si="5"/>
        <v>#N/A</v>
      </c>
    </row>
    <row r="15" spans="1:24" ht="50.1" customHeight="1" x14ac:dyDescent="0.25">
      <c r="A15" s="254" t="str">
        <f ca="1">IF(A13="","",VLOOKUP(A13,DATA!$P:$T,5,FALSE)&amp;"MW")</f>
        <v>0MW</v>
      </c>
      <c r="B15" s="388" t="s">
        <v>31</v>
      </c>
      <c r="C15" s="195">
        <f ca="1">IF(B15="","",VLOOKUP(B15,DATA!$P:$T,5,FALSE))*4460.8/(12608.4+4460.8)</f>
        <v>0</v>
      </c>
      <c r="D15" s="355" t="s">
        <v>72</v>
      </c>
      <c r="E15" s="191" t="str">
        <f>IF(D15="","",VLOOKUP(D15,DATA!$P:$V,7,FALSE))</f>
        <v>9G#2DTR(B)</v>
      </c>
      <c r="F15" s="358">
        <f t="array" aca="1" ref="F15" ca="1">IF(P15=0,VLOOKUP(D15,DATA!$P:$T,5,FALSE),INDIRECT(Q15))</f>
        <v>5.81</v>
      </c>
      <c r="G15" s="193">
        <f t="array" aca="1" ref="G15" ca="1">IF(R15=0,VLOOKUP(E15,DATA!$P:$T,5,FALSE),INDIRECT(S15))</f>
        <v>21.46</v>
      </c>
      <c r="H15" s="194">
        <f ca="1">G15/VLOOKUP(E15,DATA!$V:$W,2,FALSE)</f>
        <v>0.71533333333333338</v>
      </c>
      <c r="I15" s="358">
        <f t="shared" ca="1" si="6"/>
        <v>5.81</v>
      </c>
      <c r="J15" s="196">
        <f t="shared" ca="1" si="7"/>
        <v>21.46</v>
      </c>
      <c r="K15" s="194">
        <f ca="1">J15/VLOOKUP(E15,DATA!$V:$W,2,FALSE)</f>
        <v>0.71533333333333338</v>
      </c>
      <c r="L15" s="197" t="s">
        <v>101</v>
      </c>
      <c r="M15" s="255"/>
      <c r="N15" s="256">
        <v>2</v>
      </c>
      <c r="O15" s="199" t="s">
        <v>65</v>
      </c>
      <c r="P15" s="127">
        <f>VLOOKUP(N15,排序!C:I,7,0)</f>
        <v>0</v>
      </c>
      <c r="Q15" s="128" t="str">
        <f t="shared" si="0"/>
        <v/>
      </c>
      <c r="R15" s="127">
        <f>VLOOKUP(N15,排序!C:Q,14,0)</f>
        <v>0</v>
      </c>
      <c r="S15" s="128"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4" t="str">
        <f>IF(B9="","",VLOOKUP(B9,DATA!$P:$X,9,FALSE)&amp;"kV")</f>
        <v>11.4kV</v>
      </c>
      <c r="B16" s="389"/>
      <c r="C16" s="195">
        <f ca="1">IF(B15="","",VLOOKUP(B15,DATA!$P:$T,5,FALSE))*10984/(6085.2+10984)-C15</f>
        <v>0</v>
      </c>
      <c r="D16" s="359" t="s">
        <v>74</v>
      </c>
      <c r="E16" s="190" t="str">
        <f>IF(D16="","",VLOOKUP(D16,DATA!$P:$V,7,FALSE))</f>
        <v>9G#2DTR(B)</v>
      </c>
      <c r="F16" s="358">
        <f t="array" aca="1" ref="F16" ca="1">IF(P16=0,VLOOKUP(D16,DATA!$P:$T,5,FALSE),INDIRECT(Q16))</f>
        <v>6.12</v>
      </c>
      <c r="G16" s="193">
        <f t="array" aca="1" ref="G16" ca="1">IF(R16=0,VLOOKUP(E16,DATA!$P:$T,5,FALSE),INDIRECT(S16))</f>
        <v>21.46</v>
      </c>
      <c r="H16" s="194">
        <f ca="1">G16/VLOOKUP(E16,DATA!$V:$W,2,FALSE)</f>
        <v>0.71533333333333338</v>
      </c>
      <c r="I16" s="358">
        <f t="shared" ca="1" si="6"/>
        <v>6.12</v>
      </c>
      <c r="J16" s="196">
        <f t="shared" ca="1" si="7"/>
        <v>21.46</v>
      </c>
      <c r="K16" s="194">
        <f ca="1">J16/VLOOKUP(E16,DATA!$V:$W,2,FALSE)</f>
        <v>0.71533333333333338</v>
      </c>
      <c r="L16" s="213" t="s">
        <v>102</v>
      </c>
      <c r="M16" s="257"/>
      <c r="N16" s="258">
        <v>3</v>
      </c>
      <c r="O16" s="190" t="s">
        <v>65</v>
      </c>
      <c r="P16" s="127">
        <f>VLOOKUP(N16,排序!C:I,7,0)</f>
        <v>0</v>
      </c>
      <c r="Q16" s="128" t="str">
        <f t="shared" si="0"/>
        <v/>
      </c>
      <c r="R16" s="127">
        <f>VLOOKUP(N16,排序!C:Q,14,0)</f>
        <v>0</v>
      </c>
      <c r="S16" s="128"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59"/>
      <c r="B17" s="390"/>
      <c r="C17" s="260">
        <f ca="1">IF(B15="","",VLOOKUP(B15,DATA!$P:$T,5,FALSE))-C16-C15</f>
        <v>0</v>
      </c>
      <c r="D17" s="261" t="s">
        <v>100</v>
      </c>
      <c r="E17" s="262" t="str">
        <f>IF(D17="","",VLOOKUP(D17,DATA!$P:$V,7,FALSE))</f>
        <v>9I#1DTR(B)</v>
      </c>
      <c r="F17" s="263">
        <f t="array" aca="1" ref="F17" ca="1">IF(P17=0,VLOOKUP(D17,DATA!$P:$T,5,FALSE),INDIRECT(Q17))</f>
        <v>3.83</v>
      </c>
      <c r="G17" s="264">
        <f t="array" aca="1" ref="G17" ca="1">IF(R17=0,VLOOKUP(E17,DATA!$P:$T,5,FALSE),INDIRECT(S17))</f>
        <v>12.74</v>
      </c>
      <c r="H17" s="265">
        <f ca="1">G17/VLOOKUP(E17,DATA!$V:$W,2,FALSE)</f>
        <v>0.42466666666666669</v>
      </c>
      <c r="I17" s="260">
        <f t="shared" ca="1" si="6"/>
        <v>3.83</v>
      </c>
      <c r="J17" s="266">
        <f t="shared" ca="1" si="7"/>
        <v>12.74</v>
      </c>
      <c r="K17" s="265">
        <f ca="1">J17/VLOOKUP(E17,DATA!$V:$W,2,FALSE)</f>
        <v>0.42466666666666669</v>
      </c>
      <c r="L17" s="267" t="s">
        <v>103</v>
      </c>
      <c r="M17" s="268"/>
      <c r="N17" s="269">
        <v>4</v>
      </c>
      <c r="O17" s="270" t="s">
        <v>65</v>
      </c>
      <c r="P17" s="127">
        <f>VLOOKUP(N17,排序!C:I,7,0)</f>
        <v>0</v>
      </c>
      <c r="Q17" s="128" t="str">
        <f t="shared" si="0"/>
        <v/>
      </c>
      <c r="R17" s="127">
        <f>VLOOKUP(N17,排序!C:Q,14,0)</f>
        <v>0</v>
      </c>
      <c r="S17" s="128" t="str">
        <f t="shared" si="1"/>
        <v/>
      </c>
      <c r="T17" s="5"/>
      <c r="U17" s="5" t="str">
        <f t="shared" si="8"/>
        <v>9I38</v>
      </c>
      <c r="V17" s="5" t="str">
        <f t="shared" si="9"/>
        <v>9I38-0</v>
      </c>
      <c r="W17" s="5" t="str">
        <f t="shared" si="10"/>
        <v>9I#1DTR(B)</v>
      </c>
      <c r="X17" s="5" t="str">
        <f t="shared" si="11"/>
        <v>9I#1DTR(B)-0</v>
      </c>
    </row>
    <row r="18" spans="1:24" ht="50.1" customHeight="1" x14ac:dyDescent="0.25">
      <c r="A18" s="271"/>
      <c r="B18" s="391" t="s">
        <v>33</v>
      </c>
      <c r="C18" s="228">
        <f ca="1">IF(B18="","",VLOOKUP(B18,DATA!$P:$T,5,FALSE))*5596/(4588.8+5596)</f>
        <v>0</v>
      </c>
      <c r="D18" s="356" t="s">
        <v>75</v>
      </c>
      <c r="E18" s="230" t="str">
        <f>IF(D18="","",VLOOKUP(D18,DATA!$P:$V,7,FALSE))</f>
        <v>9I#1DTR(A)</v>
      </c>
      <c r="F18" s="361">
        <f t="array" aca="1" ref="F18" ca="1">IF(P18=0,VLOOKUP(D18,DATA!$P:$T,5,FALSE),INDIRECT(Q18))</f>
        <v>5.75</v>
      </c>
      <c r="G18" s="274">
        <f t="array" aca="1" ref="G18" ca="1">IF(R18=0,VLOOKUP(E18,DATA!$P:$T,5,FALSE),INDIRECT(S18))</f>
        <v>20.85</v>
      </c>
      <c r="H18" s="233">
        <f ca="1">G18/VLOOKUP(E18,DATA!$V:$W,2,FALSE)</f>
        <v>0.69500000000000006</v>
      </c>
      <c r="I18" s="361">
        <f t="shared" ca="1" si="6"/>
        <v>5.75</v>
      </c>
      <c r="J18" s="234">
        <f t="shared" ca="1" si="7"/>
        <v>20.85</v>
      </c>
      <c r="K18" s="233">
        <f ca="1">J18/VLOOKUP(E18,DATA!$V:$W,2,FALSE)</f>
        <v>0.69500000000000006</v>
      </c>
      <c r="L18" s="235" t="s">
        <v>167</v>
      </c>
      <c r="M18" s="236" t="s">
        <v>166</v>
      </c>
      <c r="N18" s="360">
        <v>5</v>
      </c>
      <c r="O18" s="272" t="s">
        <v>65</v>
      </c>
      <c r="P18" s="127">
        <f>VLOOKUP(N18,排序!C:I,7,0)</f>
        <v>0</v>
      </c>
      <c r="Q18" s="128" t="str">
        <f t="shared" si="0"/>
        <v/>
      </c>
      <c r="R18" s="127">
        <f>VLOOKUP(N18,排序!C:Q,14,0)</f>
        <v>0</v>
      </c>
      <c r="S18" s="128" t="str">
        <f t="shared" si="1"/>
        <v/>
      </c>
      <c r="T18" s="5"/>
      <c r="U18" s="5" t="str">
        <f t="shared" si="8"/>
        <v>9I24</v>
      </c>
      <c r="V18" s="5" t="str">
        <f t="shared" si="9"/>
        <v>9I24-0</v>
      </c>
      <c r="W18" s="5" t="str">
        <f t="shared" si="10"/>
        <v>9I#1DTR(A)</v>
      </c>
      <c r="X18" s="5" t="str">
        <f t="shared" si="11"/>
        <v>9I#1DTR(A)-0</v>
      </c>
    </row>
    <row r="19" spans="1:24" ht="50.1" customHeight="1" x14ac:dyDescent="0.25">
      <c r="A19" s="271"/>
      <c r="B19" s="391"/>
      <c r="C19" s="228">
        <f ca="1">IF(B18="","",VLOOKUP(B18,DATA!$P:$T,5,FALSE))*9444.8/(740+9444.8)-C18</f>
        <v>0</v>
      </c>
      <c r="D19" s="272" t="s">
        <v>104</v>
      </c>
      <c r="E19" s="230" t="str">
        <f>IF(D19="","",VLOOKUP(D19,DATA!$P:$V,7,FALSE))</f>
        <v>9I#2DTR(B)</v>
      </c>
      <c r="F19" s="273">
        <f t="array" aca="1" ref="F19" ca="1">IF(P19=0,VLOOKUP(D19,DATA!$P:$T,5,FALSE),INDIRECT(Q19))</f>
        <v>2.25</v>
      </c>
      <c r="G19" s="274">
        <f t="array" aca="1" ref="G19" ca="1">IF(R19=0,VLOOKUP(E19,DATA!$P:$T,5,FALSE),INDIRECT(S19))</f>
        <v>17.87</v>
      </c>
      <c r="H19" s="233">
        <f ca="1">G19/VLOOKUP(E19,DATA!$V:$W,2,FALSE)</f>
        <v>0.59566666666666668</v>
      </c>
      <c r="I19" s="228">
        <f t="shared" ca="1" si="6"/>
        <v>2.25</v>
      </c>
      <c r="J19" s="234">
        <f t="shared" ca="1" si="7"/>
        <v>17.87</v>
      </c>
      <c r="K19" s="233">
        <f ca="1">J19/VLOOKUP(E19,DATA!$V:$W,2,FALSE)</f>
        <v>0.59566666666666668</v>
      </c>
      <c r="L19" s="235" t="s">
        <v>134</v>
      </c>
      <c r="M19" s="276" t="s">
        <v>105</v>
      </c>
      <c r="N19" s="275">
        <v>6</v>
      </c>
      <c r="O19" s="272" t="s">
        <v>65</v>
      </c>
      <c r="P19" s="127">
        <f>VLOOKUP(N19,排序!C:I,7,0)</f>
        <v>0</v>
      </c>
      <c r="Q19" s="128" t="str">
        <f t="shared" si="0"/>
        <v/>
      </c>
      <c r="R19" s="127">
        <f>VLOOKUP(N19,排序!C:Q,14,0)</f>
        <v>0</v>
      </c>
      <c r="S19" s="128" t="str">
        <f t="shared" si="1"/>
        <v/>
      </c>
      <c r="T19" s="5"/>
      <c r="U19" s="5" t="str">
        <f t="shared" si="8"/>
        <v>9I30</v>
      </c>
      <c r="V19" s="5" t="str">
        <f t="shared" si="9"/>
        <v>9I30-0</v>
      </c>
      <c r="W19" s="5" t="str">
        <f t="shared" si="10"/>
        <v>9I#2DTR(B)</v>
      </c>
      <c r="X19" s="5" t="str">
        <f t="shared" si="11"/>
        <v>9I#2DTR(B)-0</v>
      </c>
    </row>
    <row r="20" spans="1:24" ht="50.1" customHeight="1" x14ac:dyDescent="0.25">
      <c r="A20" s="271"/>
      <c r="B20" s="391"/>
      <c r="C20" s="228">
        <f ca="1">IF(B18="","",VLOOKUP(B18,DATA!$P:$T,5,FALSE))-C19-C18</f>
        <v>0</v>
      </c>
      <c r="D20" s="272" t="s">
        <v>72</v>
      </c>
      <c r="E20" s="230" t="str">
        <f>IF(D20="","",VLOOKUP(D20,DATA!$P:$V,7,FALSE))</f>
        <v>9G#2DTR(B)</v>
      </c>
      <c r="F20" s="273">
        <f t="array" aca="1" ref="F20" ca="1">IF(P20=0,VLOOKUP(D20,DATA!$P:$T,5,FALSE),INDIRECT(Q20))</f>
        <v>6.7990034971656543</v>
      </c>
      <c r="G20" s="274">
        <f t="array" aca="1" ref="G20" ca="1">IF(R20=0,VLOOKUP(E20,DATA!$P:$T,5,FALSE),INDIRECT(S20))</f>
        <v>19.236386574116807</v>
      </c>
      <c r="H20" s="233">
        <f ca="1">G20/VLOOKUP(E20,DATA!$V:$W,2,FALSE)</f>
        <v>0.64121288580389357</v>
      </c>
      <c r="I20" s="228">
        <f t="shared" ca="1" si="6"/>
        <v>6.7990034971656543</v>
      </c>
      <c r="J20" s="234">
        <f t="shared" ca="1" si="7"/>
        <v>19.236386574116807</v>
      </c>
      <c r="K20" s="233">
        <f ca="1">J20/VLOOKUP(E20,DATA!$V:$W,2,FALSE)</f>
        <v>0.64121288580389357</v>
      </c>
      <c r="L20" s="277" t="s">
        <v>73</v>
      </c>
      <c r="M20" s="236" t="s">
        <v>105</v>
      </c>
      <c r="N20" s="275">
        <v>7</v>
      </c>
      <c r="O20" s="272" t="s">
        <v>65</v>
      </c>
      <c r="P20" s="127">
        <f>VLOOKUP(N20,排序!C:I,7,0)</f>
        <v>1</v>
      </c>
      <c r="Q20" s="128" t="str">
        <f t="shared" si="0"/>
        <v>I7</v>
      </c>
      <c r="R20" s="127">
        <f>VLOOKUP(N20,排序!C:Q,14,0)</f>
        <v>1</v>
      </c>
      <c r="S20" s="128" t="str">
        <f t="shared" si="1"/>
        <v>J7</v>
      </c>
      <c r="T20" s="5"/>
      <c r="U20" s="5" t="str">
        <f t="shared" si="8"/>
        <v>9G38</v>
      </c>
      <c r="V20" s="5" t="str">
        <f t="shared" si="9"/>
        <v>9G38-1</v>
      </c>
      <c r="W20" s="5" t="str">
        <f t="shared" si="10"/>
        <v>9G#2DTR(B)</v>
      </c>
      <c r="X20" s="5" t="str">
        <f t="shared" si="11"/>
        <v>9G#2DTR(B)-1</v>
      </c>
    </row>
    <row r="21" spans="1:24" s="170" customFormat="1" ht="50.1" customHeight="1" thickBot="1" x14ac:dyDescent="0.3">
      <c r="A21" s="278"/>
      <c r="B21" s="279" t="s">
        <v>32</v>
      </c>
      <c r="C21" s="280">
        <f ca="1">IF(B21="","",VLOOKUP(B21,DATA!$P:$T,5,FALSE))</f>
        <v>0</v>
      </c>
      <c r="D21" s="281" t="s">
        <v>75</v>
      </c>
      <c r="E21" s="282" t="str">
        <f>IF(D21="","",VLOOKUP(D21,DATA!$P:$V,7,FALSE))</f>
        <v>9I#1DTR(A)</v>
      </c>
      <c r="F21" s="280" t="e">
        <f t="array" aca="1" ref="F21" ca="1">IF(P21=0,VLOOKUP(D21,DATA!$P:$T,5,FALSE),INDIRECT(Q21))</f>
        <v>#N/A</v>
      </c>
      <c r="G21" s="283" t="e">
        <f t="array" aca="1" ref="G21" ca="1">IF(R21=0,VLOOKUP(E21,DATA!$P:$T,5,FALSE),INDIRECT(S21))</f>
        <v>#N/A</v>
      </c>
      <c r="H21" s="284" t="e">
        <f ca="1">G21/VLOOKUP(E21,DATA!$V:$W,2,FALSE)</f>
        <v>#N/A</v>
      </c>
      <c r="I21" s="280" t="e">
        <f ca="1">C21+F21</f>
        <v>#N/A</v>
      </c>
      <c r="J21" s="285" t="e">
        <f ca="1">G21+C21</f>
        <v>#N/A</v>
      </c>
      <c r="K21" s="284" t="e">
        <f ca="1">J21/VLOOKUP(E21,DATA!$V:$W,2,FALSE)</f>
        <v>#N/A</v>
      </c>
      <c r="L21" s="286" t="s">
        <v>83</v>
      </c>
      <c r="M21" s="287"/>
      <c r="N21" s="288" t="s">
        <v>77</v>
      </c>
      <c r="O21" s="289" t="s">
        <v>65</v>
      </c>
      <c r="P21" s="169" t="e">
        <f>VLOOKUP(N21,排序!C:I,7,0)</f>
        <v>#N/A</v>
      </c>
      <c r="Q21" s="128" t="str">
        <f t="shared" si="0"/>
        <v/>
      </c>
      <c r="R21" s="169" t="e">
        <f>VLOOKUP(N21,排序!C:Q,14,0)</f>
        <v>#N/A</v>
      </c>
      <c r="S21" s="128" t="str">
        <f t="shared" si="1"/>
        <v/>
      </c>
      <c r="U21" s="170" t="str">
        <f t="shared" si="8"/>
        <v>9I24</v>
      </c>
      <c r="V21" s="170" t="e">
        <f t="shared" si="9"/>
        <v>#N/A</v>
      </c>
      <c r="W21" s="170" t="str">
        <f t="shared" si="10"/>
        <v>9I#1DTR(A)</v>
      </c>
      <c r="X21" s="170" t="e">
        <f t="shared" si="11"/>
        <v>#N/A</v>
      </c>
    </row>
    <row r="22" spans="1:24" ht="50.1" customHeight="1" x14ac:dyDescent="0.25">
      <c r="A22" s="290"/>
      <c r="B22" s="291" t="s">
        <v>32</v>
      </c>
      <c r="C22" s="292">
        <f ca="1">IF(B22="","",VLOOKUP(B22,DATA!$P:$T,5,FALSE))</f>
        <v>0</v>
      </c>
      <c r="D22" s="293" t="s">
        <v>75</v>
      </c>
      <c r="E22" s="294" t="str">
        <f>IF(D22="","",VLOOKUP(D22,DATA!$P:$V,7,FALSE))</f>
        <v>9I#1DTR(A)</v>
      </c>
      <c r="F22" s="362">
        <f t="array" aca="1" ref="F22" ca="1">IF(P22=0,VLOOKUP(D22,DATA!$P:$T,5,FALSE),INDIRECT(Q22))</f>
        <v>5.75</v>
      </c>
      <c r="G22" s="295">
        <f t="array" aca="1" ref="G22" ca="1">IF(R22=0,VLOOKUP(E22,DATA!$P:$T,5,FALSE),INDIRECT(S22))</f>
        <v>20.85</v>
      </c>
      <c r="H22" s="296">
        <f ca="1">G22/VLOOKUP(E22,DATA!$V:$W,2,FALSE)</f>
        <v>0.69500000000000006</v>
      </c>
      <c r="I22" s="362">
        <f t="shared" ca="1" si="6"/>
        <v>5.75</v>
      </c>
      <c r="J22" s="297">
        <f t="shared" ca="1" si="7"/>
        <v>20.85</v>
      </c>
      <c r="K22" s="296">
        <f ca="1">J22/VLOOKUP(E22,DATA!$V:$W,2,FALSE)</f>
        <v>0.69500000000000006</v>
      </c>
      <c r="L22" s="298" t="s">
        <v>168</v>
      </c>
      <c r="M22" s="299"/>
      <c r="N22" s="300">
        <v>13</v>
      </c>
      <c r="O22" s="301" t="s">
        <v>65</v>
      </c>
      <c r="P22" s="127">
        <f>VLOOKUP(N22,排序!C:I,7,0)</f>
        <v>1</v>
      </c>
      <c r="Q22" s="128" t="str">
        <f t="shared" si="0"/>
        <v>I18</v>
      </c>
      <c r="R22" s="127">
        <f>VLOOKUP(N22,排序!C:Q,14,0)</f>
        <v>2</v>
      </c>
      <c r="S22" s="128"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2"/>
      <c r="B23" s="416" t="s">
        <v>34</v>
      </c>
      <c r="C23" s="228">
        <f ca="1">IF(B23="","",VLOOKUP(B23,DATA!$P:$T,5,FALSE))*4875.2/(6015.2+4875.2)</f>
        <v>0</v>
      </c>
      <c r="D23" s="272" t="s">
        <v>145</v>
      </c>
      <c r="E23" s="230" t="str">
        <f>IF(D23="","",VLOOKUP(D23,DATA!$P:$V,7,FALSE))</f>
        <v>9H#3DTR(A)</v>
      </c>
      <c r="F23" s="231">
        <f t="array" aca="1" ref="F23" ca="1">IF(P23=0,VLOOKUP(D23,DATA!$P:$T,5,FALSE),INDIRECT(Q23))</f>
        <v>5.77</v>
      </c>
      <c r="G23" s="232">
        <f t="array" aca="1" ref="G23" ca="1">IF(R23=0,VLOOKUP(E23,DATA!$P:$T,5,FALSE),INDIRECT(S23))-C41</f>
        <v>12.67</v>
      </c>
      <c r="H23" s="233">
        <f ca="1">G23/VLOOKUP(E23,DATA!$V:$W,2,FALSE)</f>
        <v>0.42233333333333334</v>
      </c>
      <c r="I23" s="303">
        <f ca="1">C23+F23</f>
        <v>5.77</v>
      </c>
      <c r="J23" s="234">
        <f t="shared" ca="1" si="7"/>
        <v>12.67</v>
      </c>
      <c r="K23" s="233">
        <f ca="1">J23/VLOOKUP(E23,DATA!$V:$W,2,FALSE)</f>
        <v>0.42233333333333334</v>
      </c>
      <c r="L23" s="235" t="s">
        <v>154</v>
      </c>
      <c r="M23" s="304" t="s">
        <v>108</v>
      </c>
      <c r="N23" s="237">
        <v>14</v>
      </c>
      <c r="O23" s="252" t="s">
        <v>65</v>
      </c>
      <c r="P23" s="127">
        <f>VLOOKUP(N23,排序!C:I,7,0)</f>
        <v>0</v>
      </c>
      <c r="Q23" s="128" t="str">
        <f t="shared" si="0"/>
        <v/>
      </c>
      <c r="R23" s="127">
        <f>VLOOKUP(N23,排序!C:Q,14,0)</f>
        <v>0</v>
      </c>
      <c r="S23" s="128" t="str">
        <f t="shared" si="1"/>
        <v/>
      </c>
      <c r="T23" s="5"/>
      <c r="U23" s="5" t="str">
        <f t="shared" si="12"/>
        <v>9H33</v>
      </c>
      <c r="V23" s="5" t="str">
        <f t="shared" si="13"/>
        <v>9H33-0</v>
      </c>
      <c r="W23" s="5" t="str">
        <f t="shared" si="14"/>
        <v>9H#3DTR(A)</v>
      </c>
      <c r="X23" s="5" t="str">
        <f t="shared" si="15"/>
        <v>9H#3DTR(A)-0</v>
      </c>
    </row>
    <row r="24" spans="1:24" ht="50.1" customHeight="1" x14ac:dyDescent="0.25">
      <c r="A24" s="250" t="str">
        <f>IF(B22="","",VLOOKUP(B22,DATA!$P:$V,7,FALSE))</f>
        <v>IB#2MTR</v>
      </c>
      <c r="B24" s="417"/>
      <c r="C24" s="228">
        <f ca="1">IF(B23="","",VLOOKUP(B23,DATA!$P:$T,5,FALSE))-C23</f>
        <v>0</v>
      </c>
      <c r="D24" s="272" t="s">
        <v>106</v>
      </c>
      <c r="E24" s="230" t="str">
        <f>IF(D24="","",VLOOKUP(D24,DATA!$P:$V,7,FALSE))</f>
        <v>9H#2DTR(A)</v>
      </c>
      <c r="F24" s="231">
        <f t="array" aca="1" ref="F24" ca="1">IF(P24=0,VLOOKUP(D24,DATA!$P:$T,5,FALSE),INDIRECT(Q24))</f>
        <v>3.49</v>
      </c>
      <c r="G24" s="232">
        <f t="array" aca="1" ref="G24" ca="1">IF(R24=0,VLOOKUP(E24,DATA!$P:$T,5,FALSE),INDIRECT(S24))-C43</f>
        <v>14.99</v>
      </c>
      <c r="H24" s="233">
        <f ca="1">G24/VLOOKUP(E24,DATA!$V:$W,2,FALSE)</f>
        <v>0.49966666666666665</v>
      </c>
      <c r="I24" s="303">
        <f ca="1">C24+F24</f>
        <v>3.49</v>
      </c>
      <c r="J24" s="234">
        <f ca="1">G24+C24</f>
        <v>14.99</v>
      </c>
      <c r="K24" s="233">
        <f ca="1">J24/VLOOKUP(E24,DATA!$V:$W,2,FALSE)</f>
        <v>0.49966666666666665</v>
      </c>
      <c r="L24" s="277" t="s">
        <v>155</v>
      </c>
      <c r="M24" s="304" t="s">
        <v>108</v>
      </c>
      <c r="N24" s="237">
        <v>15</v>
      </c>
      <c r="O24" s="252" t="s">
        <v>65</v>
      </c>
      <c r="P24" s="127">
        <f>VLOOKUP(N24,排序!C:I,7,0)</f>
        <v>0</v>
      </c>
      <c r="Q24" s="128" t="str">
        <f t="shared" si="0"/>
        <v/>
      </c>
      <c r="R24" s="127">
        <f>VLOOKUP(N24,排序!C:Q,14,0)</f>
        <v>0</v>
      </c>
      <c r="S24" s="128" t="str">
        <f t="shared" si="1"/>
        <v/>
      </c>
      <c r="T24" s="5"/>
      <c r="U24" s="5" t="str">
        <f t="shared" si="12"/>
        <v>9H23</v>
      </c>
      <c r="V24" s="5" t="str">
        <f t="shared" si="13"/>
        <v>9H23-0</v>
      </c>
      <c r="W24" s="5" t="str">
        <f t="shared" si="14"/>
        <v>9H#2DTR(A)</v>
      </c>
      <c r="X24" s="5" t="str">
        <f t="shared" si="15"/>
        <v>9H#2DTR(A)-0</v>
      </c>
    </row>
    <row r="25" spans="1:24" ht="50.1" customHeight="1" x14ac:dyDescent="0.25">
      <c r="A25" s="254" t="str">
        <f ca="1">IF(A24="","",VLOOKUP(A24,DATA!$P:$T,5,FALSE)&amp;"MW")</f>
        <v>0MW</v>
      </c>
      <c r="B25" s="212" t="s">
        <v>35</v>
      </c>
      <c r="C25" s="195">
        <f ca="1">IF(B25="","",VLOOKUP(B25,DATA!$P:$T,5,FALSE))</f>
        <v>0</v>
      </c>
      <c r="D25" s="190" t="s">
        <v>85</v>
      </c>
      <c r="E25" s="191" t="str">
        <f>IF(D25="","",VLOOKUP(D25,DATA!$P:$V,7,FALSE))</f>
        <v>IO#1DTR(B)</v>
      </c>
      <c r="F25" s="192">
        <f t="array" aca="1" ref="F25" ca="1">IF(P25=0,VLOOKUP(D25,DATA!$P:$T,5,FALSE),INDIRECT(Q25))</f>
        <v>4.2699999999999996</v>
      </c>
      <c r="G25" s="193">
        <f t="array" aca="1" ref="G25" ca="1">IF(R25=0,VLOOKUP(E25,DATA!$P:$T,5,FALSE),INDIRECT(S25))</f>
        <v>22.69</v>
      </c>
      <c r="H25" s="194">
        <f ca="1">G25/VLOOKUP(E25,DATA!$V:$W,2,FALSE)</f>
        <v>0.75633333333333341</v>
      </c>
      <c r="I25" s="195">
        <f t="shared" ca="1" si="6"/>
        <v>4.2699999999999996</v>
      </c>
      <c r="J25" s="196">
        <f t="shared" ca="1" si="7"/>
        <v>22.69</v>
      </c>
      <c r="K25" s="194">
        <f ca="1">J25/VLOOKUP(E25,DATA!$V:$W,2,FALSE)</f>
        <v>0.75633333333333341</v>
      </c>
      <c r="L25" s="213" t="s">
        <v>159</v>
      </c>
      <c r="M25" s="198"/>
      <c r="N25" s="198">
        <v>16</v>
      </c>
      <c r="O25" s="199" t="s">
        <v>65</v>
      </c>
      <c r="P25" s="127">
        <f>VLOOKUP(N25,排序!C:I,7,0)</f>
        <v>0</v>
      </c>
      <c r="Q25" s="128" t="str">
        <f t="shared" si="0"/>
        <v/>
      </c>
      <c r="R25" s="127">
        <f>VLOOKUP(N25,排序!C:Q,14,0)</f>
        <v>1</v>
      </c>
      <c r="S25" s="128" t="str">
        <f t="shared" si="1"/>
        <v>J13</v>
      </c>
      <c r="T25" s="5"/>
      <c r="U25" s="5" t="str">
        <f t="shared" si="12"/>
        <v>IO23</v>
      </c>
      <c r="V25" s="5" t="str">
        <f t="shared" si="13"/>
        <v>IO23-0</v>
      </c>
      <c r="W25" s="5" t="str">
        <f t="shared" si="14"/>
        <v>IO#1DTR(B)</v>
      </c>
      <c r="X25" s="5" t="str">
        <f t="shared" si="15"/>
        <v>IO#1DTR(B)-1</v>
      </c>
    </row>
    <row r="26" spans="1:24" ht="45" hidden="1" customHeight="1" x14ac:dyDescent="0.25">
      <c r="A26" s="253"/>
      <c r="B26" s="238" t="s">
        <v>36</v>
      </c>
      <c r="C26" s="305">
        <f ca="1">IF(B26="","",VLOOKUP(B26,DATA!$P:$T,5,FALSE))</f>
        <v>0</v>
      </c>
      <c r="D26" s="240" t="s">
        <v>107</v>
      </c>
      <c r="E26" s="241" t="str">
        <f>IF(D26="","",VLOOKUP(D26,DATA!$P:$V,7,FALSE))</f>
        <v>IO#1DTR(B)</v>
      </c>
      <c r="F26" s="242" t="e">
        <f t="array" aca="1" ref="F26" ca="1">IF(P26=0,VLOOKUP(D26,DATA!$P:$T,5,FALSE),INDIRECT(Q26))</f>
        <v>#N/A</v>
      </c>
      <c r="G26" s="243" t="e">
        <f t="array" aca="1" ref="G26" ca="1">IF(R26=0,VLOOKUP(E26,DATA!$P:$T,5,FALSE),INDIRECT(S26))</f>
        <v>#N/A</v>
      </c>
      <c r="H26" s="244" t="e">
        <f ca="1">G26/VLOOKUP(E26,DATA!$V:$W,2,FALSE)</f>
        <v>#N/A</v>
      </c>
      <c r="I26" s="239" t="e">
        <f t="shared" ca="1" si="6"/>
        <v>#N/A</v>
      </c>
      <c r="J26" s="245" t="e">
        <f t="shared" ca="1" si="7"/>
        <v>#N/A</v>
      </c>
      <c r="K26" s="244" t="e">
        <f ca="1">J26/VLOOKUP(E26,DATA!$V:$W,2,FALSE)</f>
        <v>#N/A</v>
      </c>
      <c r="L26" s="246" t="s">
        <v>119</v>
      </c>
      <c r="M26" s="306" t="s">
        <v>118</v>
      </c>
      <c r="N26" s="248"/>
      <c r="O26" s="249" t="s">
        <v>65</v>
      </c>
      <c r="P26" s="127" t="e">
        <f>VLOOKUP(N26,排序!C:I,7,0)</f>
        <v>#N/A</v>
      </c>
      <c r="Q26" s="128" t="str">
        <f t="shared" si="0"/>
        <v/>
      </c>
      <c r="R26" s="127" t="e">
        <f>VLOOKUP(N26,排序!C:Q,14,0)</f>
        <v>#N/A</v>
      </c>
      <c r="S26" s="128" t="str">
        <f t="shared" si="1"/>
        <v/>
      </c>
      <c r="T26" s="5"/>
      <c r="U26" s="5" t="str">
        <f t="shared" si="12"/>
        <v>IO25</v>
      </c>
      <c r="V26" s="5" t="e">
        <f t="shared" si="13"/>
        <v>#N/A</v>
      </c>
      <c r="W26" s="5" t="str">
        <f t="shared" si="14"/>
        <v>IO#1DTR(B)</v>
      </c>
      <c r="X26" s="5" t="e">
        <f t="shared" si="15"/>
        <v>#N/A</v>
      </c>
    </row>
    <row r="27" spans="1:24" ht="50.1" customHeight="1" x14ac:dyDescent="0.25">
      <c r="A27" s="254" t="str">
        <f>IF(B22="","",VLOOKUP(B22,DATA!$P:$X,9,FALSE)&amp;"kV")</f>
        <v>11.4kV</v>
      </c>
      <c r="B27" s="307" t="s">
        <v>36</v>
      </c>
      <c r="C27" s="231">
        <f ca="1">IF(B27="","",VLOOKUP(B27,DATA!$P:$T,5,FALSE))</f>
        <v>0</v>
      </c>
      <c r="D27" s="229" t="s">
        <v>86</v>
      </c>
      <c r="E27" s="230" t="str">
        <f>IF(D27="","",VLOOKUP(D27,DATA!$P:$V,7,FALSE))</f>
        <v>9H#2DTR(B)</v>
      </c>
      <c r="F27" s="231">
        <f t="array" aca="1" ref="F27" ca="1">IF(P27=0,VLOOKUP(D27,DATA!$P:$T,5,FALSE),INDIRECT(Q27))</f>
        <v>4.92</v>
      </c>
      <c r="G27" s="232">
        <f t="array" aca="1" ref="G27" ca="1">IF(R27=0,VLOOKUP(E27,DATA!$P:$T,5,FALSE),INDIRECT(S27))</f>
        <v>10.5</v>
      </c>
      <c r="H27" s="233">
        <f ca="1">G27/VLOOKUP(E27,DATA!$V:$W,2,FALSE)</f>
        <v>0.35</v>
      </c>
      <c r="I27" s="228">
        <f ca="1">C27+F27</f>
        <v>4.92</v>
      </c>
      <c r="J27" s="234">
        <f ca="1">G27+C27</f>
        <v>10.5</v>
      </c>
      <c r="K27" s="233">
        <f ca="1">J27/VLOOKUP(E27,DATA!$V:$W,2,FALSE)</f>
        <v>0.35</v>
      </c>
      <c r="L27" s="308" t="s">
        <v>135</v>
      </c>
      <c r="M27" s="304" t="s">
        <v>108</v>
      </c>
      <c r="N27" s="237">
        <v>17</v>
      </c>
      <c r="O27" s="252" t="s">
        <v>65</v>
      </c>
      <c r="P27" s="127">
        <f>VLOOKUP(N27,排序!C:I,7,0)</f>
        <v>0</v>
      </c>
      <c r="Q27" s="128" t="str">
        <f t="shared" si="0"/>
        <v/>
      </c>
      <c r="R27" s="127">
        <f>VLOOKUP(N27,排序!C:Q,14,0)</f>
        <v>0</v>
      </c>
      <c r="S27" s="128" t="str">
        <f t="shared" si="1"/>
        <v/>
      </c>
      <c r="T27" s="5"/>
      <c r="U27" s="5" t="str">
        <f t="shared" si="12"/>
        <v>9H26</v>
      </c>
      <c r="V27" s="5" t="str">
        <f t="shared" si="13"/>
        <v>9H26-0</v>
      </c>
      <c r="W27" s="5" t="str">
        <f t="shared" si="14"/>
        <v>9H#2DTR(B)</v>
      </c>
      <c r="X27" s="5" t="str">
        <f t="shared" si="15"/>
        <v>9H#2DTR(B)-0</v>
      </c>
    </row>
    <row r="28" spans="1:24" ht="45" hidden="1" customHeight="1" x14ac:dyDescent="0.25">
      <c r="A28" s="253"/>
      <c r="B28" s="309" t="s">
        <v>36</v>
      </c>
      <c r="C28" s="310">
        <f ca="1">IF(B28="","",VLOOKUP(B28,DATA!$P:$T,5,FALSE))</f>
        <v>0</v>
      </c>
      <c r="D28" s="240" t="s">
        <v>106</v>
      </c>
      <c r="E28" s="241" t="str">
        <f>IF(D28="","",VLOOKUP(D28,DATA!$P:$V,7,FALSE))</f>
        <v>9H#2DTR(A)</v>
      </c>
      <c r="F28" s="242" t="e">
        <f t="array" aca="1" ref="F28" ca="1">IF(P28=0,VLOOKUP(D28,DATA!$P:$T,5,FALSE),INDIRECT(Q28))</f>
        <v>#N/A</v>
      </c>
      <c r="G28" s="243" t="e">
        <f t="array" aca="1" ref="G28" ca="1">IF(R28=0,VLOOKUP(E28,DATA!$P:$T,5,FALSE),INDIRECT(S28))</f>
        <v>#N/A</v>
      </c>
      <c r="H28" s="244" t="e">
        <f ca="1">G28/VLOOKUP(E28,DATA!$V:$W,2,FALSE)</f>
        <v>#N/A</v>
      </c>
      <c r="I28" s="239" t="e">
        <f t="shared" ca="1" si="6"/>
        <v>#N/A</v>
      </c>
      <c r="J28" s="245" t="e">
        <f t="shared" ca="1" si="7"/>
        <v>#N/A</v>
      </c>
      <c r="K28" s="244" t="e">
        <f ca="1">J28/VLOOKUP(E28,DATA!$V:$W,2,FALSE)</f>
        <v>#N/A</v>
      </c>
      <c r="L28" s="246" t="s">
        <v>120</v>
      </c>
      <c r="M28" s="306" t="s">
        <v>108</v>
      </c>
      <c r="N28" s="248" t="s">
        <v>77</v>
      </c>
      <c r="O28" s="249" t="s">
        <v>65</v>
      </c>
      <c r="P28" s="127" t="e">
        <f>VLOOKUP(N28,排序!C:I,7,0)</f>
        <v>#N/A</v>
      </c>
      <c r="Q28" s="128" t="str">
        <f t="shared" si="0"/>
        <v/>
      </c>
      <c r="R28" s="127" t="e">
        <f>VLOOKUP(N28,排序!C:Q,14,0)</f>
        <v>#N/A</v>
      </c>
      <c r="S28" s="128" t="str">
        <f t="shared" si="1"/>
        <v/>
      </c>
      <c r="T28" s="5"/>
      <c r="U28" s="5" t="str">
        <f t="shared" si="12"/>
        <v>9H23</v>
      </c>
      <c r="V28" s="5" t="e">
        <f t="shared" si="13"/>
        <v>#N/A</v>
      </c>
      <c r="W28" s="5" t="str">
        <f t="shared" si="14"/>
        <v>9H#2DTR(A)</v>
      </c>
      <c r="X28" s="5" t="e">
        <f t="shared" si="15"/>
        <v>#N/A</v>
      </c>
    </row>
    <row r="29" spans="1:24" ht="50.1" customHeight="1" x14ac:dyDescent="0.25">
      <c r="A29" s="211"/>
      <c r="B29" s="311" t="s">
        <v>37</v>
      </c>
      <c r="C29" s="195">
        <f ca="1">IF(B29="","",VLOOKUP(B29,DATA!$P:$T,5,FALSE))</f>
        <v>0</v>
      </c>
      <c r="D29" s="190" t="s">
        <v>109</v>
      </c>
      <c r="E29" s="191" t="str">
        <f>IF(D29="","",VLOOKUP(D29,DATA!$P:$V,7,FALSE))</f>
        <v>IT#2MTR</v>
      </c>
      <c r="F29" s="192">
        <f t="array" aca="1" ref="F29" ca="1">IF(P29=0,VLOOKUP(D29,DATA!$P:$T,5,FALSE),INDIRECT(Q29))</f>
        <v>4.5999999999999996</v>
      </c>
      <c r="G29" s="193">
        <f t="array" aca="1" ref="G29" ca="1">IF(R29=0,VLOOKUP(E29,DATA!$P:$T,5,FALSE),INDIRECT(S29))</f>
        <v>14.87</v>
      </c>
      <c r="H29" s="194">
        <f ca="1">G29/VLOOKUP(E29,DATA!$V:$W,2,FALSE)</f>
        <v>0.5948</v>
      </c>
      <c r="I29" s="195">
        <f ca="1">C29+F29</f>
        <v>4.5999999999999996</v>
      </c>
      <c r="J29" s="196">
        <f ca="1">G29+C29</f>
        <v>14.87</v>
      </c>
      <c r="K29" s="194">
        <f ca="1">J29/VLOOKUP(E29,DATA!$V:$W,2,FALSE)</f>
        <v>0.5948</v>
      </c>
      <c r="L29" s="213" t="s">
        <v>138</v>
      </c>
      <c r="M29" s="312" t="s">
        <v>108</v>
      </c>
      <c r="N29" s="198">
        <v>18</v>
      </c>
      <c r="O29" s="199" t="s">
        <v>65</v>
      </c>
      <c r="P29" s="127">
        <f>VLOOKUP(N29,排序!C:I,7,0)</f>
        <v>0</v>
      </c>
      <c r="Q29" s="128" t="str">
        <f t="shared" si="0"/>
        <v/>
      </c>
      <c r="R29" s="127">
        <f>VLOOKUP(N29,排序!C:Q,14,0)</f>
        <v>0</v>
      </c>
      <c r="S29" s="128" t="str">
        <f t="shared" si="1"/>
        <v/>
      </c>
      <c r="T29" s="5"/>
      <c r="U29" s="5" t="str">
        <f t="shared" si="12"/>
        <v>IT27</v>
      </c>
      <c r="V29" s="5" t="str">
        <f t="shared" si="13"/>
        <v>IT27-0</v>
      </c>
      <c r="W29" s="5" t="str">
        <f t="shared" si="14"/>
        <v>IT#2MTR</v>
      </c>
      <c r="X29" s="5" t="str">
        <f t="shared" si="15"/>
        <v>IT#2MTR-0</v>
      </c>
    </row>
    <row r="30" spans="1:24" ht="50.1" customHeight="1" thickBot="1" x14ac:dyDescent="0.3">
      <c r="A30" s="211"/>
      <c r="B30" s="313"/>
      <c r="C30" s="314"/>
      <c r="D30" s="315"/>
      <c r="E30" s="316"/>
      <c r="F30" s="317"/>
      <c r="G30" s="318"/>
      <c r="H30" s="319"/>
      <c r="I30" s="320"/>
      <c r="J30" s="321"/>
      <c r="K30" s="319"/>
      <c r="L30" s="322"/>
      <c r="M30" s="323"/>
      <c r="N30" s="324"/>
      <c r="O30" s="325"/>
      <c r="P30" s="127" t="e">
        <f>VLOOKUP(N30,排序!C:I,7,0)</f>
        <v>#N/A</v>
      </c>
      <c r="Q30" s="128" t="str">
        <f t="shared" si="0"/>
        <v/>
      </c>
      <c r="R30" s="127" t="e">
        <f>VLOOKUP(N30,排序!C:Q,14,0)</f>
        <v>#N/A</v>
      </c>
      <c r="S30" s="128" t="str">
        <f t="shared" si="1"/>
        <v/>
      </c>
      <c r="T30" s="5"/>
      <c r="U30" s="5">
        <f t="shared" si="12"/>
        <v>0</v>
      </c>
      <c r="V30" s="5" t="e">
        <f t="shared" si="13"/>
        <v>#N/A</v>
      </c>
      <c r="W30" s="5">
        <f t="shared" si="14"/>
        <v>0</v>
      </c>
      <c r="X30" s="5" t="e">
        <f t="shared" si="15"/>
        <v>#N/A</v>
      </c>
    </row>
    <row r="31" spans="1:24" ht="50.1" customHeight="1" x14ac:dyDescent="0.25">
      <c r="A31" s="215"/>
      <c r="B31" s="326" t="s">
        <v>38</v>
      </c>
      <c r="C31" s="183">
        <f ca="1">IF(B31="","",VLOOKUP(B31,DATA!$P:$T,5,FALSE))</f>
        <v>0</v>
      </c>
      <c r="D31" s="178" t="s">
        <v>90</v>
      </c>
      <c r="E31" s="179" t="str">
        <f>IF(D31="","",VLOOKUP(D31,DATA!$P:$V,7,FALSE))</f>
        <v>IO#1DTR(B)</v>
      </c>
      <c r="F31" s="180">
        <f t="array" aca="1" ref="F31" ca="1">IF(P31=0,VLOOKUP(D31,DATA!$P:$T,5,FALSE),INDIRECT(Q31))</f>
        <v>5.63</v>
      </c>
      <c r="G31" s="181">
        <f t="array" aca="1" ref="G31" ca="1">IF(R31=0,VLOOKUP(E31,DATA!$P:$T,5,FALSE),INDIRECT(S31))</f>
        <v>22.69</v>
      </c>
      <c r="H31" s="182">
        <f ca="1">G31/VLOOKUP(E31,DATA!$V:$W,2,FALSE)</f>
        <v>0.75633333333333341</v>
      </c>
      <c r="I31" s="183">
        <f t="shared" ca="1" si="6"/>
        <v>5.63</v>
      </c>
      <c r="J31" s="184">
        <f t="shared" ca="1" si="7"/>
        <v>22.69</v>
      </c>
      <c r="K31" s="182">
        <f ca="1">J31/VLOOKUP(E31,DATA!$V:$W,2,FALSE)</f>
        <v>0.75633333333333341</v>
      </c>
      <c r="L31" s="327" t="s">
        <v>89</v>
      </c>
      <c r="M31" s="179"/>
      <c r="N31" s="186">
        <v>19</v>
      </c>
      <c r="O31" s="187" t="s">
        <v>65</v>
      </c>
      <c r="P31" s="127">
        <f>VLOOKUP(N31,排序!C:I,7,0)</f>
        <v>0</v>
      </c>
      <c r="Q31" s="128" t="str">
        <f t="shared" si="0"/>
        <v/>
      </c>
      <c r="R31" s="127">
        <f>VLOOKUP(N31,排序!C:Q,14,0)</f>
        <v>2</v>
      </c>
      <c r="S31" s="128" t="str">
        <f t="shared" si="1"/>
        <v>J25</v>
      </c>
      <c r="T31" s="5"/>
      <c r="U31" s="5" t="str">
        <f t="shared" si="12"/>
        <v>IO22</v>
      </c>
      <c r="V31" s="5" t="str">
        <f t="shared" si="13"/>
        <v>IO22-0</v>
      </c>
      <c r="W31" s="5" t="str">
        <f t="shared" si="14"/>
        <v>IO#1DTR(B)</v>
      </c>
      <c r="X31" s="5" t="str">
        <f t="shared" si="15"/>
        <v>IO#1DTR(B)-2</v>
      </c>
    </row>
    <row r="32" spans="1:24" ht="45" hidden="1" customHeight="1" x14ac:dyDescent="0.25">
      <c r="A32" s="254" t="str">
        <f>IF(A31="","",VLOOKUP(A31,DATA!$P:$T,5,FALSE)&amp;"MW")</f>
        <v/>
      </c>
      <c r="B32" s="328" t="s">
        <v>90</v>
      </c>
      <c r="C32" s="310">
        <f ca="1">IF(B32="","",VLOOKUP(B32,DATA!$P:$T,5,FALSE))+C31</f>
        <v>5.63</v>
      </c>
      <c r="D32" s="329" t="s">
        <v>110</v>
      </c>
      <c r="E32" s="329" t="str">
        <f>IF(D32="","",VLOOKUP(D32,DATA!$P:$V,7,FALSE))</f>
        <v>9H#3DTR(A)</v>
      </c>
      <c r="F32" s="310" t="e">
        <f t="array" aca="1" ref="F32" ca="1">IF(P32=0,VLOOKUP(D32,DATA!$P:$T,5,FALSE),INDIRECT(Q32))</f>
        <v>#N/A</v>
      </c>
      <c r="G32" s="330" t="e">
        <f t="array" aca="1" ref="G32" ca="1">IF(R32=0,VLOOKUP(E32,DATA!$P:$T,5,FALSE),INDIRECT(S32))</f>
        <v>#N/A</v>
      </c>
      <c r="H32" s="331" t="e">
        <f ca="1">G32/VLOOKUP(E32,DATA!$V:$W,2,FALSE)</f>
        <v>#N/A</v>
      </c>
      <c r="I32" s="310" t="e">
        <f t="shared" ca="1" si="6"/>
        <v>#N/A</v>
      </c>
      <c r="J32" s="332" t="e">
        <f t="shared" ca="1" si="7"/>
        <v>#N/A</v>
      </c>
      <c r="K32" s="331" t="e">
        <f ca="1">J32/VLOOKUP(E32,DATA!$V:$W,2,FALSE)</f>
        <v>#N/A</v>
      </c>
      <c r="L32" s="333" t="s">
        <v>111</v>
      </c>
      <c r="M32" s="334" t="s">
        <v>112</v>
      </c>
      <c r="N32" s="247" t="s">
        <v>77</v>
      </c>
      <c r="O32" s="335" t="s">
        <v>65</v>
      </c>
      <c r="P32" s="127" t="e">
        <f>VLOOKUP(N32,排序!C:I,7,0)</f>
        <v>#N/A</v>
      </c>
      <c r="Q32" s="128" t="str">
        <f t="shared" si="0"/>
        <v/>
      </c>
      <c r="R32" s="127" t="e">
        <f>VLOOKUP(N32,排序!C:Q,14,0)</f>
        <v>#N/A</v>
      </c>
      <c r="S32" s="128" t="str">
        <f t="shared" si="1"/>
        <v/>
      </c>
      <c r="T32" s="5"/>
      <c r="U32" s="5" t="str">
        <f t="shared" si="12"/>
        <v>9H34</v>
      </c>
      <c r="V32" s="5" t="e">
        <f t="shared" si="13"/>
        <v>#N/A</v>
      </c>
      <c r="W32" s="5" t="str">
        <f t="shared" si="14"/>
        <v>9H#3DTR(A)</v>
      </c>
      <c r="X32" s="5" t="e">
        <f t="shared" si="15"/>
        <v>#N/A</v>
      </c>
    </row>
    <row r="33" spans="1:24" ht="50.1" customHeight="1" x14ac:dyDescent="0.25">
      <c r="A33" s="250" t="str">
        <f>IF(B31="","",VLOOKUP(B31,DATA!$P:$V,7,FALSE))</f>
        <v>IB#3MTR</v>
      </c>
      <c r="B33" s="212" t="s">
        <v>39</v>
      </c>
      <c r="C33" s="195">
        <f ca="1">IF(B33="","",VLOOKUP(B33,DATA!$P:$T,5,FALSE))</f>
        <v>0</v>
      </c>
      <c r="D33" s="190" t="s">
        <v>87</v>
      </c>
      <c r="E33" s="191" t="str">
        <f>IF(D33="","",VLOOKUP(D33,DATA!$P:$V,7,FALSE))</f>
        <v>9I#1DTR(A)</v>
      </c>
      <c r="F33" s="192">
        <f t="array" aca="1" ref="F33" ca="1">IF(P33=0,VLOOKUP(D33,DATA!$P:$T,5,FALSE),INDIRECT(Q33))</f>
        <v>5.84</v>
      </c>
      <c r="G33" s="193">
        <f t="array" aca="1" ref="G33" ca="1">IF(R33=0,VLOOKUP(E33,DATA!$P:$T,5,FALSE),INDIRECT(S33))</f>
        <v>20.85</v>
      </c>
      <c r="H33" s="194">
        <f ca="1">G33/VLOOKUP(E33,DATA!$V:$W,2,FALSE)</f>
        <v>0.69500000000000006</v>
      </c>
      <c r="I33" s="195">
        <f t="shared" ca="1" si="6"/>
        <v>5.84</v>
      </c>
      <c r="J33" s="196">
        <f t="shared" ca="1" si="7"/>
        <v>20.85</v>
      </c>
      <c r="K33" s="194">
        <f ca="1">J33/VLOOKUP(E33,DATA!$V:$W,2,FALSE)</f>
        <v>0.69500000000000006</v>
      </c>
      <c r="L33" s="336" t="s">
        <v>139</v>
      </c>
      <c r="M33" s="191"/>
      <c r="N33" s="198">
        <v>20</v>
      </c>
      <c r="O33" s="199" t="s">
        <v>65</v>
      </c>
      <c r="P33" s="127">
        <f>VLOOKUP(N33,排序!C:I,7,0)</f>
        <v>0</v>
      </c>
      <c r="Q33" s="128" t="str">
        <f t="shared" si="0"/>
        <v/>
      </c>
      <c r="R33" s="127">
        <f>VLOOKUP(N33,排序!C:Q,14,0)</f>
        <v>3</v>
      </c>
      <c r="S33" s="128" t="str">
        <f t="shared" si="1"/>
        <v>J22</v>
      </c>
      <c r="T33" s="5"/>
      <c r="U33" s="5" t="str">
        <f t="shared" si="12"/>
        <v>9I25</v>
      </c>
      <c r="V33" s="5" t="str">
        <f t="shared" si="13"/>
        <v>9I25-0</v>
      </c>
      <c r="W33" s="5" t="str">
        <f t="shared" si="14"/>
        <v>9I#1DTR(A)</v>
      </c>
      <c r="X33" s="5" t="str">
        <f t="shared" si="15"/>
        <v>9I#1DTR(A)-3</v>
      </c>
    </row>
    <row r="34" spans="1:24" ht="50.1" customHeight="1" x14ac:dyDescent="0.25">
      <c r="A34" s="254" t="str">
        <f ca="1">IF(A33="","",VLOOKUP(A33,DATA!$P:$T,5,FALSE)&amp;"MW")</f>
        <v>0MW</v>
      </c>
      <c r="B34" s="337" t="s">
        <v>40</v>
      </c>
      <c r="C34" s="228">
        <f ca="1">IF(B34="","",VLOOKUP(B34,DATA!$P:$T,5,FALSE))*6995.2/(4749+6995.2)</f>
        <v>0</v>
      </c>
      <c r="D34" s="229" t="s">
        <v>80</v>
      </c>
      <c r="E34" s="230" t="str">
        <f>IF(D34="","",VLOOKUP(D34,DATA!$P:$V,7,FALSE))</f>
        <v>9I#2DTR(B)</v>
      </c>
      <c r="F34" s="231">
        <f t="array" aca="1" ref="F34" ca="1">IF(P34=0,VLOOKUP(D34,DATA!$P:$T,5,FALSE),INDIRECT(Q34))</f>
        <v>5.49</v>
      </c>
      <c r="G34" s="232">
        <f t="array" aca="1" ref="G34" ca="1">IF(R34=0,VLOOKUP(E34,DATA!$P:$T,5,FALSE),INDIRECT(S34))</f>
        <v>17.87</v>
      </c>
      <c r="H34" s="233">
        <f ca="1">G34/VLOOKUP(E34,DATA!$V:$W,2,FALSE)</f>
        <v>0.59566666666666668</v>
      </c>
      <c r="I34" s="228">
        <f t="shared" ca="1" si="6"/>
        <v>5.49</v>
      </c>
      <c r="J34" s="234">
        <f t="shared" ca="1" si="7"/>
        <v>17.87</v>
      </c>
      <c r="K34" s="233">
        <f ca="1">J34/VLOOKUP(E34,DATA!$V:$W,2,FALSE)</f>
        <v>0.59566666666666668</v>
      </c>
      <c r="L34" s="338" t="s">
        <v>160</v>
      </c>
      <c r="M34" s="230"/>
      <c r="N34" s="237">
        <v>21</v>
      </c>
      <c r="O34" s="252" t="s">
        <v>65</v>
      </c>
      <c r="P34" s="127">
        <f>VLOOKUP(N34,排序!C:I,7,0)</f>
        <v>0</v>
      </c>
      <c r="Q34" s="128" t="str">
        <f t="shared" si="0"/>
        <v/>
      </c>
      <c r="R34" s="127">
        <f>VLOOKUP(N34,排序!C:Q,14,0)</f>
        <v>1</v>
      </c>
      <c r="S34" s="128" t="str">
        <f t="shared" si="1"/>
        <v>J19</v>
      </c>
      <c r="T34" s="5"/>
      <c r="U34" s="5" t="str">
        <f t="shared" si="12"/>
        <v>9I33</v>
      </c>
      <c r="V34" s="5" t="str">
        <f t="shared" si="13"/>
        <v>9I33-0</v>
      </c>
      <c r="W34" s="5" t="str">
        <f t="shared" si="14"/>
        <v>9I#2DTR(B)</v>
      </c>
      <c r="X34" s="5" t="str">
        <f t="shared" si="15"/>
        <v>9I#2DTR(B)-1</v>
      </c>
    </row>
    <row r="35" spans="1:24" ht="50.1" customHeight="1" x14ac:dyDescent="0.25">
      <c r="A35" s="254" t="str">
        <f>IF(B31="","",VLOOKUP(B31,DATA!$P:$X,9,FALSE)&amp;"kV")</f>
        <v>11.4kV</v>
      </c>
      <c r="B35" s="212" t="s">
        <v>40</v>
      </c>
      <c r="C35" s="195">
        <f ca="1">IF(B35="","",VLOOKUP(B35,DATA!$P:$T,5,FALSE))-C34</f>
        <v>0</v>
      </c>
      <c r="D35" s="190" t="s">
        <v>113</v>
      </c>
      <c r="E35" s="191" t="str">
        <f>IF(D35="","",VLOOKUP(D35,DATA!$P:$V,7,FALSE))</f>
        <v>9I#2DTR(B)</v>
      </c>
      <c r="F35" s="192">
        <f t="array" aca="1" ref="F35" ca="1">IF(P35=0,VLOOKUP(D35,DATA!$P:$T,5,FALSE),INDIRECT(Q35))</f>
        <v>3.59</v>
      </c>
      <c r="G35" s="193">
        <f t="array" aca="1" ref="G35" ca="1">IF(R35=0,VLOOKUP(E35,DATA!$P:$T,5,FALSE),INDIRECT(S35))</f>
        <v>17.87</v>
      </c>
      <c r="H35" s="194">
        <f ca="1">G35/VLOOKUP(E35,DATA!$V:$W,2,FALSE)</f>
        <v>0.59566666666666668</v>
      </c>
      <c r="I35" s="195">
        <f t="shared" ca="1" si="6"/>
        <v>3.59</v>
      </c>
      <c r="J35" s="196">
        <f t="shared" ca="1" si="7"/>
        <v>17.87</v>
      </c>
      <c r="K35" s="194">
        <f ca="1">J35/VLOOKUP(E35,DATA!$V:$W,2,FALSE)</f>
        <v>0.59566666666666668</v>
      </c>
      <c r="L35" s="336" t="s">
        <v>140</v>
      </c>
      <c r="M35" s="339" t="s">
        <v>84</v>
      </c>
      <c r="N35" s="198">
        <v>22</v>
      </c>
      <c r="O35" s="199" t="s">
        <v>65</v>
      </c>
      <c r="P35" s="127">
        <f>VLOOKUP(N35,排序!C:I,7,0)</f>
        <v>0</v>
      </c>
      <c r="Q35" s="128" t="str">
        <f t="shared" si="0"/>
        <v/>
      </c>
      <c r="R35" s="127">
        <f>VLOOKUP(N35,排序!C:Q,14,0)</f>
        <v>2</v>
      </c>
      <c r="S35" s="128" t="str">
        <f t="shared" si="1"/>
        <v>J34</v>
      </c>
      <c r="T35" s="5"/>
      <c r="U35" s="5" t="str">
        <f t="shared" si="12"/>
        <v>9I31</v>
      </c>
      <c r="V35" s="5" t="str">
        <f t="shared" si="13"/>
        <v>9I31-0</v>
      </c>
      <c r="W35" s="5" t="str">
        <f t="shared" si="14"/>
        <v>9I#2DTR(B)</v>
      </c>
      <c r="X35" s="5" t="str">
        <f t="shared" si="15"/>
        <v>9I#2DTR(B)-2</v>
      </c>
    </row>
    <row r="36" spans="1:24" ht="54" customHeight="1" x14ac:dyDescent="0.25">
      <c r="A36" s="211"/>
      <c r="B36" s="337" t="s">
        <v>41</v>
      </c>
      <c r="C36" s="228">
        <f ca="1">IF(B36="","",VLOOKUP(B36,DATA!$P:$T,5,FALSE))</f>
        <v>0</v>
      </c>
      <c r="D36" s="340"/>
      <c r="E36" s="340" t="str">
        <f>IF(D36="","",VLOOKUP(D36,DATA!$P:$V,7,FALSE))</f>
        <v/>
      </c>
      <c r="F36" s="341" t="e">
        <f t="array" aca="1" ref="F36" ca="1">IF(P36=0,VLOOKUP(D36,DATA!$P:$T,5,FALSE),INDIRECT(Q36))</f>
        <v>#N/A</v>
      </c>
      <c r="G36" s="342" t="e">
        <f t="array" aca="1" ref="G36" ca="1">IF(R36=0,VLOOKUP(E36,DATA!$P:$T,5,FALSE),INDIRECT(S36))</f>
        <v>#N/A</v>
      </c>
      <c r="H36" s="343" t="e">
        <f ca="1">G36/VLOOKUP(E36,DATA!$V:$W,2,FALSE)</f>
        <v>#N/A</v>
      </c>
      <c r="I36" s="341" t="e">
        <f ca="1">C36+F36</f>
        <v>#N/A</v>
      </c>
      <c r="J36" s="344" t="e">
        <f ca="1">G36+C36</f>
        <v>#N/A</v>
      </c>
      <c r="K36" s="343" t="e">
        <f ca="1">J36/VLOOKUP(E36,DATA!$V:$W,2,FALSE)</f>
        <v>#N/A</v>
      </c>
      <c r="L36" s="345" t="s">
        <v>77</v>
      </c>
      <c r="M36" s="414" t="s">
        <v>151</v>
      </c>
      <c r="N36" s="237"/>
      <c r="O36" s="252" t="s">
        <v>65</v>
      </c>
      <c r="P36" s="127" t="e">
        <f>VLOOKUP(N36,排序!C:I,7,0)</f>
        <v>#N/A</v>
      </c>
      <c r="Q36" s="128" t="str">
        <f t="shared" si="0"/>
        <v/>
      </c>
      <c r="R36" s="127" t="e">
        <f>VLOOKUP(N36,排序!C:Q,14,0)</f>
        <v>#N/A</v>
      </c>
      <c r="S36" s="128" t="str">
        <f t="shared" si="1"/>
        <v/>
      </c>
      <c r="T36" s="5"/>
      <c r="U36" s="5">
        <f t="shared" si="12"/>
        <v>0</v>
      </c>
      <c r="V36" s="5" t="e">
        <f t="shared" si="13"/>
        <v>#N/A</v>
      </c>
      <c r="W36" s="5" t="str">
        <f t="shared" si="14"/>
        <v/>
      </c>
      <c r="X36" s="5" t="e">
        <f t="shared" si="15"/>
        <v>#N/A</v>
      </c>
    </row>
    <row r="37" spans="1:24" ht="54" customHeight="1" x14ac:dyDescent="0.25">
      <c r="A37" s="211"/>
      <c r="B37" s="337" t="s">
        <v>42</v>
      </c>
      <c r="C37" s="228">
        <f ca="1">IF(B37="","",VLOOKUP(B37,DATA!$P:$T,5,FALSE))</f>
        <v>0</v>
      </c>
      <c r="D37" s="340"/>
      <c r="E37" s="340" t="str">
        <f>IF(D37="","",VLOOKUP(D37,DATA!$P:$V,7,FALSE))</f>
        <v/>
      </c>
      <c r="F37" s="341" t="e">
        <f t="array" aca="1" ref="F37" ca="1">IF(P37=0,VLOOKUP(D37,DATA!$P:$T,5,FALSE),INDIRECT(Q37))</f>
        <v>#N/A</v>
      </c>
      <c r="G37" s="342" t="e">
        <f t="array" aca="1" ref="G37" ca="1">IF(R37=0,VLOOKUP(E37,DATA!$P:$T,5,FALSE),INDIRECT(S37))</f>
        <v>#N/A</v>
      </c>
      <c r="H37" s="343" t="e">
        <f ca="1">G37/VLOOKUP(E37,DATA!$V:$W,2,FALSE)</f>
        <v>#N/A</v>
      </c>
      <c r="I37" s="341" t="e">
        <f ca="1">C37+F37</f>
        <v>#N/A</v>
      </c>
      <c r="J37" s="344" t="e">
        <f ca="1">G37+C37</f>
        <v>#N/A</v>
      </c>
      <c r="K37" s="343" t="e">
        <f ca="1">J37/VLOOKUP(E37,DATA!$V:$W,2,FALSE)</f>
        <v>#N/A</v>
      </c>
      <c r="L37" s="345" t="s">
        <v>77</v>
      </c>
      <c r="M37" s="414"/>
      <c r="N37" s="237"/>
      <c r="O37" s="252" t="s">
        <v>65</v>
      </c>
      <c r="P37" s="127" t="e">
        <f>VLOOKUP(N37,排序!C:I,7,0)</f>
        <v>#N/A</v>
      </c>
      <c r="Q37" s="128" t="str">
        <f t="shared" si="0"/>
        <v/>
      </c>
      <c r="R37" s="127" t="e">
        <f>VLOOKUP(N37,排序!C:Q,14,0)</f>
        <v>#N/A</v>
      </c>
      <c r="S37" s="128" t="str">
        <f t="shared" si="1"/>
        <v/>
      </c>
      <c r="T37" s="5"/>
      <c r="U37" s="5">
        <f t="shared" si="12"/>
        <v>0</v>
      </c>
      <c r="V37" s="5" t="e">
        <f t="shared" si="13"/>
        <v>#N/A</v>
      </c>
      <c r="W37" s="5" t="str">
        <f t="shared" si="14"/>
        <v/>
      </c>
      <c r="X37" s="5" t="e">
        <f t="shared" si="15"/>
        <v>#N/A</v>
      </c>
    </row>
    <row r="38" spans="1:24" ht="65.25" hidden="1" customHeight="1" x14ac:dyDescent="0.25">
      <c r="A38" s="129"/>
      <c r="B38" s="153" t="s">
        <v>42</v>
      </c>
      <c r="C38" s="148">
        <f ca="1">IF(B38="","",VLOOKUP(B38,DATA!$P:$T,5,FALSE))</f>
        <v>0</v>
      </c>
      <c r="D38" s="136" t="s">
        <v>113</v>
      </c>
      <c r="E38" s="168" t="str">
        <f>IF(D38="","",VLOOKUP(D38,DATA!$P:$V,7,FALSE))</f>
        <v>9I#2DTR(B)</v>
      </c>
      <c r="F38" s="149" t="e">
        <f t="array" aca="1" ref="F38" ca="1">IF(P38=0,VLOOKUP(D38,DATA!$P:$T,5,FALSE),INDIRECT(Q38))</f>
        <v>#N/A</v>
      </c>
      <c r="G38" s="150" t="e">
        <f t="array" aca="1" ref="G38" ca="1">IF(R38=0,VLOOKUP(E38,DATA!$P:$T,5,FALSE),INDIRECT(S38))</f>
        <v>#N/A</v>
      </c>
      <c r="H38" s="151" t="e">
        <f ca="1">G38/VLOOKUP(E38,DATA!$V:$W,2,FALSE)</f>
        <v>#N/A</v>
      </c>
      <c r="I38" s="148" t="e">
        <f t="shared" ca="1" si="6"/>
        <v>#N/A</v>
      </c>
      <c r="J38" s="152" t="e">
        <f t="shared" ca="1" si="7"/>
        <v>#N/A</v>
      </c>
      <c r="K38" s="151" t="e">
        <f ca="1">J38/VLOOKUP(E38,DATA!$V:$W,2,FALSE)</f>
        <v>#N/A</v>
      </c>
      <c r="L38" s="137" t="s">
        <v>77</v>
      </c>
      <c r="M38" s="162" t="s">
        <v>116</v>
      </c>
      <c r="N38" s="124"/>
      <c r="O38" s="125" t="s">
        <v>65</v>
      </c>
      <c r="P38" s="127" t="e">
        <f>VLOOKUP(N38,排序!C:I,7,0)</f>
        <v>#N/A</v>
      </c>
      <c r="Q38" s="128" t="str">
        <f t="shared" si="0"/>
        <v/>
      </c>
      <c r="R38" s="127" t="e">
        <f>VLOOKUP(N38,排序!C:Q,14,0)</f>
        <v>#N/A</v>
      </c>
      <c r="S38" s="128"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1"/>
      <c r="B39" s="154" t="s">
        <v>41</v>
      </c>
      <c r="C39" s="148">
        <f ca="1">IF(B39="","",VLOOKUP(B39,DATA!$P:$T,5,FALSE))-C40</f>
        <v>0</v>
      </c>
      <c r="D39" s="155" t="s">
        <v>92</v>
      </c>
      <c r="E39" s="136" t="str">
        <f>IF(D39="","",VLOOKUP(D39,DATA!$P:$V,7,FALSE))</f>
        <v>IO#1DTR(B)</v>
      </c>
      <c r="F39" s="148" t="e">
        <f t="array" aca="1" ref="F39" ca="1">IF(P39=0,VLOOKUP(D39,DATA!$P:$T,5,FALSE),INDIRECT(Q39))-C41</f>
        <v>#N/A</v>
      </c>
      <c r="G39" s="150" t="e">
        <f t="array" aca="1" ref="G39" ca="1">IF(R39=0,VLOOKUP(E39,DATA!$P:$T,5,FALSE),INDIRECT(S39))</f>
        <v>#N/A</v>
      </c>
      <c r="H39" s="151" t="e">
        <f ca="1">G39/VLOOKUP(E39,DATA!$V:$W,2,FALSE)</f>
        <v>#N/A</v>
      </c>
      <c r="I39" s="148" t="e">
        <f t="shared" ca="1" si="6"/>
        <v>#N/A</v>
      </c>
      <c r="J39" s="152" t="e">
        <f t="shared" ca="1" si="7"/>
        <v>#N/A</v>
      </c>
      <c r="K39" s="151" t="e">
        <f ca="1">J39/VLOOKUP(E39,DATA!$V:$W,2,FALSE)</f>
        <v>#N/A</v>
      </c>
      <c r="L39" s="136" t="s">
        <v>115</v>
      </c>
      <c r="M39" s="162" t="s">
        <v>117</v>
      </c>
      <c r="N39" s="130"/>
      <c r="O39" s="132" t="s">
        <v>65</v>
      </c>
      <c r="P39" s="127" t="e">
        <f>VLOOKUP(N39,排序!C:I,7,0)</f>
        <v>#N/A</v>
      </c>
      <c r="Q39" s="128" t="str">
        <f t="shared" si="0"/>
        <v/>
      </c>
      <c r="R39" s="127" t="e">
        <f>VLOOKUP(N39,排序!C:Q,14,0)</f>
        <v>#N/A</v>
      </c>
      <c r="S39" s="128" t="str">
        <f t="shared" si="1"/>
        <v/>
      </c>
      <c r="U39" s="5" t="str">
        <f t="shared" si="12"/>
        <v>IO21</v>
      </c>
      <c r="V39" s="5" t="e">
        <f t="shared" si="13"/>
        <v>#N/A</v>
      </c>
      <c r="W39" s="5" t="str">
        <f t="shared" si="14"/>
        <v>IO#1DTR(B)</v>
      </c>
      <c r="X39" s="5" t="e">
        <f t="shared" si="15"/>
        <v>#N/A</v>
      </c>
    </row>
    <row r="40" spans="1:24" s="5" customFormat="1" ht="75.75" hidden="1" customHeight="1" x14ac:dyDescent="0.25">
      <c r="A40" s="131"/>
      <c r="B40" s="154" t="s">
        <v>41</v>
      </c>
      <c r="C40" s="148">
        <f ca="1">IF(B40="","",VLOOKUP(B40,DATA!$P:$T,5,FALSE))*3031.2/(2529.6+3031.2)</f>
        <v>0</v>
      </c>
      <c r="D40" s="155" t="s">
        <v>88</v>
      </c>
      <c r="E40" s="136" t="str">
        <f>IF(D40="","",VLOOKUP(D40,DATA!$P:$V,7,FALSE))</f>
        <v>9I#2DTR(A)</v>
      </c>
      <c r="F40" s="148" t="e">
        <f t="array" aca="1" ref="F40" ca="1">IF(P40=0,VLOOKUP(D40,DATA!$P:$T,5,FALSE),INDIRECT(Q40))</f>
        <v>#N/A</v>
      </c>
      <c r="G40" s="150" t="e">
        <f t="array" aca="1" ref="G40" ca="1">IF(R40=0,VLOOKUP(E40,DATA!$P:$T,5,FALSE),INDIRECT(S40))</f>
        <v>#N/A</v>
      </c>
      <c r="H40" s="151" t="e">
        <f ca="1">G40/VLOOKUP(E40,DATA!$V:$W,2,FALSE)</f>
        <v>#N/A</v>
      </c>
      <c r="I40" s="148" t="e">
        <f t="shared" ca="1" si="6"/>
        <v>#N/A</v>
      </c>
      <c r="J40" s="152" t="e">
        <f t="shared" ca="1" si="7"/>
        <v>#N/A</v>
      </c>
      <c r="K40" s="151" t="e">
        <f ca="1">J40/VLOOKUP(E40,DATA!$V:$W,2,FALSE)</f>
        <v>#N/A</v>
      </c>
      <c r="L40" s="138" t="s">
        <v>114</v>
      </c>
      <c r="M40" s="162" t="s">
        <v>137</v>
      </c>
      <c r="N40" s="130"/>
      <c r="O40" s="132" t="s">
        <v>65</v>
      </c>
      <c r="P40" s="127" t="e">
        <f>VLOOKUP(N40,排序!C:I,7,0)</f>
        <v>#N/A</v>
      </c>
      <c r="Q40" s="128" t="str">
        <f t="shared" si="0"/>
        <v/>
      </c>
      <c r="R40" s="127" t="e">
        <f>VLOOKUP(N40,排序!C:Q,14,0)</f>
        <v>#N/A</v>
      </c>
      <c r="S40" s="128"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3"/>
      <c r="B41" s="154" t="s">
        <v>92</v>
      </c>
      <c r="C41" s="148">
        <f ca="1">IF(B41="","",VLOOKUP(B41,DATA!$P:$T,5,FALSE))</f>
        <v>4.1500000000000004</v>
      </c>
      <c r="D41" s="155" t="s">
        <v>106</v>
      </c>
      <c r="E41" s="136" t="str">
        <f>IF(D41="","",VLOOKUP(D41,DATA!$P:$V,7,FALSE))</f>
        <v>9H#2DTR(A)</v>
      </c>
      <c r="F41" s="148" t="e">
        <f t="array" aca="1" ref="F41" ca="1">IF(P41=0,VLOOKUP(D41,DATA!$P:$T,5,FALSE),INDIRECT(Q41))</f>
        <v>#N/A</v>
      </c>
      <c r="G41" s="150" t="e">
        <f t="array" aca="1" ref="G41" ca="1">IF(R41=0,VLOOKUP(E41,DATA!$P:$T,5,FALSE),INDIRECT(S41))</f>
        <v>#N/A</v>
      </c>
      <c r="H41" s="151" t="e">
        <f ca="1">G41/VLOOKUP(E41,DATA!$V:$W,2,FALSE)</f>
        <v>#N/A</v>
      </c>
      <c r="I41" s="148" t="e">
        <f t="shared" ca="1" si="6"/>
        <v>#N/A</v>
      </c>
      <c r="J41" s="152" t="e">
        <f t="shared" ca="1" si="7"/>
        <v>#N/A</v>
      </c>
      <c r="K41" s="151" t="e">
        <f ca="1">J41/VLOOKUP(E41,DATA!$V:$W,2,FALSE)</f>
        <v>#N/A</v>
      </c>
      <c r="L41" s="138"/>
      <c r="M41" s="162" t="s">
        <v>136</v>
      </c>
      <c r="N41" s="130"/>
      <c r="O41" s="132" t="s">
        <v>65</v>
      </c>
      <c r="P41" s="127" t="e">
        <f>VLOOKUP(N41,排序!C:I,7,0)</f>
        <v>#N/A</v>
      </c>
      <c r="Q41" s="128" t="str">
        <f t="shared" si="0"/>
        <v/>
      </c>
      <c r="R41" s="127" t="e">
        <f>VLOOKUP(N41,排序!C:Q,14,0)</f>
        <v>#N/A</v>
      </c>
      <c r="S41" s="128" t="str">
        <f t="shared" si="1"/>
        <v/>
      </c>
      <c r="U41" s="5" t="str">
        <f t="shared" si="12"/>
        <v>9H23</v>
      </c>
      <c r="V41" s="5" t="e">
        <f t="shared" si="13"/>
        <v>#N/A</v>
      </c>
      <c r="W41" s="5" t="str">
        <f t="shared" si="14"/>
        <v>9H#2DTR(A)</v>
      </c>
      <c r="X41" s="5" t="e">
        <f t="shared" si="15"/>
        <v>#N/A</v>
      </c>
    </row>
    <row r="42" spans="1:24" s="5" customFormat="1" ht="36" customHeight="1" thickBot="1" x14ac:dyDescent="0.3">
      <c r="A42" s="133"/>
      <c r="B42" s="156"/>
      <c r="C42" s="146"/>
      <c r="D42" s="157"/>
      <c r="E42" s="143"/>
      <c r="F42" s="146"/>
      <c r="G42" s="144"/>
      <c r="H42" s="145"/>
      <c r="I42" s="146"/>
      <c r="J42" s="147"/>
      <c r="K42" s="145"/>
      <c r="L42" s="139"/>
      <c r="M42" s="163"/>
      <c r="N42" s="134"/>
      <c r="O42" s="135"/>
      <c r="P42" s="127"/>
      <c r="Q42" s="128"/>
      <c r="R42" s="127"/>
      <c r="S42" s="128"/>
    </row>
    <row r="43" spans="1:24" ht="21" customHeight="1" x14ac:dyDescent="0.25">
      <c r="A43" s="412" t="s">
        <v>147</v>
      </c>
      <c r="B43" s="412"/>
      <c r="C43" s="412"/>
      <c r="D43" s="412"/>
      <c r="E43" s="412"/>
      <c r="F43" s="412"/>
      <c r="G43" s="412"/>
      <c r="H43" s="412"/>
      <c r="I43" s="412"/>
      <c r="J43" s="412"/>
      <c r="K43" s="412"/>
      <c r="L43" s="412"/>
      <c r="M43" s="412"/>
      <c r="N43" s="412"/>
      <c r="O43" s="412"/>
      <c r="P43" s="126"/>
      <c r="Q43" s="126"/>
      <c r="R43" s="126"/>
      <c r="S43" s="126"/>
    </row>
    <row r="44" spans="1:24" ht="21" customHeight="1" x14ac:dyDescent="0.25">
      <c r="A44" s="412" t="s">
        <v>148</v>
      </c>
      <c r="B44" s="412"/>
      <c r="C44" s="412"/>
      <c r="D44" s="412"/>
      <c r="E44" s="412"/>
      <c r="F44" s="412"/>
      <c r="G44" s="412"/>
      <c r="H44" s="412"/>
      <c r="I44" s="412"/>
      <c r="J44" s="412"/>
      <c r="K44" s="412"/>
      <c r="L44" s="412"/>
      <c r="M44" s="412"/>
      <c r="N44" s="412"/>
      <c r="O44" s="412"/>
      <c r="P44" s="126"/>
      <c r="Q44" s="126"/>
      <c r="R44" s="126"/>
      <c r="S44" s="126"/>
    </row>
    <row r="45" spans="1:24" ht="21" customHeight="1" x14ac:dyDescent="0.25">
      <c r="A45" s="413" t="s">
        <v>149</v>
      </c>
      <c r="B45" s="413"/>
      <c r="C45" s="413"/>
      <c r="D45" s="413"/>
      <c r="E45" s="413"/>
      <c r="F45" s="413"/>
      <c r="G45" s="413"/>
      <c r="H45" s="413"/>
      <c r="I45" s="413"/>
      <c r="J45" s="413"/>
      <c r="K45" s="413"/>
      <c r="L45" s="413"/>
      <c r="M45" s="413"/>
      <c r="N45" s="413"/>
      <c r="O45" s="413"/>
      <c r="P45" s="126"/>
      <c r="Q45" s="126"/>
      <c r="R45" s="126"/>
      <c r="S45" s="126"/>
    </row>
    <row r="46" spans="1:24" ht="15.75" thickBot="1" x14ac:dyDescent="0.3">
      <c r="A46" s="411"/>
      <c r="B46" s="411"/>
      <c r="C46" s="411"/>
      <c r="D46" s="411"/>
      <c r="E46" s="411"/>
      <c r="F46" s="411"/>
      <c r="G46" s="411"/>
      <c r="H46" s="411"/>
      <c r="I46" s="411"/>
      <c r="J46" s="411"/>
      <c r="K46" s="411"/>
      <c r="L46" s="411"/>
      <c r="M46" s="411"/>
      <c r="O46" s="37"/>
    </row>
    <row r="47" spans="1:24" ht="15" customHeight="1" x14ac:dyDescent="0.25">
      <c r="A47" s="37"/>
      <c r="B47" s="158"/>
      <c r="C47" s="158"/>
      <c r="D47" s="158"/>
      <c r="E47" s="158"/>
      <c r="F47" s="159"/>
      <c r="H47" s="398" t="s">
        <v>146</v>
      </c>
      <c r="I47" s="399"/>
      <c r="J47" s="399"/>
      <c r="K47" s="399"/>
      <c r="L47" s="399"/>
      <c r="M47" s="400"/>
      <c r="O47" s="37"/>
    </row>
    <row r="48" spans="1:24" ht="16.5" customHeight="1" x14ac:dyDescent="0.25">
      <c r="A48" s="37"/>
      <c r="B48" s="158"/>
      <c r="C48" s="158"/>
      <c r="D48" s="158"/>
      <c r="E48" s="158"/>
      <c r="F48" s="159"/>
      <c r="H48" s="401"/>
      <c r="I48" s="402"/>
      <c r="J48" s="402"/>
      <c r="K48" s="402"/>
      <c r="L48" s="402"/>
      <c r="M48" s="403"/>
      <c r="O48" s="37"/>
    </row>
    <row r="49" spans="1:13" s="38" customFormat="1" ht="20.25" customHeight="1" thickBot="1" x14ac:dyDescent="0.3">
      <c r="H49" s="404"/>
      <c r="I49" s="405"/>
      <c r="J49" s="405"/>
      <c r="K49" s="405"/>
      <c r="L49" s="405"/>
      <c r="M49" s="406"/>
    </row>
    <row r="51" spans="1:13" ht="19.5" x14ac:dyDescent="0.25">
      <c r="A51" s="38" t="s">
        <v>27</v>
      </c>
      <c r="B51" s="38"/>
      <c r="C51" s="39"/>
      <c r="D51" s="38" t="s">
        <v>25</v>
      </c>
      <c r="E51" s="40"/>
      <c r="F51" s="39"/>
      <c r="G51" s="39" t="s">
        <v>26</v>
      </c>
    </row>
    <row r="52" spans="1:13" ht="39" x14ac:dyDescent="0.25">
      <c r="L52" s="141" t="s">
        <v>66</v>
      </c>
      <c r="M52" s="164" t="s">
        <v>125</v>
      </c>
    </row>
    <row r="53" spans="1:13" ht="39" x14ac:dyDescent="0.25">
      <c r="L53" s="141" t="s">
        <v>67</v>
      </c>
      <c r="M53" s="164" t="s">
        <v>126</v>
      </c>
    </row>
    <row r="54" spans="1:13" ht="39" x14ac:dyDescent="0.25">
      <c r="L54" s="142" t="s">
        <v>71</v>
      </c>
      <c r="M54" s="164" t="s">
        <v>127</v>
      </c>
    </row>
    <row r="55" spans="1:13" ht="39" x14ac:dyDescent="0.25">
      <c r="L55" s="142"/>
      <c r="M55" s="164" t="s">
        <v>128</v>
      </c>
    </row>
    <row r="56" spans="1:13" ht="39" x14ac:dyDescent="0.25">
      <c r="L56" s="142"/>
      <c r="M56" s="164" t="s">
        <v>129</v>
      </c>
    </row>
    <row r="59" spans="1:13" ht="58.5" x14ac:dyDescent="0.25">
      <c r="M59" s="165" t="s">
        <v>130</v>
      </c>
    </row>
    <row r="61" spans="1:13" ht="19.5" x14ac:dyDescent="0.25">
      <c r="M61" s="166" t="s">
        <v>68</v>
      </c>
    </row>
    <row r="63" spans="1:13" ht="133.15" customHeight="1" x14ac:dyDescent="0.25">
      <c r="M63" s="167" t="s">
        <v>131</v>
      </c>
    </row>
  </sheetData>
  <autoFilter ref="A4:X46" xr:uid="{00000000-0009-0000-0000-000000000000}"/>
  <mergeCells count="22">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 ref="C1:D1"/>
    <mergeCell ref="B15:B17"/>
    <mergeCell ref="B18:B20"/>
    <mergeCell ref="B9:B10"/>
    <mergeCell ref="O3:O4"/>
    <mergeCell ref="L3:L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43</v>
      </c>
      <c r="F1" s="1" t="s">
        <v>24</v>
      </c>
      <c r="G1" s="4"/>
      <c r="H1" s="4"/>
      <c r="I1" s="4"/>
      <c r="J1" s="4"/>
      <c r="K1" s="4"/>
      <c r="L1" s="4"/>
      <c r="M1" s="4"/>
      <c r="N1" s="4"/>
    </row>
    <row r="2" spans="1:15" ht="28.5" thickBot="1" x14ac:dyDescent="0.3">
      <c r="A2" s="433" t="s">
        <v>2</v>
      </c>
      <c r="B2" s="433"/>
      <c r="C2" s="433"/>
      <c r="D2" s="433"/>
      <c r="E2" s="433"/>
      <c r="F2" s="433"/>
      <c r="G2" s="433"/>
      <c r="H2" s="433"/>
      <c r="I2" s="433"/>
      <c r="J2" s="433"/>
      <c r="K2" s="433"/>
      <c r="L2" s="433"/>
      <c r="M2" s="433"/>
      <c r="N2" s="433"/>
      <c r="O2" s="433"/>
    </row>
    <row r="3" spans="1:15" ht="16.149999999999999" customHeight="1" x14ac:dyDescent="0.25">
      <c r="A3" s="434" t="s">
        <v>15</v>
      </c>
      <c r="B3" s="436" t="s">
        <v>21</v>
      </c>
      <c r="C3" s="41"/>
      <c r="D3" s="436" t="s">
        <v>8</v>
      </c>
      <c r="E3" s="438"/>
      <c r="F3" s="439" t="s">
        <v>19</v>
      </c>
      <c r="G3" s="440"/>
      <c r="H3" s="440"/>
      <c r="I3" s="439" t="s">
        <v>20</v>
      </c>
      <c r="J3" s="440"/>
      <c r="K3" s="440"/>
      <c r="L3" s="455" t="s">
        <v>23</v>
      </c>
      <c r="M3" s="436" t="s">
        <v>9</v>
      </c>
      <c r="N3" s="445" t="s">
        <v>16</v>
      </c>
      <c r="O3" s="447" t="s">
        <v>22</v>
      </c>
    </row>
    <row r="4" spans="1:15" ht="60" customHeight="1" thickBot="1" x14ac:dyDescent="0.3">
      <c r="A4" s="435"/>
      <c r="B4" s="437"/>
      <c r="C4" s="82" t="s">
        <v>3</v>
      </c>
      <c r="D4" s="83" t="s">
        <v>11</v>
      </c>
      <c r="E4" s="84" t="s">
        <v>4</v>
      </c>
      <c r="F4" s="85" t="s">
        <v>13</v>
      </c>
      <c r="G4" s="84" t="s">
        <v>14</v>
      </c>
      <c r="H4" s="86" t="s">
        <v>12</v>
      </c>
      <c r="I4" s="85" t="s">
        <v>13</v>
      </c>
      <c r="J4" s="85" t="s">
        <v>14</v>
      </c>
      <c r="K4" s="86" t="s">
        <v>12</v>
      </c>
      <c r="L4" s="456"/>
      <c r="M4" s="457"/>
      <c r="N4" s="446"/>
      <c r="O4" s="448"/>
    </row>
    <row r="5" spans="1:15" ht="24.95" customHeight="1" x14ac:dyDescent="0.25">
      <c r="A5" s="29"/>
      <c r="B5" s="87" t="s">
        <v>28</v>
      </c>
      <c r="C5" s="42" t="e">
        <f>IF(B5="","",VLOOKUP(B5,#REF!,3,FALSE))</f>
        <v>#REF!</v>
      </c>
      <c r="D5" s="88" t="s">
        <v>44</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46</v>
      </c>
      <c r="M5" s="67"/>
      <c r="N5" s="67">
        <v>1</v>
      </c>
      <c r="O5" s="70" t="s">
        <v>5</v>
      </c>
    </row>
    <row r="6" spans="1:15" ht="50.25" customHeight="1" x14ac:dyDescent="0.25">
      <c r="A6" s="31" t="e">
        <f>IF(B5="","",VLOOKUP(B5,#REF!,4,FALSE))</f>
        <v>#REF!</v>
      </c>
      <c r="B6" s="81" t="s">
        <v>29</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30</v>
      </c>
      <c r="C7" s="13" t="e">
        <f>IF(B7="","",VLOOKUP(B7,#REF!,3,FALSE))</f>
        <v>#REF!</v>
      </c>
      <c r="D7" s="51"/>
      <c r="E7" s="89" t="s">
        <v>47</v>
      </c>
      <c r="F7" s="54"/>
      <c r="G7" s="57" t="e">
        <f>A12</f>
        <v>#REF!</v>
      </c>
      <c r="H7" s="97" t="e">
        <f>G7/VLOOKUP(A11,#REF!,5,FALSE)</f>
        <v>#REF!</v>
      </c>
      <c r="I7" s="54"/>
      <c r="J7" s="62" t="e">
        <f>C6+C7+C8+C9+G7</f>
        <v>#REF!</v>
      </c>
      <c r="K7" s="97" t="e">
        <f>J7/VLOOKUP(A11,#REF!,5,FALSE)</f>
        <v>#REF!</v>
      </c>
      <c r="L7" s="65" t="s">
        <v>48</v>
      </c>
      <c r="M7" s="68"/>
      <c r="N7" s="68">
        <v>2</v>
      </c>
      <c r="O7" s="92" t="s">
        <v>5</v>
      </c>
    </row>
    <row r="8" spans="1:15" ht="24.95" customHeight="1" x14ac:dyDescent="0.25">
      <c r="A8" s="31" t="e">
        <f>IF(A6="","",VLOOKUP(A6,#REF!,6,FALSE))</f>
        <v>#REF!</v>
      </c>
      <c r="B8" s="81" t="s">
        <v>31</v>
      </c>
      <c r="C8" s="13" t="e">
        <f>IF(B8="","",VLOOKUP(B8,#REF!,3,FALSE))</f>
        <v>#REF!</v>
      </c>
      <c r="D8" s="51"/>
      <c r="E8" s="51"/>
      <c r="F8" s="54"/>
      <c r="G8" s="57"/>
      <c r="H8" s="59"/>
      <c r="I8" s="54"/>
      <c r="J8" s="62"/>
      <c r="K8" s="59"/>
      <c r="L8" s="65"/>
      <c r="M8" s="68"/>
      <c r="N8" s="68"/>
      <c r="O8" s="71"/>
    </row>
    <row r="9" spans="1:15" ht="24.95" customHeight="1" thickBot="1" x14ac:dyDescent="0.3">
      <c r="A9" s="33"/>
      <c r="B9" s="90" t="s">
        <v>33</v>
      </c>
      <c r="C9" s="43" t="e">
        <f>IF(B9="","",VLOOKUP(B9,#REF!,3,FALSE))</f>
        <v>#REF!</v>
      </c>
      <c r="D9" s="52"/>
      <c r="E9" s="52"/>
      <c r="F9" s="55"/>
      <c r="G9" s="58"/>
      <c r="H9" s="60"/>
      <c r="I9" s="55"/>
      <c r="J9" s="63"/>
      <c r="K9" s="60"/>
      <c r="L9" s="66"/>
      <c r="M9" s="69"/>
      <c r="N9" s="69"/>
      <c r="O9" s="72"/>
    </row>
    <row r="10" spans="1:15" ht="41.25" customHeight="1" x14ac:dyDescent="0.25">
      <c r="A10" s="29"/>
      <c r="B10" s="87" t="s">
        <v>32</v>
      </c>
      <c r="C10" s="30">
        <v>4.26</v>
      </c>
      <c r="D10" s="50"/>
      <c r="E10" s="106" t="s">
        <v>49</v>
      </c>
      <c r="F10" s="53"/>
      <c r="G10" s="56" t="e">
        <f>A7</f>
        <v>#REF!</v>
      </c>
      <c r="H10" s="97" t="e">
        <f>G10/VLOOKUP(A6,#REF!,5,FALSE)</f>
        <v>#REF!</v>
      </c>
      <c r="I10" s="53"/>
      <c r="J10" s="61" t="e">
        <f>C10+C11+G10</f>
        <v>#REF!</v>
      </c>
      <c r="K10" s="97" t="e">
        <f>J10/VLOOKUP(A6,#REF!,5,FALSE)</f>
        <v>#REF!</v>
      </c>
      <c r="L10" s="98" t="s">
        <v>51</v>
      </c>
      <c r="M10" s="101"/>
      <c r="N10" s="44">
        <v>1</v>
      </c>
      <c r="O10" s="109" t="s">
        <v>5</v>
      </c>
    </row>
    <row r="11" spans="1:15" ht="24.95" customHeight="1" x14ac:dyDescent="0.25">
      <c r="A11" s="31" t="e">
        <f>IF(B10="","",VLOOKUP(B10,#REF!,4,FALSE))</f>
        <v>#REF!</v>
      </c>
      <c r="B11" s="81" t="s">
        <v>35</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34</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36</v>
      </c>
      <c r="C13" s="13" t="e">
        <f>IF(B13="","",VLOOKUP(B13,#REF!,3,FALSE))</f>
        <v>#REF!</v>
      </c>
      <c r="D13" s="51"/>
      <c r="E13" s="89" t="s">
        <v>50</v>
      </c>
      <c r="F13" s="54"/>
      <c r="G13" s="57" t="e">
        <f>A17</f>
        <v>#REF!</v>
      </c>
      <c r="H13" s="97" t="e">
        <f>G13/VLOOKUP(A16,#REF!,5,FALSE)</f>
        <v>#REF!</v>
      </c>
      <c r="I13" s="54"/>
      <c r="J13" s="62" t="e">
        <f>C12+C13+C14+G13</f>
        <v>#REF!</v>
      </c>
      <c r="K13" s="97" t="e">
        <f>J13/VLOOKUP(A16,#REF!,5,FALSE)</f>
        <v>#REF!</v>
      </c>
      <c r="L13" s="99" t="s">
        <v>52</v>
      </c>
      <c r="M13" s="102"/>
      <c r="N13" s="45">
        <v>2</v>
      </c>
      <c r="O13" s="110" t="s">
        <v>5</v>
      </c>
    </row>
    <row r="14" spans="1:15" ht="24.95" customHeight="1" thickBot="1" x14ac:dyDescent="0.3">
      <c r="A14" s="33"/>
      <c r="B14" s="91" t="s">
        <v>37</v>
      </c>
      <c r="C14" s="34" t="e">
        <f>IF(B14="","",VLOOKUP(B14,#REF!,3,FALSE))</f>
        <v>#REF!</v>
      </c>
      <c r="D14" s="52"/>
      <c r="E14" s="52"/>
      <c r="F14" s="55"/>
      <c r="G14" s="58"/>
      <c r="H14" s="60"/>
      <c r="I14" s="55"/>
      <c r="J14" s="63"/>
      <c r="K14" s="60"/>
      <c r="L14" s="100"/>
      <c r="M14" s="103"/>
      <c r="N14" s="46"/>
      <c r="O14" s="49"/>
    </row>
    <row r="15" spans="1:15" ht="24.95" customHeight="1" x14ac:dyDescent="0.25">
      <c r="A15" s="29"/>
      <c r="B15" s="87" t="s">
        <v>38</v>
      </c>
      <c r="C15" s="30" t="e">
        <f>IF(B15="","",VLOOKUP(B15,#REF!,3,FALSE))</f>
        <v>#REF!</v>
      </c>
      <c r="D15" s="441"/>
      <c r="E15" s="420" t="s">
        <v>47</v>
      </c>
      <c r="F15" s="426"/>
      <c r="G15" s="423" t="e">
        <f>A12</f>
        <v>#REF!</v>
      </c>
      <c r="H15" s="442" t="e">
        <f>G15/VLOOKUP(A11,#REF!,5,FALSE)</f>
        <v>#REF!</v>
      </c>
      <c r="I15" s="426"/>
      <c r="J15" s="426" t="e">
        <f>C15+C16+C17+C18+C19+G15</f>
        <v>#REF!</v>
      </c>
      <c r="K15" s="449" t="e">
        <f>J13/VLOOKUP(A11,#REF!,5,FALSE)</f>
        <v>#REF!</v>
      </c>
      <c r="L15" s="452" t="s">
        <v>52</v>
      </c>
      <c r="M15" s="429"/>
      <c r="N15" s="44"/>
      <c r="O15" s="47"/>
    </row>
    <row r="16" spans="1:15" ht="46.5" customHeight="1" x14ac:dyDescent="0.25">
      <c r="A16" s="31" t="e">
        <f>IF(B15="","",VLOOKUP(B15,#REF!,4,FALSE))</f>
        <v>#REF!</v>
      </c>
      <c r="B16" s="81" t="s">
        <v>39</v>
      </c>
      <c r="C16" s="13" t="e">
        <f>IF(B16="","",VLOOKUP(B16,#REF!,3,FALSE))</f>
        <v>#REF!</v>
      </c>
      <c r="D16" s="421"/>
      <c r="E16" s="421"/>
      <c r="F16" s="427"/>
      <c r="G16" s="424"/>
      <c r="H16" s="443"/>
      <c r="I16" s="427"/>
      <c r="J16" s="427"/>
      <c r="K16" s="450"/>
      <c r="L16" s="453"/>
      <c r="M16" s="430"/>
      <c r="N16" s="45"/>
      <c r="O16" s="48"/>
    </row>
    <row r="17" spans="1:15" ht="24.95" customHeight="1" x14ac:dyDescent="0.25">
      <c r="A17" s="32" t="e">
        <f>IF(A16="","",VLOOKUP(A16,#REF!,3,FALSE))</f>
        <v>#REF!</v>
      </c>
      <c r="B17" s="81" t="s">
        <v>40</v>
      </c>
      <c r="C17" s="13" t="e">
        <f>IF(B17="","",VLOOKUP(B17,#REF!,3,FALSE))</f>
        <v>#REF!</v>
      </c>
      <c r="D17" s="421"/>
      <c r="E17" s="421"/>
      <c r="F17" s="427"/>
      <c r="G17" s="424"/>
      <c r="H17" s="443"/>
      <c r="I17" s="427"/>
      <c r="J17" s="427"/>
      <c r="K17" s="450"/>
      <c r="L17" s="453"/>
      <c r="M17" s="430"/>
      <c r="N17" s="45">
        <v>1</v>
      </c>
      <c r="O17" s="110" t="s">
        <v>5</v>
      </c>
    </row>
    <row r="18" spans="1:15" ht="24.95" customHeight="1" x14ac:dyDescent="0.25">
      <c r="A18" s="31" t="e">
        <f>IF(A16="","",VLOOKUP(A16,#REF!,6,FALSE))</f>
        <v>#REF!</v>
      </c>
      <c r="B18" s="81" t="s">
        <v>41</v>
      </c>
      <c r="C18" s="13" t="e">
        <f>IF(B18="","",VLOOKUP(B18,#REF!,3,FALSE))</f>
        <v>#REF!</v>
      </c>
      <c r="D18" s="421"/>
      <c r="E18" s="421"/>
      <c r="F18" s="427"/>
      <c r="G18" s="424"/>
      <c r="H18" s="443"/>
      <c r="I18" s="427"/>
      <c r="J18" s="427"/>
      <c r="K18" s="450"/>
      <c r="L18" s="453"/>
      <c r="M18" s="430"/>
      <c r="N18" s="45"/>
      <c r="O18" s="48"/>
    </row>
    <row r="19" spans="1:15" ht="24.95" customHeight="1" thickBot="1" x14ac:dyDescent="0.3">
      <c r="A19" s="33"/>
      <c r="B19" s="91" t="s">
        <v>42</v>
      </c>
      <c r="C19" s="34" t="e">
        <f>IF(B19="","",VLOOKUP(B19,#REF!,3,FALSE))</f>
        <v>#REF!</v>
      </c>
      <c r="D19" s="422"/>
      <c r="E19" s="422"/>
      <c r="F19" s="428"/>
      <c r="G19" s="425"/>
      <c r="H19" s="444"/>
      <c r="I19" s="428"/>
      <c r="J19" s="428"/>
      <c r="K19" s="451"/>
      <c r="L19" s="454"/>
      <c r="M19" s="431"/>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18" t="s">
        <v>45</v>
      </c>
      <c r="B25" s="419"/>
      <c r="C25" s="419"/>
      <c r="D25" s="419"/>
      <c r="E25" s="419"/>
      <c r="F25" s="419"/>
      <c r="G25" s="419"/>
      <c r="H25" s="419"/>
      <c r="I25" s="419"/>
      <c r="J25" s="419"/>
      <c r="K25" s="419"/>
      <c r="L25" s="419"/>
      <c r="M25" s="419"/>
      <c r="N25" s="419"/>
      <c r="O25" s="419"/>
    </row>
    <row r="26" spans="1:15" ht="16.5" x14ac:dyDescent="0.25">
      <c r="A26" s="419" t="s">
        <v>6</v>
      </c>
      <c r="B26" s="419"/>
      <c r="C26" s="419"/>
      <c r="D26" s="419"/>
      <c r="E26" s="419"/>
      <c r="F26" s="419"/>
      <c r="G26" s="419"/>
      <c r="H26" s="419"/>
      <c r="I26" s="419"/>
      <c r="J26" s="419"/>
      <c r="K26" s="419"/>
      <c r="L26" s="419"/>
      <c r="M26" s="419"/>
      <c r="N26" s="419"/>
      <c r="O26" s="419"/>
    </row>
    <row r="27" spans="1:15" x14ac:dyDescent="0.25">
      <c r="A27" s="432" t="s">
        <v>7</v>
      </c>
      <c r="B27" s="432"/>
      <c r="C27" s="432"/>
      <c r="D27" s="432"/>
      <c r="E27" s="432"/>
      <c r="F27" s="432"/>
      <c r="G27" s="432"/>
      <c r="H27" s="432"/>
      <c r="I27" s="432"/>
      <c r="J27" s="432"/>
      <c r="K27" s="432"/>
      <c r="L27" s="432"/>
      <c r="M27" s="432"/>
      <c r="N27" s="21"/>
      <c r="O27" s="20"/>
    </row>
    <row r="28" spans="1:15" ht="16.5" x14ac:dyDescent="0.25">
      <c r="A28" s="419" t="s">
        <v>0</v>
      </c>
      <c r="B28" s="419"/>
      <c r="C28" s="419"/>
      <c r="D28" s="419"/>
      <c r="E28" s="419"/>
      <c r="F28" s="419"/>
      <c r="G28" s="419"/>
      <c r="H28" s="419"/>
      <c r="I28" s="419"/>
      <c r="J28" s="419"/>
      <c r="K28" s="419"/>
      <c r="L28" s="419"/>
      <c r="M28" s="419"/>
      <c r="O28" s="20"/>
    </row>
    <row r="29" spans="1:15" x14ac:dyDescent="0.25">
      <c r="A29" s="20"/>
      <c r="B29" s="20"/>
      <c r="C29" s="20"/>
      <c r="D29" s="20"/>
      <c r="F29" s="20"/>
      <c r="G29" s="20"/>
      <c r="H29" s="20"/>
      <c r="I29" s="20"/>
      <c r="J29" s="20"/>
      <c r="K29" s="20"/>
      <c r="L29" s="20"/>
      <c r="M29" s="20"/>
      <c r="O29" s="20"/>
    </row>
    <row r="30" spans="1:15" s="24" customFormat="1" ht="19.5" x14ac:dyDescent="0.25">
      <c r="A30" s="24" t="s">
        <v>27</v>
      </c>
      <c r="C30" s="25"/>
      <c r="D30" s="24" t="s">
        <v>25</v>
      </c>
      <c r="E30" s="26"/>
      <c r="F30" s="25"/>
      <c r="G30" s="25" t="s">
        <v>26</v>
      </c>
      <c r="H30" s="27"/>
      <c r="I30" s="25"/>
      <c r="J30" s="25"/>
      <c r="K30" s="27"/>
      <c r="M30" s="28"/>
    </row>
  </sheetData>
  <mergeCells count="24">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 ref="A25:O25"/>
    <mergeCell ref="A26:O26"/>
    <mergeCell ref="E15:E19"/>
    <mergeCell ref="G15:G19"/>
    <mergeCell ref="F15:F19"/>
    <mergeCell ref="M15:M19"/>
    <mergeCell ref="I15:I19"/>
    <mergeCell ref="J15:J19"/>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3"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zoomScale="70" zoomScaleNormal="70" workbookViewId="0">
      <pane xSplit="11" ySplit="2" topLeftCell="L3" activePane="bottomRight" state="frozen"/>
      <selection pane="topRight" activeCell="L1" sqref="L1"/>
      <selection pane="bottomLeft" activeCell="A3" sqref="A3"/>
      <selection pane="bottomRight" activeCell="M11" sqref="M11"/>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1" customWidth="1"/>
    <col min="17" max="17" width="9.875" style="111" customWidth="1"/>
    <col min="18" max="18" width="10.75" style="112" customWidth="1"/>
    <col min="19" max="20" width="9.875" style="111" customWidth="1"/>
    <col min="21" max="21" width="11.625" style="111" customWidth="1"/>
    <col min="22" max="22" width="11.125" bestFit="1" customWidth="1"/>
    <col min="23" max="23" width="10.375" bestFit="1" customWidth="1"/>
    <col min="24" max="24" width="9.625" bestFit="1" customWidth="1"/>
    <col min="27" max="27" width="9.625" bestFit="1" customWidth="1"/>
  </cols>
  <sheetData>
    <row r="1" spans="1:26" x14ac:dyDescent="0.25">
      <c r="A1" s="460" t="s">
        <v>968</v>
      </c>
      <c r="B1" s="384" t="s">
        <v>970</v>
      </c>
      <c r="C1" s="458" t="s">
        <v>172</v>
      </c>
      <c r="D1" s="459"/>
      <c r="E1" s="458" t="s">
        <v>971</v>
      </c>
      <c r="F1" s="459"/>
      <c r="G1" s="458" t="s">
        <v>173</v>
      </c>
      <c r="H1" s="459"/>
      <c r="I1" s="462" t="s">
        <v>53</v>
      </c>
      <c r="J1" s="458" t="s">
        <v>54</v>
      </c>
      <c r="K1" s="459"/>
      <c r="N1" s="111" t="s">
        <v>169</v>
      </c>
      <c r="O1" s="381">
        <v>45485</v>
      </c>
      <c r="P1" s="111" t="str">
        <f t="shared" ref="P1:P2" si="0">IF(COUNTIF(B3,"*TR*")&gt;0,SUBSTITUTE(RIGHT(TRIM(A3),2) &amp; B3," ",""),MID(B3,FIND("(",B3)+1,4))</f>
        <v>IW#1MTR</v>
      </c>
      <c r="Q1" s="111">
        <f t="shared" ref="Q1" si="1">VALUE(I3)</f>
        <v>351</v>
      </c>
      <c r="R1" s="112">
        <f t="shared" ref="R1:R2" si="2">AVERAGE(C3*1,E3*1,G3*1)</f>
        <v>333.33333333333331</v>
      </c>
      <c r="S1" s="111">
        <f t="shared" ref="S1:S2" si="3">MIN(C3*1,E3*1,G3*1)</f>
        <v>323</v>
      </c>
      <c r="T1" s="111">
        <f t="shared" ref="T1:T2" ca="1" si="4">IF(LEFT(TRIM(B3),1)="#",ROUND(OFFSET(X3,1,0,1,1)*Y3*SQRT(3)/1000,2),ROUND(Q3*X3*SQRT(3)/1000,2))</f>
        <v>6.93</v>
      </c>
      <c r="U1" s="111">
        <f t="shared" ref="U1:U2" si="5">IF(ISNUMBER(FIND("#",B3)),ROW(),"")</f>
        <v>1</v>
      </c>
      <c r="W1">
        <f t="shared" ref="W1:W2" ca="1" si="6">IF(LEFT(TRIM(B3),1)="#",IF(ISNUMBER(FIND("DTR",B3)),IF(MID(OFFSET(P3,1,0,1,1),3,1)*1&lt;5,30,60),25),"")</f>
        <v>25</v>
      </c>
      <c r="X1" t="str">
        <f t="shared" ref="X1:X2" si="7">IF(LEFT(TRIM(B3),1)= "#","",IF(MID(P3,3,1)*1&lt;5,11.4,22.8))</f>
        <v/>
      </c>
    </row>
    <row r="2" spans="1:26" x14ac:dyDescent="0.25">
      <c r="A2" s="461"/>
      <c r="B2" s="385" t="s">
        <v>969</v>
      </c>
      <c r="C2" s="386" t="s">
        <v>170</v>
      </c>
      <c r="D2" s="386" t="s">
        <v>171</v>
      </c>
      <c r="E2" s="386" t="s">
        <v>170</v>
      </c>
      <c r="F2" s="386" t="s">
        <v>171</v>
      </c>
      <c r="G2" s="386" t="s">
        <v>170</v>
      </c>
      <c r="H2" s="386" t="s">
        <v>171</v>
      </c>
      <c r="I2" s="461"/>
      <c r="J2" s="386" t="s">
        <v>17</v>
      </c>
      <c r="K2" s="386" t="s">
        <v>18</v>
      </c>
      <c r="L2" s="113" t="s">
        <v>55</v>
      </c>
      <c r="M2" s="113" t="s">
        <v>64</v>
      </c>
      <c r="N2" s="113" t="s">
        <v>55</v>
      </c>
      <c r="O2" s="113" t="s">
        <v>55</v>
      </c>
      <c r="P2" s="113" t="str">
        <f t="shared" si="0"/>
        <v>IW22</v>
      </c>
      <c r="Q2" s="113" t="s">
        <v>56</v>
      </c>
      <c r="R2" s="114">
        <f t="shared" si="2"/>
        <v>94.333333333333329</v>
      </c>
      <c r="S2" s="113">
        <f t="shared" si="3"/>
        <v>83</v>
      </c>
      <c r="T2" s="121">
        <f t="shared" ca="1" si="4"/>
        <v>1.97</v>
      </c>
      <c r="U2" s="122" t="str">
        <f t="shared" si="5"/>
        <v/>
      </c>
      <c r="V2" s="123" t="s">
        <v>63</v>
      </c>
      <c r="W2" s="120" t="str">
        <f t="shared" ca="1" si="6"/>
        <v/>
      </c>
      <c r="X2" s="120">
        <f t="shared" si="7"/>
        <v>11.4</v>
      </c>
      <c r="Z2" s="121"/>
    </row>
    <row r="3" spans="1:26" x14ac:dyDescent="0.25">
      <c r="A3" s="118" t="s">
        <v>174</v>
      </c>
      <c r="B3" s="119" t="s">
        <v>175</v>
      </c>
      <c r="C3" s="119">
        <v>351</v>
      </c>
      <c r="D3" s="118" t="s">
        <v>176</v>
      </c>
      <c r="E3" s="118">
        <v>323</v>
      </c>
      <c r="F3" s="118" t="s">
        <v>177</v>
      </c>
      <c r="G3" s="118">
        <v>326</v>
      </c>
      <c r="H3" s="118" t="s">
        <v>177</v>
      </c>
      <c r="I3" s="118">
        <v>351</v>
      </c>
      <c r="J3" s="117"/>
      <c r="L3" t="str">
        <f t="shared" ref="L3:L66" si="8">IF(COUNTIF(B3,"*TR*")&gt;0,SUBSTITUTE(RIGHT(TRIM(A3),2) &amp; B3," ",""),MID(B3,FIND("(",B3)+1,4))</f>
        <v>IW#1MTR</v>
      </c>
      <c r="M3" t="str">
        <f>IF(LEFT(B3,1)="#",IF(LEN(B3)&lt;&gt;5,MID(B3,6,3),""),"")</f>
        <v/>
      </c>
      <c r="N3" t="str">
        <f>IF(LEFT(B3,1)="#",IF(LEN(B3)=5,RIGHT(A3,2)&amp;B3,RIGHT(A3,2)&amp;LEFT(B3,2)&amp;"DTR"),"")</f>
        <v>IW#1MTR</v>
      </c>
      <c r="O3" t="str">
        <f>IF(LEFT(B3,1)="#",IF(LEN(B3)&lt;&gt;5,IF(LEN(B3)&lt;&gt;7,MID(B3,6,3),"("&amp;MID(B3,3,2)&amp;")"),""),"")</f>
        <v/>
      </c>
      <c r="P3" s="113" t="str">
        <f t="shared" ref="P3:P66" si="9">IF(COUNTIF(B3,"*TR*")&gt;0,SUBSTITUTE(RIGHT(TRIM(A3),2) &amp; B3," ",""),MID(B3,FIND("(",B3)+1,4))</f>
        <v>IW#1MTR</v>
      </c>
      <c r="Q3" s="114">
        <f t="shared" ref="Q3:Q66" si="10">VALUE(I3)</f>
        <v>351</v>
      </c>
      <c r="R3" s="114">
        <f t="shared" ref="R3:R66" si="11">AVERAGE(C3*1,E3*1,G3*1)</f>
        <v>333.33333333333331</v>
      </c>
      <c r="S3" s="113">
        <f t="shared" ref="S3:S66" si="12">MIN(C3*1,E3*1,G3*1)</f>
        <v>323</v>
      </c>
      <c r="T3" s="111">
        <f t="shared" ref="T3:T66" ca="1" si="13">IF(LEFT(TRIM(B3),1)="#",ROUND(OFFSET(X3,1,0,1,1)*Y3*SQRT(3)/1000,2),ROUND(Q3*X3*SQRT(3)/1000,2))</f>
        <v>6.93</v>
      </c>
      <c r="U3" s="111">
        <f t="shared" ref="U3:U66" si="14">IF(ISNUMBER(FIND("#",B3)),ROW(),"")</f>
        <v>3</v>
      </c>
      <c r="V3" t="str">
        <f t="array" ref="V3">INDEX(P:P,MAX(U$3:U3))</f>
        <v>IW#1MTR</v>
      </c>
      <c r="W3">
        <f t="shared" ref="W3:W66" ca="1" si="15">IF(LEFT(TRIM(B3),1)="#",IF(ISNUMBER(FIND("DTR",B3)),IF(MID(OFFSET(P3,1,0,1,1),3,1)*1&lt;5,30,60),25),"")</f>
        <v>25</v>
      </c>
      <c r="X3" t="str">
        <f t="shared" ref="X3:X66" si="16">IF(LEFT(TRIM(B3),1)= "#","",IF(MID(P3,3,1)*1&lt;5,11.4,22.8))</f>
        <v/>
      </c>
      <c r="Y3">
        <f>SUMIF(L:L,L3,I:I)</f>
        <v>351</v>
      </c>
      <c r="Z3" t="str">
        <f>LEFT(A3,2)</f>
        <v>二水</v>
      </c>
    </row>
    <row r="4" spans="1:26" x14ac:dyDescent="0.25">
      <c r="A4" s="118" t="s">
        <v>174</v>
      </c>
      <c r="B4" s="119" t="s">
        <v>178</v>
      </c>
      <c r="C4" s="119">
        <v>83</v>
      </c>
      <c r="D4" s="118" t="s">
        <v>176</v>
      </c>
      <c r="E4" s="118">
        <v>100</v>
      </c>
      <c r="F4" s="118" t="s">
        <v>179</v>
      </c>
      <c r="G4" s="118">
        <v>100</v>
      </c>
      <c r="H4" s="118" t="s">
        <v>177</v>
      </c>
      <c r="I4" s="378">
        <v>100</v>
      </c>
      <c r="J4" s="117">
        <v>36</v>
      </c>
      <c r="K4" s="117" t="s">
        <v>180</v>
      </c>
      <c r="L4" t="str">
        <f t="shared" si="8"/>
        <v>IW22</v>
      </c>
      <c r="M4" t="str">
        <f t="shared" ref="M4:M67" si="17">IF(LEFT(B4,1)="#",IF(LEN(B4)&lt;&gt;5,MID(B4,6,3),""),"")</f>
        <v/>
      </c>
      <c r="N4" t="str">
        <f t="shared" ref="N4:N6" si="18">IF(LEFT(B4,1)="#",IF(LEN(B4)=5,RIGHT(A4,2)&amp;B4,RIGHT(A4,2)&amp;LEFT(B4,2)&amp;"DTR"),"")</f>
        <v/>
      </c>
      <c r="O4" t="str">
        <f t="shared" ref="O4:O67" si="19">IF(LEFT(B4,1)="#",IF(LEN(B4)&lt;&gt;5,IF(LEN(B4)&lt;&gt;7,MID(B4,6,3),"("&amp;MID(B4,3,2)&amp;")"),""),"")</f>
        <v/>
      </c>
      <c r="P4" s="113" t="str">
        <f t="shared" si="9"/>
        <v>IW22</v>
      </c>
      <c r="Q4" s="114">
        <f t="shared" si="10"/>
        <v>100</v>
      </c>
      <c r="R4" s="114">
        <f t="shared" si="11"/>
        <v>94.333333333333329</v>
      </c>
      <c r="S4" s="113">
        <f t="shared" si="12"/>
        <v>83</v>
      </c>
      <c r="T4" s="111">
        <f t="shared" ca="1" si="13"/>
        <v>1.97</v>
      </c>
      <c r="U4" s="111" t="str">
        <f t="shared" si="14"/>
        <v/>
      </c>
      <c r="V4" t="str">
        <f t="array" ref="V4">INDEX(P:P,MAX(U$3:U4))</f>
        <v>IW#1MTR</v>
      </c>
      <c r="W4" t="str">
        <f t="shared" ca="1" si="15"/>
        <v/>
      </c>
      <c r="X4">
        <f t="shared" si="16"/>
        <v>11.4</v>
      </c>
      <c r="Y4">
        <f t="shared" ref="Y4:Y66" si="20">SUMIF(L:L,L4,I:I)</f>
        <v>100</v>
      </c>
      <c r="Z4" t="str">
        <f t="shared" ref="Z4:Z67" si="21">LEFT(A4,2)</f>
        <v>二水</v>
      </c>
    </row>
    <row r="5" spans="1:26" x14ac:dyDescent="0.25">
      <c r="A5" s="118" t="s">
        <v>174</v>
      </c>
      <c r="B5" s="119" t="s">
        <v>181</v>
      </c>
      <c r="C5" s="119">
        <v>21</v>
      </c>
      <c r="D5" s="118" t="s">
        <v>176</v>
      </c>
      <c r="E5" s="118">
        <v>9</v>
      </c>
      <c r="F5" s="118" t="s">
        <v>177</v>
      </c>
      <c r="G5" s="118">
        <v>19</v>
      </c>
      <c r="H5" s="118" t="s">
        <v>177</v>
      </c>
      <c r="I5" s="378">
        <v>21</v>
      </c>
      <c r="J5" s="117">
        <v>13</v>
      </c>
      <c r="K5" s="117" t="s">
        <v>176</v>
      </c>
      <c r="L5" t="str">
        <f t="shared" si="8"/>
        <v>IW26</v>
      </c>
      <c r="M5" t="str">
        <f t="shared" si="17"/>
        <v/>
      </c>
      <c r="N5" t="str">
        <f t="shared" si="18"/>
        <v/>
      </c>
      <c r="O5" t="str">
        <f t="shared" si="19"/>
        <v/>
      </c>
      <c r="P5" s="113" t="str">
        <f t="shared" si="9"/>
        <v>IW26</v>
      </c>
      <c r="Q5" s="114">
        <f t="shared" si="10"/>
        <v>21</v>
      </c>
      <c r="R5" s="114">
        <f t="shared" si="11"/>
        <v>16.333333333333332</v>
      </c>
      <c r="S5" s="113">
        <f t="shared" si="12"/>
        <v>9</v>
      </c>
      <c r="T5" s="111">
        <f t="shared" ca="1" si="13"/>
        <v>0.41</v>
      </c>
      <c r="U5" s="111" t="str">
        <f t="shared" si="14"/>
        <v/>
      </c>
      <c r="V5" t="str">
        <f t="array" ref="V5">INDEX(P:P,MAX(U$3:U5))</f>
        <v>IW#1MTR</v>
      </c>
      <c r="W5" t="str">
        <f t="shared" ca="1" si="15"/>
        <v/>
      </c>
      <c r="X5">
        <f t="shared" si="16"/>
        <v>11.4</v>
      </c>
      <c r="Y5">
        <f t="shared" si="20"/>
        <v>21</v>
      </c>
      <c r="Z5" t="str">
        <f t="shared" si="21"/>
        <v>二水</v>
      </c>
    </row>
    <row r="6" spans="1:26" x14ac:dyDescent="0.25">
      <c r="A6" s="118" t="s">
        <v>174</v>
      </c>
      <c r="B6" s="119" t="s">
        <v>182</v>
      </c>
      <c r="C6" s="119">
        <v>81</v>
      </c>
      <c r="D6" s="118" t="s">
        <v>183</v>
      </c>
      <c r="E6" s="118">
        <v>94</v>
      </c>
      <c r="F6" s="118" t="s">
        <v>183</v>
      </c>
      <c r="G6" s="118">
        <v>78</v>
      </c>
      <c r="H6" s="118" t="s">
        <v>183</v>
      </c>
      <c r="I6" s="378">
        <v>94</v>
      </c>
      <c r="J6" s="117">
        <v>48</v>
      </c>
      <c r="K6" s="117" t="s">
        <v>184</v>
      </c>
      <c r="L6" t="str">
        <f t="shared" si="8"/>
        <v>IW25</v>
      </c>
      <c r="M6" t="str">
        <f t="shared" si="17"/>
        <v/>
      </c>
      <c r="N6" t="str">
        <f t="shared" si="18"/>
        <v/>
      </c>
      <c r="O6" t="str">
        <f t="shared" si="19"/>
        <v/>
      </c>
      <c r="P6" s="113" t="str">
        <f t="shared" si="9"/>
        <v>IW25</v>
      </c>
      <c r="Q6" s="114">
        <f t="shared" si="10"/>
        <v>94</v>
      </c>
      <c r="R6" s="114">
        <f t="shared" si="11"/>
        <v>84.333333333333329</v>
      </c>
      <c r="S6" s="113">
        <f t="shared" si="12"/>
        <v>78</v>
      </c>
      <c r="T6" s="111">
        <f t="shared" ca="1" si="13"/>
        <v>1.86</v>
      </c>
      <c r="U6" s="111" t="str">
        <f t="shared" si="14"/>
        <v/>
      </c>
      <c r="V6" t="str">
        <f t="array" ref="V6">INDEX(P:P,MAX(U$3:U6))</f>
        <v>IW#1MTR</v>
      </c>
      <c r="W6" t="str">
        <f t="shared" ca="1" si="15"/>
        <v/>
      </c>
      <c r="X6">
        <f t="shared" si="16"/>
        <v>11.4</v>
      </c>
      <c r="Y6">
        <f t="shared" si="20"/>
        <v>94</v>
      </c>
      <c r="Z6" t="str">
        <f t="shared" si="21"/>
        <v>二水</v>
      </c>
    </row>
    <row r="7" spans="1:26" x14ac:dyDescent="0.25">
      <c r="A7" s="118" t="s">
        <v>174</v>
      </c>
      <c r="B7" s="119" t="s">
        <v>185</v>
      </c>
      <c r="C7" s="119">
        <v>21</v>
      </c>
      <c r="D7" s="118" t="s">
        <v>176</v>
      </c>
      <c r="E7" s="118">
        <v>22</v>
      </c>
      <c r="F7" s="118" t="s">
        <v>179</v>
      </c>
      <c r="G7" s="118">
        <v>10</v>
      </c>
      <c r="H7" s="118" t="s">
        <v>180</v>
      </c>
      <c r="I7" s="378">
        <v>22</v>
      </c>
      <c r="J7" s="117">
        <v>15</v>
      </c>
      <c r="K7" s="117" t="s">
        <v>176</v>
      </c>
      <c r="L7" t="str">
        <f t="shared" si="8"/>
        <v>IW24</v>
      </c>
      <c r="M7" t="str">
        <f t="shared" si="17"/>
        <v/>
      </c>
      <c r="N7" t="str">
        <f t="shared" ref="N7:N67" si="22">IF(LEFT(B7,1)="#",IF(LEN(B7)=5,RIGHT(A7,2)&amp;B7,RIGHT(A7,2)&amp;LEFT(B7,2)&amp;"DTR"),"")</f>
        <v/>
      </c>
      <c r="O7" t="str">
        <f t="shared" si="19"/>
        <v/>
      </c>
      <c r="P7" s="113" t="str">
        <f t="shared" si="9"/>
        <v>IW24</v>
      </c>
      <c r="Q7" s="114">
        <f t="shared" si="10"/>
        <v>22</v>
      </c>
      <c r="R7" s="114">
        <f t="shared" si="11"/>
        <v>17.666666666666668</v>
      </c>
      <c r="S7" s="113">
        <f t="shared" si="12"/>
        <v>10</v>
      </c>
      <c r="T7" s="111">
        <f t="shared" ca="1" si="13"/>
        <v>0.43</v>
      </c>
      <c r="U7" s="111" t="str">
        <f t="shared" si="14"/>
        <v/>
      </c>
      <c r="V7" t="str">
        <f t="array" ref="V7">INDEX(P:P,MAX(U$3:U7))</f>
        <v>IW#1MTR</v>
      </c>
      <c r="W7" t="str">
        <f t="shared" ca="1" si="15"/>
        <v/>
      </c>
      <c r="X7">
        <f t="shared" si="16"/>
        <v>11.4</v>
      </c>
      <c r="Y7">
        <f t="shared" si="20"/>
        <v>22</v>
      </c>
      <c r="Z7" t="str">
        <f t="shared" si="21"/>
        <v>二水</v>
      </c>
    </row>
    <row r="8" spans="1:26" x14ac:dyDescent="0.25">
      <c r="A8" s="118" t="s">
        <v>174</v>
      </c>
      <c r="B8" s="119" t="s">
        <v>186</v>
      </c>
      <c r="C8" s="119">
        <v>155</v>
      </c>
      <c r="D8" s="118" t="s">
        <v>177</v>
      </c>
      <c r="E8" s="118">
        <v>146</v>
      </c>
      <c r="F8" s="118" t="s">
        <v>177</v>
      </c>
      <c r="G8" s="118">
        <v>135</v>
      </c>
      <c r="H8" s="118" t="s">
        <v>176</v>
      </c>
      <c r="I8" s="378">
        <v>155</v>
      </c>
      <c r="J8" s="117">
        <v>27</v>
      </c>
      <c r="K8" s="117" t="s">
        <v>176</v>
      </c>
      <c r="L8" t="str">
        <f t="shared" si="8"/>
        <v>IW29</v>
      </c>
      <c r="M8" t="str">
        <f t="shared" si="17"/>
        <v/>
      </c>
      <c r="N8" t="str">
        <f t="shared" si="22"/>
        <v/>
      </c>
      <c r="O8" t="str">
        <f t="shared" si="19"/>
        <v/>
      </c>
      <c r="P8" s="113" t="str">
        <f t="shared" si="9"/>
        <v>IW29</v>
      </c>
      <c r="Q8" s="114">
        <f t="shared" si="10"/>
        <v>155</v>
      </c>
      <c r="R8" s="114">
        <f t="shared" si="11"/>
        <v>145.33333333333334</v>
      </c>
      <c r="S8" s="113">
        <f t="shared" si="12"/>
        <v>135</v>
      </c>
      <c r="T8" s="111">
        <f t="shared" ca="1" si="13"/>
        <v>3.06</v>
      </c>
      <c r="U8" s="111" t="str">
        <f t="shared" si="14"/>
        <v/>
      </c>
      <c r="V8" t="str">
        <f t="array" ref="V8">INDEX(P:P,MAX(U$3:U8))</f>
        <v>IW#1MTR</v>
      </c>
      <c r="W8" t="str">
        <f t="shared" ca="1" si="15"/>
        <v/>
      </c>
      <c r="X8">
        <f t="shared" si="16"/>
        <v>11.4</v>
      </c>
      <c r="Y8">
        <f t="shared" si="20"/>
        <v>155</v>
      </c>
      <c r="Z8" t="str">
        <f t="shared" si="21"/>
        <v>二水</v>
      </c>
    </row>
    <row r="9" spans="1:26" x14ac:dyDescent="0.25">
      <c r="A9" s="118" t="s">
        <v>174</v>
      </c>
      <c r="B9" s="119" t="s">
        <v>187</v>
      </c>
      <c r="C9" s="119">
        <v>588</v>
      </c>
      <c r="D9" s="118" t="s">
        <v>188</v>
      </c>
      <c r="E9" s="118">
        <v>552</v>
      </c>
      <c r="F9" s="118" t="s">
        <v>177</v>
      </c>
      <c r="G9" s="118">
        <v>549</v>
      </c>
      <c r="H9" s="118" t="s">
        <v>177</v>
      </c>
      <c r="I9" s="378">
        <v>588</v>
      </c>
      <c r="J9" s="117"/>
      <c r="K9" s="117"/>
      <c r="L9" t="str">
        <f t="shared" si="8"/>
        <v>IW#2MTR</v>
      </c>
      <c r="M9" t="str">
        <f t="shared" si="17"/>
        <v/>
      </c>
      <c r="N9" t="str">
        <f t="shared" si="22"/>
        <v>IW#2MTR</v>
      </c>
      <c r="O9" t="str">
        <f t="shared" si="19"/>
        <v/>
      </c>
      <c r="P9" s="113" t="str">
        <f t="shared" si="9"/>
        <v>IW#2MTR</v>
      </c>
      <c r="Q9" s="114">
        <f t="shared" si="10"/>
        <v>588</v>
      </c>
      <c r="R9" s="114">
        <f t="shared" si="11"/>
        <v>563</v>
      </c>
      <c r="S9" s="113">
        <f t="shared" si="12"/>
        <v>549</v>
      </c>
      <c r="T9" s="111">
        <f t="shared" ca="1" si="13"/>
        <v>11.61</v>
      </c>
      <c r="U9" s="111">
        <f t="shared" si="14"/>
        <v>9</v>
      </c>
      <c r="V9" t="str">
        <f t="array" ref="V9">INDEX(P:P,MAX(U$3:U9))</f>
        <v>IW#2MTR</v>
      </c>
      <c r="W9">
        <f t="shared" ca="1" si="15"/>
        <v>25</v>
      </c>
      <c r="X9" t="str">
        <f t="shared" si="16"/>
        <v/>
      </c>
      <c r="Y9">
        <f t="shared" si="20"/>
        <v>588</v>
      </c>
      <c r="Z9" t="str">
        <f t="shared" si="21"/>
        <v>二水</v>
      </c>
    </row>
    <row r="10" spans="1:26" x14ac:dyDescent="0.25">
      <c r="A10" s="118" t="s">
        <v>174</v>
      </c>
      <c r="B10" s="119" t="s">
        <v>189</v>
      </c>
      <c r="C10" s="119">
        <v>56</v>
      </c>
      <c r="D10" s="118" t="s">
        <v>177</v>
      </c>
      <c r="E10" s="118">
        <v>45</v>
      </c>
      <c r="F10" s="118" t="s">
        <v>179</v>
      </c>
      <c r="G10" s="118">
        <v>75</v>
      </c>
      <c r="H10" s="118" t="s">
        <v>179</v>
      </c>
      <c r="I10" s="378">
        <v>75</v>
      </c>
      <c r="J10" s="117">
        <v>30</v>
      </c>
      <c r="K10" s="117" t="s">
        <v>177</v>
      </c>
      <c r="L10" t="str">
        <f t="shared" si="8"/>
        <v>IW30</v>
      </c>
      <c r="M10" t="str">
        <f t="shared" si="17"/>
        <v/>
      </c>
      <c r="N10" t="str">
        <f t="shared" si="22"/>
        <v/>
      </c>
      <c r="O10" t="str">
        <f t="shared" si="19"/>
        <v/>
      </c>
      <c r="P10" s="113" t="str">
        <f t="shared" si="9"/>
        <v>IW30</v>
      </c>
      <c r="Q10" s="114">
        <f t="shared" si="10"/>
        <v>75</v>
      </c>
      <c r="R10" s="114">
        <f t="shared" si="11"/>
        <v>58.666666666666664</v>
      </c>
      <c r="S10" s="113">
        <f t="shared" si="12"/>
        <v>45</v>
      </c>
      <c r="T10" s="111">
        <f t="shared" ca="1" si="13"/>
        <v>1.48</v>
      </c>
      <c r="U10" s="111" t="str">
        <f t="shared" si="14"/>
        <v/>
      </c>
      <c r="V10" t="str">
        <f t="array" ref="V10">INDEX(P:P,MAX(U$3:U10))</f>
        <v>IW#2MTR</v>
      </c>
      <c r="W10" t="str">
        <f t="shared" ca="1" si="15"/>
        <v/>
      </c>
      <c r="X10">
        <f t="shared" si="16"/>
        <v>11.4</v>
      </c>
      <c r="Y10">
        <f t="shared" si="20"/>
        <v>75</v>
      </c>
      <c r="Z10" t="str">
        <f t="shared" si="21"/>
        <v>二水</v>
      </c>
    </row>
    <row r="11" spans="1:26" x14ac:dyDescent="0.25">
      <c r="A11" s="118" t="s">
        <v>174</v>
      </c>
      <c r="B11" s="119" t="s">
        <v>190</v>
      </c>
      <c r="C11" s="119">
        <v>214</v>
      </c>
      <c r="D11" s="118" t="s">
        <v>188</v>
      </c>
      <c r="E11" s="118">
        <v>252</v>
      </c>
      <c r="F11" s="118" t="s">
        <v>176</v>
      </c>
      <c r="G11" s="118">
        <v>220</v>
      </c>
      <c r="H11" s="118" t="s">
        <v>188</v>
      </c>
      <c r="I11" s="378">
        <v>252</v>
      </c>
      <c r="J11" s="117">
        <v>44</v>
      </c>
      <c r="K11" s="117" t="s">
        <v>176</v>
      </c>
      <c r="L11" t="str">
        <f t="shared" si="8"/>
        <v>IW34</v>
      </c>
      <c r="M11" t="str">
        <f t="shared" si="17"/>
        <v/>
      </c>
      <c r="N11" t="str">
        <f t="shared" si="22"/>
        <v/>
      </c>
      <c r="O11" t="str">
        <f t="shared" si="19"/>
        <v/>
      </c>
      <c r="P11" s="113" t="str">
        <f t="shared" si="9"/>
        <v>IW34</v>
      </c>
      <c r="Q11" s="114">
        <f t="shared" si="10"/>
        <v>252</v>
      </c>
      <c r="R11" s="114">
        <f t="shared" si="11"/>
        <v>228.66666666666666</v>
      </c>
      <c r="S11" s="113">
        <f t="shared" si="12"/>
        <v>214</v>
      </c>
      <c r="T11" s="111">
        <f t="shared" ca="1" si="13"/>
        <v>4.9800000000000004</v>
      </c>
      <c r="U11" s="111" t="str">
        <f t="shared" si="14"/>
        <v/>
      </c>
      <c r="V11" t="str">
        <f t="array" ref="V11">INDEX(P:P,MAX(U$3:U11))</f>
        <v>IW#2MTR</v>
      </c>
      <c r="W11" t="str">
        <f t="shared" ca="1" si="15"/>
        <v/>
      </c>
      <c r="X11">
        <f t="shared" si="16"/>
        <v>11.4</v>
      </c>
      <c r="Y11">
        <f t="shared" si="20"/>
        <v>252</v>
      </c>
      <c r="Z11" t="str">
        <f t="shared" si="21"/>
        <v>二水</v>
      </c>
    </row>
    <row r="12" spans="1:26" x14ac:dyDescent="0.25">
      <c r="A12" s="118" t="s">
        <v>174</v>
      </c>
      <c r="B12" s="119" t="s">
        <v>191</v>
      </c>
      <c r="C12" s="119">
        <v>95</v>
      </c>
      <c r="D12" s="118" t="s">
        <v>184</v>
      </c>
      <c r="E12" s="118">
        <v>63</v>
      </c>
      <c r="F12" s="118" t="s">
        <v>188</v>
      </c>
      <c r="G12" s="118">
        <v>44</v>
      </c>
      <c r="H12" s="118" t="s">
        <v>192</v>
      </c>
      <c r="I12" s="378">
        <v>95</v>
      </c>
      <c r="J12" s="117">
        <v>59</v>
      </c>
      <c r="K12" s="117" t="s">
        <v>184</v>
      </c>
      <c r="L12" t="str">
        <f t="shared" si="8"/>
        <v>IW31</v>
      </c>
      <c r="M12" t="str">
        <f t="shared" si="17"/>
        <v/>
      </c>
      <c r="N12" t="str">
        <f t="shared" si="22"/>
        <v/>
      </c>
      <c r="O12" t="str">
        <f t="shared" si="19"/>
        <v/>
      </c>
      <c r="P12" s="113" t="str">
        <f t="shared" si="9"/>
        <v>IW31</v>
      </c>
      <c r="Q12" s="114">
        <f t="shared" si="10"/>
        <v>95</v>
      </c>
      <c r="R12" s="114">
        <f t="shared" si="11"/>
        <v>67.333333333333329</v>
      </c>
      <c r="S12" s="113">
        <f t="shared" si="12"/>
        <v>44</v>
      </c>
      <c r="T12" s="111">
        <f t="shared" ca="1" si="13"/>
        <v>1.88</v>
      </c>
      <c r="U12" s="111" t="str">
        <f t="shared" si="14"/>
        <v/>
      </c>
      <c r="V12" t="str">
        <f t="array" ref="V12">INDEX(P:P,MAX(U$3:U12))</f>
        <v>IW#2MTR</v>
      </c>
      <c r="W12" t="str">
        <f t="shared" ca="1" si="15"/>
        <v/>
      </c>
      <c r="X12">
        <f t="shared" si="16"/>
        <v>11.4</v>
      </c>
      <c r="Y12">
        <f t="shared" si="20"/>
        <v>95</v>
      </c>
      <c r="Z12" t="str">
        <f t="shared" si="21"/>
        <v>二水</v>
      </c>
    </row>
    <row r="13" spans="1:26" x14ac:dyDescent="0.25">
      <c r="A13" s="118" t="s">
        <v>174</v>
      </c>
      <c r="B13" s="119" t="s">
        <v>193</v>
      </c>
      <c r="C13" s="119">
        <v>138</v>
      </c>
      <c r="D13" s="118" t="s">
        <v>194</v>
      </c>
      <c r="E13" s="118">
        <v>142</v>
      </c>
      <c r="F13" s="118" t="s">
        <v>194</v>
      </c>
      <c r="G13" s="118">
        <v>142</v>
      </c>
      <c r="H13" s="118" t="s">
        <v>194</v>
      </c>
      <c r="I13" s="378">
        <v>142</v>
      </c>
      <c r="J13" s="117">
        <v>0</v>
      </c>
      <c r="K13" s="117" t="s">
        <v>194</v>
      </c>
      <c r="L13" t="str">
        <f t="shared" si="8"/>
        <v>IW33</v>
      </c>
      <c r="M13" t="str">
        <f t="shared" si="17"/>
        <v/>
      </c>
      <c r="N13" t="str">
        <f t="shared" si="22"/>
        <v/>
      </c>
      <c r="O13" t="str">
        <f t="shared" si="19"/>
        <v/>
      </c>
      <c r="P13" s="113" t="str">
        <f t="shared" si="9"/>
        <v>IW33</v>
      </c>
      <c r="Q13" s="114">
        <f t="shared" si="10"/>
        <v>142</v>
      </c>
      <c r="R13" s="114">
        <f t="shared" si="11"/>
        <v>140.66666666666666</v>
      </c>
      <c r="S13" s="113">
        <f t="shared" si="12"/>
        <v>138</v>
      </c>
      <c r="T13" s="111">
        <f t="shared" ca="1" si="13"/>
        <v>2.8</v>
      </c>
      <c r="U13" s="111" t="str">
        <f t="shared" si="14"/>
        <v/>
      </c>
      <c r="V13" t="str">
        <f t="array" ref="V13">INDEX(P:P,MAX(U$3:U13))</f>
        <v>IW#2MTR</v>
      </c>
      <c r="W13" t="str">
        <f t="shared" ca="1" si="15"/>
        <v/>
      </c>
      <c r="X13">
        <f t="shared" si="16"/>
        <v>11.4</v>
      </c>
      <c r="Y13">
        <f t="shared" si="20"/>
        <v>142</v>
      </c>
      <c r="Z13" t="str">
        <f t="shared" si="21"/>
        <v>二水</v>
      </c>
    </row>
    <row r="14" spans="1:26" x14ac:dyDescent="0.25">
      <c r="A14" s="118" t="s">
        <v>174</v>
      </c>
      <c r="B14" s="119" t="s">
        <v>195</v>
      </c>
      <c r="C14" s="119">
        <v>97</v>
      </c>
      <c r="D14" s="118" t="s">
        <v>188</v>
      </c>
      <c r="E14" s="118">
        <v>74</v>
      </c>
      <c r="F14" s="118" t="s">
        <v>177</v>
      </c>
      <c r="G14" s="118">
        <v>80</v>
      </c>
      <c r="H14" s="118" t="s">
        <v>177</v>
      </c>
      <c r="I14" s="378">
        <v>97</v>
      </c>
      <c r="J14" s="117">
        <v>38</v>
      </c>
      <c r="K14" s="117" t="s">
        <v>196</v>
      </c>
      <c r="L14" t="str">
        <f t="shared" si="8"/>
        <v>IW32</v>
      </c>
      <c r="M14" t="str">
        <f t="shared" si="17"/>
        <v/>
      </c>
      <c r="N14" t="str">
        <f t="shared" si="22"/>
        <v/>
      </c>
      <c r="O14" t="str">
        <f t="shared" si="19"/>
        <v/>
      </c>
      <c r="P14" s="113" t="str">
        <f t="shared" si="9"/>
        <v>IW32</v>
      </c>
      <c r="Q14" s="114">
        <f t="shared" si="10"/>
        <v>97</v>
      </c>
      <c r="R14" s="114">
        <f t="shared" si="11"/>
        <v>83.666666666666671</v>
      </c>
      <c r="S14" s="113">
        <f t="shared" si="12"/>
        <v>74</v>
      </c>
      <c r="T14" s="111">
        <f t="shared" ca="1" si="13"/>
        <v>1.92</v>
      </c>
      <c r="U14" s="111" t="str">
        <f t="shared" si="14"/>
        <v/>
      </c>
      <c r="V14" t="str">
        <f t="array" ref="V14">INDEX(P:P,MAX(U$3:U14))</f>
        <v>IW#2MTR</v>
      </c>
      <c r="W14" t="str">
        <f t="shared" ca="1" si="15"/>
        <v/>
      </c>
      <c r="X14">
        <f t="shared" si="16"/>
        <v>11.4</v>
      </c>
      <c r="Y14">
        <f t="shared" si="20"/>
        <v>97</v>
      </c>
      <c r="Z14" t="str">
        <f t="shared" si="21"/>
        <v>二水</v>
      </c>
    </row>
    <row r="15" spans="1:26" x14ac:dyDescent="0.25">
      <c r="A15" s="118" t="s">
        <v>174</v>
      </c>
      <c r="B15" s="119" t="s">
        <v>197</v>
      </c>
      <c r="C15" s="119">
        <v>343</v>
      </c>
      <c r="D15" s="118" t="s">
        <v>198</v>
      </c>
      <c r="E15" s="118">
        <v>327</v>
      </c>
      <c r="F15" s="118" t="s">
        <v>198</v>
      </c>
      <c r="G15" s="118">
        <v>310</v>
      </c>
      <c r="H15" s="118" t="s">
        <v>177</v>
      </c>
      <c r="I15" s="378">
        <v>343</v>
      </c>
      <c r="J15" s="117"/>
      <c r="K15" s="117"/>
      <c r="L15" t="str">
        <f t="shared" si="8"/>
        <v>IW#3MTR</v>
      </c>
      <c r="M15" t="str">
        <f t="shared" si="17"/>
        <v/>
      </c>
      <c r="N15" t="str">
        <f t="shared" si="22"/>
        <v>IW#3MTR</v>
      </c>
      <c r="O15" t="str">
        <f t="shared" si="19"/>
        <v/>
      </c>
      <c r="P15" s="113" t="str">
        <f t="shared" si="9"/>
        <v>IW#3MTR</v>
      </c>
      <c r="Q15" s="114">
        <f t="shared" si="10"/>
        <v>343</v>
      </c>
      <c r="R15" s="114">
        <f t="shared" si="11"/>
        <v>326.66666666666669</v>
      </c>
      <c r="S15" s="113">
        <f t="shared" si="12"/>
        <v>310</v>
      </c>
      <c r="T15" s="111">
        <f t="shared" ca="1" si="13"/>
        <v>6.77</v>
      </c>
      <c r="U15" s="111">
        <f t="shared" si="14"/>
        <v>15</v>
      </c>
      <c r="V15" t="str">
        <f t="array" ref="V15">INDEX(P:P,MAX(U$3:U15))</f>
        <v>IW#3MTR</v>
      </c>
      <c r="W15">
        <f t="shared" ca="1" si="15"/>
        <v>25</v>
      </c>
      <c r="X15" t="str">
        <f t="shared" si="16"/>
        <v/>
      </c>
      <c r="Y15">
        <f t="shared" si="20"/>
        <v>343</v>
      </c>
      <c r="Z15" t="str">
        <f t="shared" si="21"/>
        <v>二水</v>
      </c>
    </row>
    <row r="16" spans="1:26" x14ac:dyDescent="0.25">
      <c r="A16" s="118" t="s">
        <v>174</v>
      </c>
      <c r="B16" s="119" t="s">
        <v>199</v>
      </c>
      <c r="C16" s="119">
        <v>45</v>
      </c>
      <c r="D16" s="118" t="s">
        <v>200</v>
      </c>
      <c r="E16" s="118">
        <v>45</v>
      </c>
      <c r="F16" s="118" t="s">
        <v>179</v>
      </c>
      <c r="G16" s="118">
        <v>34</v>
      </c>
      <c r="H16" s="118" t="s">
        <v>179</v>
      </c>
      <c r="I16" s="378">
        <v>45</v>
      </c>
      <c r="J16" s="117">
        <v>15</v>
      </c>
      <c r="K16" s="117" t="s">
        <v>177</v>
      </c>
      <c r="L16" t="str">
        <f t="shared" si="8"/>
        <v>IW21</v>
      </c>
      <c r="M16" t="str">
        <f t="shared" si="17"/>
        <v/>
      </c>
      <c r="N16" t="str">
        <f t="shared" si="22"/>
        <v/>
      </c>
      <c r="O16" t="str">
        <f t="shared" si="19"/>
        <v/>
      </c>
      <c r="P16" s="113" t="str">
        <f t="shared" si="9"/>
        <v>IW21</v>
      </c>
      <c r="Q16" s="114">
        <f t="shared" si="10"/>
        <v>45</v>
      </c>
      <c r="R16" s="114">
        <f t="shared" si="11"/>
        <v>41.333333333333336</v>
      </c>
      <c r="S16" s="113">
        <f t="shared" si="12"/>
        <v>34</v>
      </c>
      <c r="T16" s="111">
        <f t="shared" ca="1" si="13"/>
        <v>0.89</v>
      </c>
      <c r="U16" s="111" t="str">
        <f t="shared" si="14"/>
        <v/>
      </c>
      <c r="V16" t="str">
        <f t="array" ref="V16">INDEX(P:P,MAX(U$3:U16))</f>
        <v>IW#3MTR</v>
      </c>
      <c r="W16" t="str">
        <f t="shared" ca="1" si="15"/>
        <v/>
      </c>
      <c r="X16">
        <f t="shared" si="16"/>
        <v>11.4</v>
      </c>
      <c r="Y16">
        <f t="shared" si="20"/>
        <v>45</v>
      </c>
      <c r="Z16" t="str">
        <f t="shared" si="21"/>
        <v>二水</v>
      </c>
    </row>
    <row r="17" spans="1:26" x14ac:dyDescent="0.25">
      <c r="A17" s="118" t="s">
        <v>174</v>
      </c>
      <c r="B17" s="119" t="s">
        <v>201</v>
      </c>
      <c r="C17" s="119">
        <v>114</v>
      </c>
      <c r="D17" s="118" t="s">
        <v>177</v>
      </c>
      <c r="E17" s="118">
        <v>120</v>
      </c>
      <c r="F17" s="118" t="s">
        <v>176</v>
      </c>
      <c r="G17" s="118">
        <v>96</v>
      </c>
      <c r="H17" s="118" t="s">
        <v>177</v>
      </c>
      <c r="I17" s="378">
        <v>120</v>
      </c>
      <c r="J17" s="117">
        <v>44</v>
      </c>
      <c r="K17" s="117" t="s">
        <v>180</v>
      </c>
      <c r="L17" t="str">
        <f t="shared" si="8"/>
        <v>IW20</v>
      </c>
      <c r="M17" t="str">
        <f t="shared" si="17"/>
        <v/>
      </c>
      <c r="N17" t="str">
        <f t="shared" si="22"/>
        <v/>
      </c>
      <c r="O17" t="str">
        <f t="shared" si="19"/>
        <v/>
      </c>
      <c r="P17" s="113" t="str">
        <f t="shared" si="9"/>
        <v>IW20</v>
      </c>
      <c r="Q17" s="114">
        <f t="shared" si="10"/>
        <v>120</v>
      </c>
      <c r="R17" s="114">
        <f t="shared" si="11"/>
        <v>110</v>
      </c>
      <c r="S17" s="113">
        <f t="shared" si="12"/>
        <v>96</v>
      </c>
      <c r="T17" s="111">
        <f t="shared" ca="1" si="13"/>
        <v>2.37</v>
      </c>
      <c r="U17" s="111" t="str">
        <f t="shared" si="14"/>
        <v/>
      </c>
      <c r="V17" t="str">
        <f t="array" ref="V17">INDEX(P:P,MAX(U$3:U17))</f>
        <v>IW#3MTR</v>
      </c>
      <c r="W17" t="str">
        <f t="shared" ca="1" si="15"/>
        <v/>
      </c>
      <c r="X17">
        <f t="shared" si="16"/>
        <v>11.4</v>
      </c>
      <c r="Y17">
        <f t="shared" si="20"/>
        <v>120</v>
      </c>
      <c r="Z17" t="str">
        <f t="shared" si="21"/>
        <v>二水</v>
      </c>
    </row>
    <row r="18" spans="1:26" x14ac:dyDescent="0.25">
      <c r="A18" s="118" t="s">
        <v>174</v>
      </c>
      <c r="B18" s="119" t="s">
        <v>202</v>
      </c>
      <c r="C18" s="119">
        <v>160</v>
      </c>
      <c r="D18" s="118" t="s">
        <v>203</v>
      </c>
      <c r="E18" s="118">
        <v>171</v>
      </c>
      <c r="F18" s="118" t="s">
        <v>203</v>
      </c>
      <c r="G18" s="118">
        <v>182</v>
      </c>
      <c r="H18" s="118" t="s">
        <v>203</v>
      </c>
      <c r="I18" s="378">
        <v>182</v>
      </c>
      <c r="J18" s="117">
        <v>38</v>
      </c>
      <c r="K18" s="117" t="s">
        <v>194</v>
      </c>
      <c r="L18" t="str">
        <f t="shared" si="8"/>
        <v>IW27</v>
      </c>
      <c r="M18" t="str">
        <f t="shared" si="17"/>
        <v/>
      </c>
      <c r="N18" t="str">
        <f t="shared" si="22"/>
        <v/>
      </c>
      <c r="O18" t="str">
        <f t="shared" si="19"/>
        <v/>
      </c>
      <c r="P18" s="113" t="str">
        <f t="shared" si="9"/>
        <v>IW27</v>
      </c>
      <c r="Q18" s="114">
        <f t="shared" si="10"/>
        <v>182</v>
      </c>
      <c r="R18" s="114">
        <f t="shared" si="11"/>
        <v>171</v>
      </c>
      <c r="S18" s="113">
        <f t="shared" si="12"/>
        <v>160</v>
      </c>
      <c r="T18" s="111">
        <f t="shared" ca="1" si="13"/>
        <v>3.59</v>
      </c>
      <c r="U18" s="111" t="str">
        <f t="shared" si="14"/>
        <v/>
      </c>
      <c r="V18" t="str">
        <f t="array" ref="V18">INDEX(P:P,MAX(U$3:U18))</f>
        <v>IW#3MTR</v>
      </c>
      <c r="W18" t="str">
        <f t="shared" ca="1" si="15"/>
        <v/>
      </c>
      <c r="X18">
        <f t="shared" si="16"/>
        <v>11.4</v>
      </c>
      <c r="Y18">
        <f t="shared" si="20"/>
        <v>182</v>
      </c>
      <c r="Z18" t="str">
        <f t="shared" si="21"/>
        <v>二水</v>
      </c>
    </row>
    <row r="19" spans="1:26" x14ac:dyDescent="0.25">
      <c r="A19" s="118" t="s">
        <v>174</v>
      </c>
      <c r="B19" s="119" t="s">
        <v>204</v>
      </c>
      <c r="C19" s="119">
        <v>21</v>
      </c>
      <c r="D19" s="118" t="s">
        <v>205</v>
      </c>
      <c r="E19" s="118">
        <v>18</v>
      </c>
      <c r="F19" s="118" t="s">
        <v>205</v>
      </c>
      <c r="G19" s="118">
        <v>9</v>
      </c>
      <c r="H19" s="118" t="s">
        <v>177</v>
      </c>
      <c r="I19" s="378">
        <v>21</v>
      </c>
      <c r="J19" s="117">
        <v>23</v>
      </c>
      <c r="K19" s="117" t="s">
        <v>205</v>
      </c>
      <c r="L19" t="str">
        <f t="shared" si="8"/>
        <v>IW23</v>
      </c>
      <c r="M19" t="str">
        <f t="shared" si="17"/>
        <v/>
      </c>
      <c r="N19" t="str">
        <f t="shared" si="22"/>
        <v/>
      </c>
      <c r="O19" t="str">
        <f t="shared" si="19"/>
        <v/>
      </c>
      <c r="P19" s="113" t="str">
        <f t="shared" si="9"/>
        <v>IW23</v>
      </c>
      <c r="Q19" s="114">
        <f t="shared" si="10"/>
        <v>21</v>
      </c>
      <c r="R19" s="114">
        <f t="shared" si="11"/>
        <v>16</v>
      </c>
      <c r="S19" s="113">
        <f t="shared" si="12"/>
        <v>9</v>
      </c>
      <c r="T19" s="111">
        <f t="shared" ca="1" si="13"/>
        <v>0.41</v>
      </c>
      <c r="U19" s="111" t="str">
        <f t="shared" si="14"/>
        <v/>
      </c>
      <c r="V19" t="str">
        <f t="array" ref="V19">INDEX(P:P,MAX(U$3:U19))</f>
        <v>IW#3MTR</v>
      </c>
      <c r="W19" t="str">
        <f t="shared" ca="1" si="15"/>
        <v/>
      </c>
      <c r="X19">
        <f t="shared" si="16"/>
        <v>11.4</v>
      </c>
      <c r="Y19">
        <f t="shared" si="20"/>
        <v>21</v>
      </c>
      <c r="Z19" t="str">
        <f t="shared" si="21"/>
        <v>二水</v>
      </c>
    </row>
    <row r="20" spans="1:26" x14ac:dyDescent="0.25">
      <c r="A20" s="118" t="s">
        <v>174</v>
      </c>
      <c r="B20" s="119" t="s">
        <v>206</v>
      </c>
      <c r="C20" s="119">
        <v>66</v>
      </c>
      <c r="D20" s="118" t="s">
        <v>198</v>
      </c>
      <c r="E20" s="118">
        <v>43</v>
      </c>
      <c r="F20" s="118" t="s">
        <v>176</v>
      </c>
      <c r="G20" s="118">
        <v>51</v>
      </c>
      <c r="H20" s="118" t="s">
        <v>198</v>
      </c>
      <c r="I20" s="378">
        <v>66</v>
      </c>
      <c r="J20" s="117">
        <v>44</v>
      </c>
      <c r="K20" s="117" t="s">
        <v>207</v>
      </c>
      <c r="L20" t="str">
        <f t="shared" si="8"/>
        <v>IW28</v>
      </c>
      <c r="M20" t="str">
        <f t="shared" si="17"/>
        <v/>
      </c>
      <c r="N20" t="str">
        <f t="shared" si="22"/>
        <v/>
      </c>
      <c r="O20" t="str">
        <f t="shared" si="19"/>
        <v/>
      </c>
      <c r="P20" s="113" t="str">
        <f t="shared" si="9"/>
        <v>IW28</v>
      </c>
      <c r="Q20" s="114">
        <f t="shared" si="10"/>
        <v>66</v>
      </c>
      <c r="R20" s="114">
        <f t="shared" si="11"/>
        <v>53.333333333333336</v>
      </c>
      <c r="S20" s="113">
        <f t="shared" si="12"/>
        <v>43</v>
      </c>
      <c r="T20" s="111">
        <f t="shared" ca="1" si="13"/>
        <v>1.3</v>
      </c>
      <c r="U20" s="111" t="str">
        <f t="shared" si="14"/>
        <v/>
      </c>
      <c r="V20" t="str">
        <f t="array" ref="V20">INDEX(P:P,MAX(U$3:U20))</f>
        <v>IW#3MTR</v>
      </c>
      <c r="W20" t="str">
        <f t="shared" ca="1" si="15"/>
        <v/>
      </c>
      <c r="X20">
        <f t="shared" si="16"/>
        <v>11.4</v>
      </c>
      <c r="Y20">
        <f t="shared" si="20"/>
        <v>66</v>
      </c>
      <c r="Z20" t="str">
        <f t="shared" si="21"/>
        <v>二水</v>
      </c>
    </row>
    <row r="21" spans="1:26" x14ac:dyDescent="0.25">
      <c r="A21" s="118" t="s">
        <v>208</v>
      </c>
      <c r="B21" s="119" t="s">
        <v>175</v>
      </c>
      <c r="C21" s="119">
        <v>849</v>
      </c>
      <c r="D21" s="118" t="s">
        <v>179</v>
      </c>
      <c r="E21" s="118">
        <v>799</v>
      </c>
      <c r="F21" s="118" t="s">
        <v>179</v>
      </c>
      <c r="G21" s="118">
        <v>855</v>
      </c>
      <c r="H21" s="118" t="s">
        <v>177</v>
      </c>
      <c r="I21" s="378">
        <v>855</v>
      </c>
      <c r="J21" s="117"/>
      <c r="K21" s="117"/>
      <c r="L21" t="str">
        <f t="shared" si="8"/>
        <v>IE#1MTR</v>
      </c>
      <c r="M21" t="str">
        <f t="shared" si="17"/>
        <v/>
      </c>
      <c r="N21" t="str">
        <f t="shared" si="22"/>
        <v>IE#1MTR</v>
      </c>
      <c r="O21" t="str">
        <f t="shared" si="19"/>
        <v/>
      </c>
      <c r="P21" s="113" t="str">
        <f t="shared" si="9"/>
        <v>IE#1MTR</v>
      </c>
      <c r="Q21" s="114">
        <f t="shared" si="10"/>
        <v>855</v>
      </c>
      <c r="R21" s="114">
        <f t="shared" si="11"/>
        <v>834.33333333333337</v>
      </c>
      <c r="S21" s="113">
        <f t="shared" si="12"/>
        <v>799</v>
      </c>
      <c r="T21" s="111">
        <f t="shared" ca="1" si="13"/>
        <v>16.88</v>
      </c>
      <c r="U21" s="111">
        <f t="shared" si="14"/>
        <v>21</v>
      </c>
      <c r="V21" t="str">
        <f t="array" ref="V21">INDEX(P:P,MAX(U$3:U21))</f>
        <v>IE#1MTR</v>
      </c>
      <c r="W21">
        <f t="shared" ca="1" si="15"/>
        <v>25</v>
      </c>
      <c r="X21" t="str">
        <f t="shared" si="16"/>
        <v/>
      </c>
      <c r="Y21">
        <f t="shared" si="20"/>
        <v>855</v>
      </c>
      <c r="Z21" t="str">
        <f t="shared" si="21"/>
        <v>二林</v>
      </c>
    </row>
    <row r="22" spans="1:26" x14ac:dyDescent="0.25">
      <c r="A22" s="118" t="s">
        <v>208</v>
      </c>
      <c r="B22" s="119" t="s">
        <v>209</v>
      </c>
      <c r="C22" s="119">
        <v>228</v>
      </c>
      <c r="D22" s="118" t="s">
        <v>179</v>
      </c>
      <c r="E22" s="118">
        <v>208</v>
      </c>
      <c r="F22" s="118" t="s">
        <v>177</v>
      </c>
      <c r="G22" s="118">
        <v>206</v>
      </c>
      <c r="H22" s="118" t="s">
        <v>179</v>
      </c>
      <c r="I22" s="378">
        <v>228</v>
      </c>
      <c r="J22" s="117">
        <v>40</v>
      </c>
      <c r="K22" s="117" t="s">
        <v>194</v>
      </c>
      <c r="L22" t="str">
        <f t="shared" si="8"/>
        <v>IE25</v>
      </c>
      <c r="M22" t="str">
        <f t="shared" si="17"/>
        <v/>
      </c>
      <c r="N22" t="str">
        <f t="shared" si="22"/>
        <v/>
      </c>
      <c r="O22" t="str">
        <f t="shared" si="19"/>
        <v/>
      </c>
      <c r="P22" s="113" t="str">
        <f t="shared" si="9"/>
        <v>IE25</v>
      </c>
      <c r="Q22" s="114">
        <f t="shared" si="10"/>
        <v>228</v>
      </c>
      <c r="R22" s="114">
        <f t="shared" si="11"/>
        <v>214</v>
      </c>
      <c r="S22" s="113">
        <f t="shared" si="12"/>
        <v>206</v>
      </c>
      <c r="T22" s="111">
        <f t="shared" ca="1" si="13"/>
        <v>4.5</v>
      </c>
      <c r="U22" s="111" t="str">
        <f t="shared" si="14"/>
        <v/>
      </c>
      <c r="V22" t="str">
        <f t="array" ref="V22">INDEX(P:P,MAX(U$3:U22))</f>
        <v>IE#1MTR</v>
      </c>
      <c r="W22" t="str">
        <f t="shared" ca="1" si="15"/>
        <v/>
      </c>
      <c r="X22">
        <f t="shared" si="16"/>
        <v>11.4</v>
      </c>
      <c r="Y22">
        <f t="shared" si="20"/>
        <v>228</v>
      </c>
      <c r="Z22" t="str">
        <f t="shared" si="21"/>
        <v>二林</v>
      </c>
    </row>
    <row r="23" spans="1:26" x14ac:dyDescent="0.25">
      <c r="A23" s="118" t="s">
        <v>208</v>
      </c>
      <c r="B23" s="119" t="s">
        <v>210</v>
      </c>
      <c r="C23" s="119">
        <v>79</v>
      </c>
      <c r="D23" s="118" t="s">
        <v>211</v>
      </c>
      <c r="E23" s="118">
        <v>69</v>
      </c>
      <c r="F23" s="118" t="s">
        <v>211</v>
      </c>
      <c r="G23" s="118">
        <v>89</v>
      </c>
      <c r="H23" s="118" t="s">
        <v>211</v>
      </c>
      <c r="I23" s="378">
        <v>89</v>
      </c>
      <c r="J23" s="117">
        <v>28</v>
      </c>
      <c r="K23" s="117" t="s">
        <v>176</v>
      </c>
      <c r="L23" t="str">
        <f t="shared" si="8"/>
        <v>IE24</v>
      </c>
      <c r="M23" t="str">
        <f t="shared" si="17"/>
        <v/>
      </c>
      <c r="N23" t="str">
        <f t="shared" si="22"/>
        <v/>
      </c>
      <c r="O23" t="str">
        <f t="shared" si="19"/>
        <v/>
      </c>
      <c r="P23" s="113" t="str">
        <f t="shared" si="9"/>
        <v>IE24</v>
      </c>
      <c r="Q23" s="114">
        <f t="shared" si="10"/>
        <v>89</v>
      </c>
      <c r="R23" s="114">
        <f t="shared" si="11"/>
        <v>79</v>
      </c>
      <c r="S23" s="113">
        <f t="shared" si="12"/>
        <v>69</v>
      </c>
      <c r="T23" s="111">
        <f t="shared" ca="1" si="13"/>
        <v>1.76</v>
      </c>
      <c r="U23" s="111" t="str">
        <f t="shared" si="14"/>
        <v/>
      </c>
      <c r="V23" t="str">
        <f t="array" ref="V23">INDEX(P:P,MAX(U$3:U23))</f>
        <v>IE#1MTR</v>
      </c>
      <c r="W23" t="str">
        <f t="shared" ca="1" si="15"/>
        <v/>
      </c>
      <c r="X23">
        <f t="shared" si="16"/>
        <v>11.4</v>
      </c>
      <c r="Y23">
        <f t="shared" si="20"/>
        <v>89</v>
      </c>
      <c r="Z23" t="str">
        <f t="shared" si="21"/>
        <v>二林</v>
      </c>
    </row>
    <row r="24" spans="1:26" x14ac:dyDescent="0.25">
      <c r="A24" s="118" t="s">
        <v>208</v>
      </c>
      <c r="B24" s="119" t="s">
        <v>212</v>
      </c>
      <c r="C24" s="119">
        <v>273</v>
      </c>
      <c r="D24" s="118" t="s">
        <v>183</v>
      </c>
      <c r="E24" s="118">
        <v>250</v>
      </c>
      <c r="F24" s="118" t="s">
        <v>183</v>
      </c>
      <c r="G24" s="118">
        <v>242</v>
      </c>
      <c r="H24" s="118" t="s">
        <v>180</v>
      </c>
      <c r="I24" s="378">
        <v>273</v>
      </c>
      <c r="J24" s="117">
        <v>78</v>
      </c>
      <c r="K24" s="117" t="s">
        <v>200</v>
      </c>
      <c r="L24" t="str">
        <f t="shared" si="8"/>
        <v>IE21</v>
      </c>
      <c r="M24" t="str">
        <f t="shared" si="17"/>
        <v/>
      </c>
      <c r="N24" t="str">
        <f t="shared" si="22"/>
        <v/>
      </c>
      <c r="O24" t="str">
        <f t="shared" si="19"/>
        <v/>
      </c>
      <c r="P24" s="113" t="str">
        <f t="shared" si="9"/>
        <v>IE21</v>
      </c>
      <c r="Q24" s="114">
        <f t="shared" si="10"/>
        <v>273</v>
      </c>
      <c r="R24" s="114">
        <f t="shared" si="11"/>
        <v>255</v>
      </c>
      <c r="S24" s="113">
        <f t="shared" si="12"/>
        <v>242</v>
      </c>
      <c r="T24" s="111">
        <f t="shared" ca="1" si="13"/>
        <v>5.39</v>
      </c>
      <c r="U24" s="111" t="str">
        <f t="shared" si="14"/>
        <v/>
      </c>
      <c r="V24" t="str">
        <f t="array" ref="V24">INDEX(P:P,MAX(U$3:U24))</f>
        <v>IE#1MTR</v>
      </c>
      <c r="W24" t="str">
        <f t="shared" ca="1" si="15"/>
        <v/>
      </c>
      <c r="X24">
        <f t="shared" si="16"/>
        <v>11.4</v>
      </c>
      <c r="Y24">
        <f t="shared" si="20"/>
        <v>273</v>
      </c>
      <c r="Z24" t="str">
        <f t="shared" si="21"/>
        <v>二林</v>
      </c>
    </row>
    <row r="25" spans="1:26" x14ac:dyDescent="0.25">
      <c r="A25" s="118" t="s">
        <v>208</v>
      </c>
      <c r="B25" s="119" t="s">
        <v>213</v>
      </c>
      <c r="C25" s="119">
        <v>267</v>
      </c>
      <c r="D25" s="118" t="s">
        <v>179</v>
      </c>
      <c r="E25" s="118">
        <v>270</v>
      </c>
      <c r="F25" s="118" t="s">
        <v>177</v>
      </c>
      <c r="G25" s="118">
        <v>276</v>
      </c>
      <c r="H25" s="118" t="s">
        <v>177</v>
      </c>
      <c r="I25" s="378">
        <v>276</v>
      </c>
      <c r="J25" s="117">
        <v>51</v>
      </c>
      <c r="K25" s="117" t="s">
        <v>214</v>
      </c>
      <c r="L25" t="str">
        <f t="shared" si="8"/>
        <v>IE27</v>
      </c>
      <c r="M25" t="str">
        <f t="shared" si="17"/>
        <v/>
      </c>
      <c r="N25" t="str">
        <f t="shared" si="22"/>
        <v/>
      </c>
      <c r="O25" t="str">
        <f t="shared" si="19"/>
        <v/>
      </c>
      <c r="P25" s="113" t="str">
        <f t="shared" si="9"/>
        <v>IE27</v>
      </c>
      <c r="Q25" s="114">
        <f t="shared" si="10"/>
        <v>276</v>
      </c>
      <c r="R25" s="114">
        <f t="shared" si="11"/>
        <v>271</v>
      </c>
      <c r="S25" s="113">
        <f t="shared" si="12"/>
        <v>267</v>
      </c>
      <c r="T25" s="111">
        <f t="shared" ca="1" si="13"/>
        <v>5.45</v>
      </c>
      <c r="U25" s="111" t="str">
        <f t="shared" si="14"/>
        <v/>
      </c>
      <c r="V25" t="str">
        <f t="array" ref="V25">INDEX(P:P,MAX(U$3:U25))</f>
        <v>IE#1MTR</v>
      </c>
      <c r="W25" t="str">
        <f t="shared" ca="1" si="15"/>
        <v/>
      </c>
      <c r="X25">
        <f t="shared" si="16"/>
        <v>11.4</v>
      </c>
      <c r="Y25">
        <f t="shared" si="20"/>
        <v>276</v>
      </c>
      <c r="Z25" t="str">
        <f t="shared" si="21"/>
        <v>二林</v>
      </c>
    </row>
    <row r="26" spans="1:26" x14ac:dyDescent="0.25">
      <c r="A26" s="118" t="s">
        <v>208</v>
      </c>
      <c r="B26" s="119" t="s">
        <v>215</v>
      </c>
      <c r="C26" s="119">
        <v>192</v>
      </c>
      <c r="D26" s="118" t="s">
        <v>176</v>
      </c>
      <c r="E26" s="118">
        <v>149</v>
      </c>
      <c r="F26" s="118" t="s">
        <v>179</v>
      </c>
      <c r="G26" s="118">
        <v>170</v>
      </c>
      <c r="H26" s="118" t="s">
        <v>176</v>
      </c>
      <c r="I26" s="378">
        <v>192</v>
      </c>
      <c r="J26" s="117">
        <v>57</v>
      </c>
      <c r="K26" s="117" t="s">
        <v>207</v>
      </c>
      <c r="L26" t="str">
        <f t="shared" si="8"/>
        <v>IE22</v>
      </c>
      <c r="M26" t="str">
        <f t="shared" si="17"/>
        <v/>
      </c>
      <c r="N26" t="str">
        <f t="shared" si="22"/>
        <v/>
      </c>
      <c r="O26" t="str">
        <f t="shared" si="19"/>
        <v/>
      </c>
      <c r="P26" s="113" t="str">
        <f t="shared" si="9"/>
        <v>IE22</v>
      </c>
      <c r="Q26" s="114">
        <f t="shared" si="10"/>
        <v>192</v>
      </c>
      <c r="R26" s="114">
        <f t="shared" si="11"/>
        <v>170.33333333333334</v>
      </c>
      <c r="S26" s="113">
        <f t="shared" si="12"/>
        <v>149</v>
      </c>
      <c r="T26" s="111">
        <f t="shared" ca="1" si="13"/>
        <v>3.79</v>
      </c>
      <c r="U26" s="111" t="str">
        <f t="shared" si="14"/>
        <v/>
      </c>
      <c r="V26" t="str">
        <f t="array" ref="V26">INDEX(P:P,MAX(U$3:U26))</f>
        <v>IE#1MTR</v>
      </c>
      <c r="W26" t="str">
        <f t="shared" ca="1" si="15"/>
        <v/>
      </c>
      <c r="X26">
        <f t="shared" si="16"/>
        <v>11.4</v>
      </c>
      <c r="Y26">
        <f t="shared" si="20"/>
        <v>192</v>
      </c>
      <c r="Z26" t="str">
        <f t="shared" si="21"/>
        <v>二林</v>
      </c>
    </row>
    <row r="27" spans="1:26" x14ac:dyDescent="0.25">
      <c r="A27" s="118" t="s">
        <v>208</v>
      </c>
      <c r="B27" s="119" t="s">
        <v>187</v>
      </c>
      <c r="C27" s="119">
        <v>794</v>
      </c>
      <c r="D27" s="118" t="s">
        <v>179</v>
      </c>
      <c r="E27" s="118">
        <v>775</v>
      </c>
      <c r="F27" s="118" t="s">
        <v>179</v>
      </c>
      <c r="G27" s="118">
        <v>892</v>
      </c>
      <c r="H27" s="118" t="s">
        <v>179</v>
      </c>
      <c r="I27" s="378">
        <v>892</v>
      </c>
      <c r="J27" s="117"/>
      <c r="K27" s="117"/>
      <c r="L27" t="str">
        <f t="shared" si="8"/>
        <v>IE#2MTR</v>
      </c>
      <c r="M27" t="str">
        <f t="shared" si="17"/>
        <v/>
      </c>
      <c r="N27" t="str">
        <f t="shared" si="22"/>
        <v>IE#2MTR</v>
      </c>
      <c r="O27" t="str">
        <f t="shared" si="19"/>
        <v/>
      </c>
      <c r="P27" s="113" t="str">
        <f t="shared" si="9"/>
        <v>IE#2MTR</v>
      </c>
      <c r="Q27" s="114">
        <f t="shared" si="10"/>
        <v>892</v>
      </c>
      <c r="R27" s="114">
        <f t="shared" si="11"/>
        <v>820.33333333333337</v>
      </c>
      <c r="S27" s="113">
        <f t="shared" si="12"/>
        <v>775</v>
      </c>
      <c r="T27" s="111">
        <f t="shared" ca="1" si="13"/>
        <v>17.61</v>
      </c>
      <c r="U27" s="111">
        <f t="shared" si="14"/>
        <v>27</v>
      </c>
      <c r="V27" t="str">
        <f t="array" ref="V27">INDEX(P:P,MAX(U$3:U27))</f>
        <v>IE#2MTR</v>
      </c>
      <c r="W27">
        <f t="shared" ca="1" si="15"/>
        <v>25</v>
      </c>
      <c r="X27" t="str">
        <f t="shared" si="16"/>
        <v/>
      </c>
      <c r="Y27">
        <f t="shared" si="20"/>
        <v>892</v>
      </c>
      <c r="Z27" t="str">
        <f t="shared" si="21"/>
        <v>二林</v>
      </c>
    </row>
    <row r="28" spans="1:26" x14ac:dyDescent="0.25">
      <c r="A28" s="118" t="s">
        <v>208</v>
      </c>
      <c r="B28" s="119" t="s">
        <v>216</v>
      </c>
      <c r="C28" s="119">
        <v>162</v>
      </c>
      <c r="D28" s="118" t="s">
        <v>176</v>
      </c>
      <c r="E28" s="118">
        <v>158</v>
      </c>
      <c r="F28" s="118" t="s">
        <v>180</v>
      </c>
      <c r="G28" s="118">
        <v>182</v>
      </c>
      <c r="H28" s="118" t="s">
        <v>177</v>
      </c>
      <c r="I28" s="378">
        <v>182</v>
      </c>
      <c r="J28" s="117">
        <v>88</v>
      </c>
      <c r="K28" s="117" t="s">
        <v>198</v>
      </c>
      <c r="L28" t="str">
        <f t="shared" si="8"/>
        <v>IE23</v>
      </c>
      <c r="M28" t="str">
        <f t="shared" si="17"/>
        <v/>
      </c>
      <c r="N28" t="str">
        <f t="shared" si="22"/>
        <v/>
      </c>
      <c r="O28" t="str">
        <f t="shared" si="19"/>
        <v/>
      </c>
      <c r="P28" s="113" t="str">
        <f t="shared" si="9"/>
        <v>IE23</v>
      </c>
      <c r="Q28" s="114">
        <f t="shared" si="10"/>
        <v>182</v>
      </c>
      <c r="R28" s="114">
        <f t="shared" si="11"/>
        <v>167.33333333333334</v>
      </c>
      <c r="S28" s="113">
        <f t="shared" si="12"/>
        <v>158</v>
      </c>
      <c r="T28" s="111">
        <f t="shared" ca="1" si="13"/>
        <v>3.59</v>
      </c>
      <c r="U28" s="111" t="str">
        <f t="shared" si="14"/>
        <v/>
      </c>
      <c r="V28" t="str">
        <f t="array" ref="V28">INDEX(P:P,MAX(U$3:U28))</f>
        <v>IE#2MTR</v>
      </c>
      <c r="W28" t="str">
        <f t="shared" ca="1" si="15"/>
        <v/>
      </c>
      <c r="X28">
        <f t="shared" si="16"/>
        <v>11.4</v>
      </c>
      <c r="Y28">
        <f t="shared" si="20"/>
        <v>182</v>
      </c>
      <c r="Z28" t="str">
        <f t="shared" si="21"/>
        <v>二林</v>
      </c>
    </row>
    <row r="29" spans="1:26" x14ac:dyDescent="0.25">
      <c r="A29" s="118" t="s">
        <v>208</v>
      </c>
      <c r="B29" s="119" t="s">
        <v>217</v>
      </c>
      <c r="C29" s="119">
        <v>115</v>
      </c>
      <c r="D29" s="118" t="s">
        <v>177</v>
      </c>
      <c r="E29" s="118">
        <v>118</v>
      </c>
      <c r="F29" s="118" t="s">
        <v>188</v>
      </c>
      <c r="G29" s="118">
        <v>186</v>
      </c>
      <c r="H29" s="118" t="s">
        <v>188</v>
      </c>
      <c r="I29" s="378">
        <v>186</v>
      </c>
      <c r="J29" s="117">
        <v>86</v>
      </c>
      <c r="K29" s="117" t="s">
        <v>176</v>
      </c>
      <c r="L29" t="str">
        <f t="shared" si="8"/>
        <v>IE28</v>
      </c>
      <c r="M29" t="str">
        <f t="shared" si="17"/>
        <v/>
      </c>
      <c r="N29" t="str">
        <f t="shared" si="22"/>
        <v/>
      </c>
      <c r="O29" t="str">
        <f t="shared" si="19"/>
        <v/>
      </c>
      <c r="P29" s="113" t="str">
        <f t="shared" si="9"/>
        <v>IE28</v>
      </c>
      <c r="Q29" s="114">
        <f t="shared" si="10"/>
        <v>186</v>
      </c>
      <c r="R29" s="114">
        <f t="shared" si="11"/>
        <v>139.66666666666666</v>
      </c>
      <c r="S29" s="113">
        <f t="shared" si="12"/>
        <v>115</v>
      </c>
      <c r="T29" s="111">
        <f t="shared" ca="1" si="13"/>
        <v>3.67</v>
      </c>
      <c r="U29" s="111" t="str">
        <f t="shared" si="14"/>
        <v/>
      </c>
      <c r="V29" t="str">
        <f t="array" ref="V29">INDEX(P:P,MAX(U$3:U29))</f>
        <v>IE#2MTR</v>
      </c>
      <c r="W29" t="str">
        <f t="shared" ca="1" si="15"/>
        <v/>
      </c>
      <c r="X29">
        <f t="shared" si="16"/>
        <v>11.4</v>
      </c>
      <c r="Y29">
        <f t="shared" si="20"/>
        <v>186</v>
      </c>
      <c r="Z29" t="str">
        <f t="shared" si="21"/>
        <v>二林</v>
      </c>
    </row>
    <row r="30" spans="1:26" x14ac:dyDescent="0.25">
      <c r="A30" s="118" t="s">
        <v>208</v>
      </c>
      <c r="B30" s="119" t="s">
        <v>218</v>
      </c>
      <c r="C30" s="119">
        <v>172</v>
      </c>
      <c r="D30" s="118" t="s">
        <v>184</v>
      </c>
      <c r="E30" s="118">
        <v>162</v>
      </c>
      <c r="F30" s="118" t="s">
        <v>184</v>
      </c>
      <c r="G30" s="118">
        <v>191</v>
      </c>
      <c r="H30" s="118" t="s">
        <v>184</v>
      </c>
      <c r="I30" s="378">
        <v>191</v>
      </c>
      <c r="J30" s="117">
        <v>39</v>
      </c>
      <c r="K30" s="117" t="s">
        <v>196</v>
      </c>
      <c r="L30" t="str">
        <f t="shared" si="8"/>
        <v>IE20</v>
      </c>
      <c r="M30" t="str">
        <f t="shared" si="17"/>
        <v/>
      </c>
      <c r="N30" t="str">
        <f t="shared" si="22"/>
        <v/>
      </c>
      <c r="O30" t="str">
        <f t="shared" si="19"/>
        <v/>
      </c>
      <c r="P30" s="113" t="str">
        <f t="shared" si="9"/>
        <v>IE20</v>
      </c>
      <c r="Q30" s="114">
        <f t="shared" si="10"/>
        <v>191</v>
      </c>
      <c r="R30" s="114">
        <f t="shared" si="11"/>
        <v>175</v>
      </c>
      <c r="S30" s="113">
        <f t="shared" si="12"/>
        <v>162</v>
      </c>
      <c r="T30" s="111">
        <f t="shared" ca="1" si="13"/>
        <v>3.77</v>
      </c>
      <c r="U30" s="111" t="str">
        <f t="shared" si="14"/>
        <v/>
      </c>
      <c r="V30" t="str">
        <f t="array" ref="V30">INDEX(P:P,MAX(U$3:U30))</f>
        <v>IE#2MTR</v>
      </c>
      <c r="W30" t="str">
        <f t="shared" ca="1" si="15"/>
        <v/>
      </c>
      <c r="X30">
        <f t="shared" si="16"/>
        <v>11.4</v>
      </c>
      <c r="Y30">
        <f t="shared" si="20"/>
        <v>191</v>
      </c>
      <c r="Z30" t="str">
        <f t="shared" si="21"/>
        <v>二林</v>
      </c>
    </row>
    <row r="31" spans="1:26" x14ac:dyDescent="0.25">
      <c r="A31" s="118" t="s">
        <v>208</v>
      </c>
      <c r="B31" s="119" t="s">
        <v>219</v>
      </c>
      <c r="C31" s="119">
        <v>222</v>
      </c>
      <c r="D31" s="118" t="s">
        <v>179</v>
      </c>
      <c r="E31" s="118">
        <v>233</v>
      </c>
      <c r="F31" s="118" t="s">
        <v>179</v>
      </c>
      <c r="G31" s="118">
        <v>251</v>
      </c>
      <c r="H31" s="118" t="s">
        <v>177</v>
      </c>
      <c r="I31" s="378">
        <v>251</v>
      </c>
      <c r="J31" s="117">
        <v>68</v>
      </c>
      <c r="K31" s="117" t="s">
        <v>188</v>
      </c>
      <c r="L31" t="str">
        <f t="shared" si="8"/>
        <v>IE26</v>
      </c>
      <c r="M31" t="str">
        <f t="shared" si="17"/>
        <v/>
      </c>
      <c r="N31" t="str">
        <f t="shared" si="22"/>
        <v/>
      </c>
      <c r="O31" t="str">
        <f t="shared" si="19"/>
        <v/>
      </c>
      <c r="P31" s="113" t="str">
        <f t="shared" si="9"/>
        <v>IE26</v>
      </c>
      <c r="Q31" s="114">
        <f t="shared" si="10"/>
        <v>251</v>
      </c>
      <c r="R31" s="114">
        <f t="shared" si="11"/>
        <v>235.33333333333334</v>
      </c>
      <c r="S31" s="113">
        <f t="shared" si="12"/>
        <v>222</v>
      </c>
      <c r="T31" s="111">
        <f t="shared" ca="1" si="13"/>
        <v>4.96</v>
      </c>
      <c r="U31" s="111" t="str">
        <f t="shared" si="14"/>
        <v/>
      </c>
      <c r="V31" t="str">
        <f t="array" ref="V31">INDEX(P:P,MAX(U$3:U31))</f>
        <v>IE#2MTR</v>
      </c>
      <c r="W31" t="str">
        <f t="shared" ca="1" si="15"/>
        <v/>
      </c>
      <c r="X31">
        <f t="shared" si="16"/>
        <v>11.4</v>
      </c>
      <c r="Y31">
        <f t="shared" si="20"/>
        <v>251</v>
      </c>
      <c r="Z31" t="str">
        <f t="shared" si="21"/>
        <v>二林</v>
      </c>
    </row>
    <row r="32" spans="1:26" x14ac:dyDescent="0.25">
      <c r="A32" s="118" t="s">
        <v>208</v>
      </c>
      <c r="B32" s="119" t="s">
        <v>220</v>
      </c>
      <c r="C32" s="119">
        <v>167</v>
      </c>
      <c r="D32" s="118" t="s">
        <v>179</v>
      </c>
      <c r="E32" s="118">
        <v>175</v>
      </c>
      <c r="F32" s="118" t="s">
        <v>179</v>
      </c>
      <c r="G32" s="118">
        <v>134</v>
      </c>
      <c r="H32" s="118" t="s">
        <v>179</v>
      </c>
      <c r="I32" s="378">
        <v>175</v>
      </c>
      <c r="J32" s="117">
        <v>50</v>
      </c>
      <c r="K32" s="117" t="s">
        <v>188</v>
      </c>
      <c r="L32" t="str">
        <f t="shared" si="8"/>
        <v>IE29</v>
      </c>
      <c r="M32" t="str">
        <f t="shared" si="17"/>
        <v/>
      </c>
      <c r="N32" t="str">
        <f t="shared" si="22"/>
        <v/>
      </c>
      <c r="O32" t="str">
        <f t="shared" si="19"/>
        <v/>
      </c>
      <c r="P32" s="113" t="str">
        <f t="shared" si="9"/>
        <v>IE29</v>
      </c>
      <c r="Q32" s="114">
        <f t="shared" si="10"/>
        <v>175</v>
      </c>
      <c r="R32" s="114">
        <f t="shared" si="11"/>
        <v>158.66666666666666</v>
      </c>
      <c r="S32" s="113">
        <f t="shared" si="12"/>
        <v>134</v>
      </c>
      <c r="T32" s="111">
        <f t="shared" ca="1" si="13"/>
        <v>3.46</v>
      </c>
      <c r="U32" s="111" t="str">
        <f t="shared" si="14"/>
        <v/>
      </c>
      <c r="V32" t="str">
        <f t="array" ref="V32">INDEX(P:P,MAX(U$3:U32))</f>
        <v>IE#2MTR</v>
      </c>
      <c r="W32" t="str">
        <f t="shared" ca="1" si="15"/>
        <v/>
      </c>
      <c r="X32">
        <f t="shared" si="16"/>
        <v>11.4</v>
      </c>
      <c r="Y32">
        <f t="shared" si="20"/>
        <v>175</v>
      </c>
      <c r="Z32" t="str">
        <f t="shared" si="21"/>
        <v>二林</v>
      </c>
    </row>
    <row r="33" spans="1:26" x14ac:dyDescent="0.25">
      <c r="A33" s="118" t="s">
        <v>221</v>
      </c>
      <c r="B33" s="119" t="s">
        <v>175</v>
      </c>
      <c r="C33" s="119">
        <v>426</v>
      </c>
      <c r="D33" s="118" t="s">
        <v>198</v>
      </c>
      <c r="E33" s="118">
        <v>477</v>
      </c>
      <c r="F33" s="118" t="s">
        <v>198</v>
      </c>
      <c r="G33" s="118">
        <v>433</v>
      </c>
      <c r="H33" s="118" t="s">
        <v>179</v>
      </c>
      <c r="I33" s="378">
        <v>477</v>
      </c>
      <c r="J33" s="117"/>
      <c r="K33" s="117"/>
      <c r="L33" t="str">
        <f t="shared" si="8"/>
        <v>IM#1MTR</v>
      </c>
      <c r="M33" t="str">
        <f t="shared" si="17"/>
        <v/>
      </c>
      <c r="N33" t="str">
        <f t="shared" si="22"/>
        <v>IM#1MTR</v>
      </c>
      <c r="O33" t="str">
        <f t="shared" si="19"/>
        <v/>
      </c>
      <c r="P33" s="113" t="str">
        <f t="shared" si="9"/>
        <v>IM#1MTR</v>
      </c>
      <c r="Q33" s="114">
        <f t="shared" si="10"/>
        <v>477</v>
      </c>
      <c r="R33" s="114">
        <f t="shared" si="11"/>
        <v>445.33333333333331</v>
      </c>
      <c r="S33" s="113">
        <f t="shared" si="12"/>
        <v>426</v>
      </c>
      <c r="T33" s="111">
        <f t="shared" ca="1" si="13"/>
        <v>9.42</v>
      </c>
      <c r="U33" s="111">
        <f t="shared" si="14"/>
        <v>33</v>
      </c>
      <c r="V33" t="str">
        <f t="array" ref="V33">INDEX(P:P,MAX(U$3:U33))</f>
        <v>IM#1MTR</v>
      </c>
      <c r="W33">
        <f t="shared" ca="1" si="15"/>
        <v>25</v>
      </c>
      <c r="X33" t="str">
        <f t="shared" si="16"/>
        <v/>
      </c>
      <c r="Y33">
        <f t="shared" si="20"/>
        <v>477</v>
      </c>
      <c r="Z33" t="str">
        <f t="shared" si="21"/>
        <v>大竹</v>
      </c>
    </row>
    <row r="34" spans="1:26" x14ac:dyDescent="0.25">
      <c r="A34" s="118" t="s">
        <v>221</v>
      </c>
      <c r="B34" s="119" t="s">
        <v>222</v>
      </c>
      <c r="C34" s="119">
        <v>68</v>
      </c>
      <c r="D34" s="118" t="s">
        <v>176</v>
      </c>
      <c r="E34" s="118">
        <v>90</v>
      </c>
      <c r="F34" s="118" t="s">
        <v>188</v>
      </c>
      <c r="G34" s="118">
        <v>115</v>
      </c>
      <c r="H34" s="118" t="s">
        <v>188</v>
      </c>
      <c r="I34" s="378">
        <v>115</v>
      </c>
      <c r="J34" s="117">
        <v>69</v>
      </c>
      <c r="K34" s="117" t="s">
        <v>177</v>
      </c>
      <c r="L34" t="str">
        <f t="shared" si="8"/>
        <v>IM30</v>
      </c>
      <c r="M34" t="str">
        <f t="shared" si="17"/>
        <v/>
      </c>
      <c r="N34" t="str">
        <f t="shared" si="22"/>
        <v/>
      </c>
      <c r="O34" t="str">
        <f t="shared" si="19"/>
        <v/>
      </c>
      <c r="P34" s="113" t="str">
        <f t="shared" si="9"/>
        <v>IM30</v>
      </c>
      <c r="Q34" s="114">
        <f t="shared" si="10"/>
        <v>115</v>
      </c>
      <c r="R34" s="114">
        <f t="shared" si="11"/>
        <v>91</v>
      </c>
      <c r="S34" s="113">
        <f t="shared" si="12"/>
        <v>68</v>
      </c>
      <c r="T34" s="111">
        <f t="shared" ca="1" si="13"/>
        <v>2.27</v>
      </c>
      <c r="U34" s="111" t="str">
        <f t="shared" si="14"/>
        <v/>
      </c>
      <c r="V34" t="str">
        <f t="array" ref="V34">INDEX(P:P,MAX(U$3:U34))</f>
        <v>IM#1MTR</v>
      </c>
      <c r="W34" t="str">
        <f t="shared" ca="1" si="15"/>
        <v/>
      </c>
      <c r="X34">
        <f t="shared" si="16"/>
        <v>11.4</v>
      </c>
      <c r="Y34">
        <f t="shared" si="20"/>
        <v>115</v>
      </c>
      <c r="Z34" t="str">
        <f t="shared" si="21"/>
        <v>大竹</v>
      </c>
    </row>
    <row r="35" spans="1:26" x14ac:dyDescent="0.25">
      <c r="A35" s="118" t="s">
        <v>221</v>
      </c>
      <c r="B35" s="119" t="s">
        <v>223</v>
      </c>
      <c r="C35" s="119">
        <v>36</v>
      </c>
      <c r="D35" s="118" t="s">
        <v>179</v>
      </c>
      <c r="E35" s="118">
        <v>66</v>
      </c>
      <c r="F35" s="118" t="s">
        <v>176</v>
      </c>
      <c r="G35" s="118">
        <v>88</v>
      </c>
      <c r="H35" s="118" t="s">
        <v>188</v>
      </c>
      <c r="I35" s="378">
        <v>88</v>
      </c>
      <c r="J35" s="117">
        <v>63</v>
      </c>
      <c r="K35" s="117" t="s">
        <v>188</v>
      </c>
      <c r="L35" t="str">
        <f t="shared" si="8"/>
        <v>IM29</v>
      </c>
      <c r="M35" t="str">
        <f t="shared" si="17"/>
        <v/>
      </c>
      <c r="N35" t="str">
        <f t="shared" si="22"/>
        <v/>
      </c>
      <c r="O35" t="str">
        <f t="shared" si="19"/>
        <v/>
      </c>
      <c r="P35" s="113" t="str">
        <f t="shared" si="9"/>
        <v>IM29</v>
      </c>
      <c r="Q35" s="114">
        <f t="shared" si="10"/>
        <v>88</v>
      </c>
      <c r="R35" s="114">
        <f t="shared" si="11"/>
        <v>63.333333333333336</v>
      </c>
      <c r="S35" s="113">
        <f t="shared" si="12"/>
        <v>36</v>
      </c>
      <c r="T35" s="111">
        <f t="shared" ca="1" si="13"/>
        <v>1.74</v>
      </c>
      <c r="U35" s="111" t="str">
        <f t="shared" si="14"/>
        <v/>
      </c>
      <c r="V35" t="str">
        <f t="array" ref="V35">INDEX(P:P,MAX(U$3:U35))</f>
        <v>IM#1MTR</v>
      </c>
      <c r="W35" t="str">
        <f t="shared" ca="1" si="15"/>
        <v/>
      </c>
      <c r="X35">
        <f t="shared" si="16"/>
        <v>11.4</v>
      </c>
      <c r="Y35">
        <f t="shared" si="20"/>
        <v>88</v>
      </c>
      <c r="Z35" t="str">
        <f t="shared" si="21"/>
        <v>大竹</v>
      </c>
    </row>
    <row r="36" spans="1:26" x14ac:dyDescent="0.25">
      <c r="A36" s="118" t="s">
        <v>221</v>
      </c>
      <c r="B36" s="119" t="s">
        <v>224</v>
      </c>
      <c r="C36" s="119">
        <v>122</v>
      </c>
      <c r="D36" s="118" t="s">
        <v>203</v>
      </c>
      <c r="E36" s="118">
        <v>125</v>
      </c>
      <c r="F36" s="118" t="s">
        <v>203</v>
      </c>
      <c r="G36" s="118">
        <v>76</v>
      </c>
      <c r="H36" s="118" t="s">
        <v>200</v>
      </c>
      <c r="I36" s="378">
        <v>125</v>
      </c>
      <c r="J36" s="117">
        <v>102</v>
      </c>
      <c r="K36" s="117" t="s">
        <v>203</v>
      </c>
      <c r="L36" t="str">
        <f t="shared" si="8"/>
        <v>IM26</v>
      </c>
      <c r="M36" t="str">
        <f t="shared" si="17"/>
        <v/>
      </c>
      <c r="N36" t="str">
        <f t="shared" si="22"/>
        <v/>
      </c>
      <c r="O36" t="str">
        <f t="shared" si="19"/>
        <v/>
      </c>
      <c r="P36" s="113" t="str">
        <f t="shared" si="9"/>
        <v>IM26</v>
      </c>
      <c r="Q36" s="114">
        <f t="shared" si="10"/>
        <v>125</v>
      </c>
      <c r="R36" s="114">
        <f t="shared" si="11"/>
        <v>107.66666666666667</v>
      </c>
      <c r="S36" s="113">
        <f t="shared" si="12"/>
        <v>76</v>
      </c>
      <c r="T36" s="111">
        <f t="shared" ca="1" si="13"/>
        <v>2.4700000000000002</v>
      </c>
      <c r="U36" s="111" t="str">
        <f t="shared" si="14"/>
        <v/>
      </c>
      <c r="V36" t="str">
        <f t="array" ref="V36">INDEX(P:P,MAX(U$3:U36))</f>
        <v>IM#1MTR</v>
      </c>
      <c r="W36" t="str">
        <f t="shared" ca="1" si="15"/>
        <v/>
      </c>
      <c r="X36">
        <f t="shared" si="16"/>
        <v>11.4</v>
      </c>
      <c r="Y36">
        <f t="shared" si="20"/>
        <v>125</v>
      </c>
      <c r="Z36" t="str">
        <f t="shared" si="21"/>
        <v>大竹</v>
      </c>
    </row>
    <row r="37" spans="1:26" x14ac:dyDescent="0.25">
      <c r="A37" s="118" t="s">
        <v>221</v>
      </c>
      <c r="B37" s="119" t="s">
        <v>225</v>
      </c>
      <c r="C37" s="119">
        <v>210</v>
      </c>
      <c r="D37" s="118" t="s">
        <v>198</v>
      </c>
      <c r="E37" s="118">
        <v>243</v>
      </c>
      <c r="F37" s="118" t="s">
        <v>198</v>
      </c>
      <c r="G37" s="118">
        <v>187</v>
      </c>
      <c r="H37" s="118" t="s">
        <v>203</v>
      </c>
      <c r="I37" s="378">
        <v>243</v>
      </c>
      <c r="J37" s="117">
        <v>92</v>
      </c>
      <c r="K37" s="117" t="s">
        <v>203</v>
      </c>
      <c r="L37" t="str">
        <f t="shared" si="8"/>
        <v>IM22</v>
      </c>
      <c r="M37" t="str">
        <f t="shared" si="17"/>
        <v/>
      </c>
      <c r="N37" t="str">
        <f t="shared" si="22"/>
        <v/>
      </c>
      <c r="O37" t="str">
        <f t="shared" si="19"/>
        <v/>
      </c>
      <c r="P37" s="113" t="str">
        <f t="shared" si="9"/>
        <v>IM22</v>
      </c>
      <c r="Q37" s="114">
        <f t="shared" si="10"/>
        <v>243</v>
      </c>
      <c r="R37" s="114">
        <f t="shared" si="11"/>
        <v>213.33333333333334</v>
      </c>
      <c r="S37" s="113">
        <f t="shared" si="12"/>
        <v>187</v>
      </c>
      <c r="T37" s="111">
        <f t="shared" ca="1" si="13"/>
        <v>4.8</v>
      </c>
      <c r="U37" s="111" t="str">
        <f t="shared" si="14"/>
        <v/>
      </c>
      <c r="V37" t="str">
        <f t="array" ref="V37">INDEX(P:P,MAX(U$3:U37))</f>
        <v>IM#1MTR</v>
      </c>
      <c r="W37" t="str">
        <f t="shared" ca="1" si="15"/>
        <v/>
      </c>
      <c r="X37">
        <f t="shared" si="16"/>
        <v>11.4</v>
      </c>
      <c r="Y37">
        <f t="shared" si="20"/>
        <v>243</v>
      </c>
      <c r="Z37" t="str">
        <f t="shared" si="21"/>
        <v>大竹</v>
      </c>
    </row>
    <row r="38" spans="1:26" x14ac:dyDescent="0.25">
      <c r="A38" s="118" t="s">
        <v>221</v>
      </c>
      <c r="B38" s="119" t="s">
        <v>226</v>
      </c>
      <c r="C38" s="119">
        <v>38</v>
      </c>
      <c r="D38" s="118" t="s">
        <v>177</v>
      </c>
      <c r="E38" s="118">
        <v>29</v>
      </c>
      <c r="F38" s="118" t="s">
        <v>207</v>
      </c>
      <c r="G38" s="118">
        <v>27</v>
      </c>
      <c r="H38" s="118" t="s">
        <v>184</v>
      </c>
      <c r="I38" s="378">
        <v>38</v>
      </c>
      <c r="J38" s="117">
        <v>33</v>
      </c>
      <c r="K38" s="117" t="s">
        <v>192</v>
      </c>
      <c r="L38" t="str">
        <f t="shared" si="8"/>
        <v>IM20</v>
      </c>
      <c r="M38" t="str">
        <f t="shared" si="17"/>
        <v/>
      </c>
      <c r="N38" t="str">
        <f t="shared" si="22"/>
        <v/>
      </c>
      <c r="O38" t="str">
        <f t="shared" si="19"/>
        <v/>
      </c>
      <c r="P38" s="113" t="str">
        <f t="shared" si="9"/>
        <v>IM20</v>
      </c>
      <c r="Q38" s="114">
        <f t="shared" si="10"/>
        <v>38</v>
      </c>
      <c r="R38" s="114">
        <f t="shared" si="11"/>
        <v>31.333333333333332</v>
      </c>
      <c r="S38" s="113">
        <f t="shared" si="12"/>
        <v>27</v>
      </c>
      <c r="T38" s="111">
        <f t="shared" ca="1" si="13"/>
        <v>0.75</v>
      </c>
      <c r="U38" s="111" t="str">
        <f t="shared" si="14"/>
        <v/>
      </c>
      <c r="V38" t="str">
        <f t="array" ref="V38">INDEX(P:P,MAX(U$3:U38))</f>
        <v>IM#1MTR</v>
      </c>
      <c r="W38" t="str">
        <f t="shared" ca="1" si="15"/>
        <v/>
      </c>
      <c r="X38">
        <f t="shared" si="16"/>
        <v>11.4</v>
      </c>
      <c r="Y38">
        <f t="shared" si="20"/>
        <v>38</v>
      </c>
      <c r="Z38" t="str">
        <f t="shared" si="21"/>
        <v>大竹</v>
      </c>
    </row>
    <row r="39" spans="1:26" x14ac:dyDescent="0.25">
      <c r="A39" s="118" t="s">
        <v>221</v>
      </c>
      <c r="B39" s="119" t="s">
        <v>187</v>
      </c>
      <c r="C39" s="119">
        <v>370</v>
      </c>
      <c r="D39" s="118" t="s">
        <v>177</v>
      </c>
      <c r="E39" s="118">
        <v>402</v>
      </c>
      <c r="F39" s="118" t="s">
        <v>198</v>
      </c>
      <c r="G39" s="118">
        <v>344</v>
      </c>
      <c r="H39" s="118" t="s">
        <v>198</v>
      </c>
      <c r="I39" s="378">
        <v>402</v>
      </c>
      <c r="J39" s="117"/>
      <c r="K39" s="117"/>
      <c r="L39" t="str">
        <f t="shared" si="8"/>
        <v>IM#2MTR</v>
      </c>
      <c r="M39" t="str">
        <f t="shared" si="17"/>
        <v/>
      </c>
      <c r="N39" t="str">
        <f t="shared" si="22"/>
        <v>IM#2MTR</v>
      </c>
      <c r="O39" t="str">
        <f t="shared" si="19"/>
        <v/>
      </c>
      <c r="P39" s="113" t="str">
        <f t="shared" si="9"/>
        <v>IM#2MTR</v>
      </c>
      <c r="Q39" s="114">
        <f t="shared" si="10"/>
        <v>402</v>
      </c>
      <c r="R39" s="114">
        <f t="shared" si="11"/>
        <v>372</v>
      </c>
      <c r="S39" s="113">
        <f t="shared" si="12"/>
        <v>344</v>
      </c>
      <c r="T39" s="111">
        <f t="shared" ca="1" si="13"/>
        <v>7.94</v>
      </c>
      <c r="U39" s="111">
        <f t="shared" si="14"/>
        <v>39</v>
      </c>
      <c r="V39" t="str">
        <f t="array" ref="V39">INDEX(P:P,MAX(U$3:U39))</f>
        <v>IM#2MTR</v>
      </c>
      <c r="W39">
        <f t="shared" ca="1" si="15"/>
        <v>25</v>
      </c>
      <c r="X39" t="str">
        <f t="shared" si="16"/>
        <v/>
      </c>
      <c r="Y39">
        <f t="shared" si="20"/>
        <v>402</v>
      </c>
      <c r="Z39" t="str">
        <f t="shared" si="21"/>
        <v>大竹</v>
      </c>
    </row>
    <row r="40" spans="1:26" x14ac:dyDescent="0.25">
      <c r="A40" s="118" t="s">
        <v>221</v>
      </c>
      <c r="B40" s="119" t="s">
        <v>227</v>
      </c>
      <c r="C40" s="119">
        <v>67</v>
      </c>
      <c r="D40" s="118" t="s">
        <v>192</v>
      </c>
      <c r="E40" s="118">
        <v>93</v>
      </c>
      <c r="F40" s="118" t="s">
        <v>198</v>
      </c>
      <c r="G40" s="118">
        <v>95</v>
      </c>
      <c r="H40" s="118" t="s">
        <v>198</v>
      </c>
      <c r="I40" s="378">
        <v>95</v>
      </c>
      <c r="J40" s="117">
        <v>67</v>
      </c>
      <c r="K40" s="117" t="s">
        <v>207</v>
      </c>
      <c r="L40" t="str">
        <f t="shared" si="8"/>
        <v>IM28</v>
      </c>
      <c r="M40" t="str">
        <f t="shared" si="17"/>
        <v/>
      </c>
      <c r="N40" t="str">
        <f t="shared" si="22"/>
        <v/>
      </c>
      <c r="O40" t="str">
        <f t="shared" si="19"/>
        <v/>
      </c>
      <c r="P40" s="113" t="str">
        <f t="shared" si="9"/>
        <v>IM28</v>
      </c>
      <c r="Q40" s="114">
        <f t="shared" si="10"/>
        <v>95</v>
      </c>
      <c r="R40" s="114">
        <f t="shared" si="11"/>
        <v>85</v>
      </c>
      <c r="S40" s="113">
        <f t="shared" si="12"/>
        <v>67</v>
      </c>
      <c r="T40" s="111">
        <f t="shared" ca="1" si="13"/>
        <v>1.88</v>
      </c>
      <c r="U40" s="111" t="str">
        <f t="shared" si="14"/>
        <v/>
      </c>
      <c r="V40" t="str">
        <f t="array" ref="V40">INDEX(P:P,MAX(U$3:U40))</f>
        <v>IM#2MTR</v>
      </c>
      <c r="W40" t="str">
        <f t="shared" ca="1" si="15"/>
        <v/>
      </c>
      <c r="X40">
        <f t="shared" si="16"/>
        <v>11.4</v>
      </c>
      <c r="Y40">
        <f t="shared" si="20"/>
        <v>95</v>
      </c>
      <c r="Z40" t="str">
        <f t="shared" si="21"/>
        <v>大竹</v>
      </c>
    </row>
    <row r="41" spans="1:26" x14ac:dyDescent="0.25">
      <c r="A41" s="118" t="s">
        <v>221</v>
      </c>
      <c r="B41" s="119" t="s">
        <v>228</v>
      </c>
      <c r="C41" s="119">
        <v>120</v>
      </c>
      <c r="D41" s="118" t="s">
        <v>229</v>
      </c>
      <c r="E41" s="118">
        <v>112</v>
      </c>
      <c r="F41" s="118" t="s">
        <v>179</v>
      </c>
      <c r="G41" s="118">
        <v>98</v>
      </c>
      <c r="H41" s="118" t="s">
        <v>229</v>
      </c>
      <c r="I41" s="378">
        <v>120</v>
      </c>
      <c r="J41" s="117">
        <v>36</v>
      </c>
      <c r="K41" s="117" t="s">
        <v>207</v>
      </c>
      <c r="L41" t="str">
        <f t="shared" si="8"/>
        <v>IM27</v>
      </c>
      <c r="M41" t="str">
        <f t="shared" si="17"/>
        <v/>
      </c>
      <c r="N41" t="str">
        <f t="shared" si="22"/>
        <v/>
      </c>
      <c r="O41" t="str">
        <f t="shared" si="19"/>
        <v/>
      </c>
      <c r="P41" s="113" t="str">
        <f t="shared" si="9"/>
        <v>IM27</v>
      </c>
      <c r="Q41" s="114">
        <f t="shared" si="10"/>
        <v>120</v>
      </c>
      <c r="R41" s="114">
        <f t="shared" si="11"/>
        <v>110</v>
      </c>
      <c r="S41" s="113">
        <f t="shared" si="12"/>
        <v>98</v>
      </c>
      <c r="T41" s="111">
        <f t="shared" ca="1" si="13"/>
        <v>2.37</v>
      </c>
      <c r="U41" s="111" t="str">
        <f t="shared" si="14"/>
        <v/>
      </c>
      <c r="V41" t="str">
        <f t="array" ref="V41">INDEX(P:P,MAX(U$3:U41))</f>
        <v>IM#2MTR</v>
      </c>
      <c r="W41" t="str">
        <f t="shared" ca="1" si="15"/>
        <v/>
      </c>
      <c r="X41">
        <f t="shared" si="16"/>
        <v>11.4</v>
      </c>
      <c r="Y41">
        <f t="shared" si="20"/>
        <v>120</v>
      </c>
      <c r="Z41" t="str">
        <f t="shared" si="21"/>
        <v>大竹</v>
      </c>
    </row>
    <row r="42" spans="1:26" x14ac:dyDescent="0.25">
      <c r="A42" s="118" t="s">
        <v>221</v>
      </c>
      <c r="B42" s="119" t="s">
        <v>230</v>
      </c>
      <c r="C42" s="119">
        <v>175</v>
      </c>
      <c r="D42" s="118" t="s">
        <v>188</v>
      </c>
      <c r="E42" s="118">
        <v>143</v>
      </c>
      <c r="F42" s="118" t="s">
        <v>198</v>
      </c>
      <c r="G42" s="118">
        <v>164</v>
      </c>
      <c r="H42" s="118" t="s">
        <v>176</v>
      </c>
      <c r="I42" s="378">
        <v>175</v>
      </c>
      <c r="J42" s="117">
        <v>63</v>
      </c>
      <c r="K42" s="117" t="s">
        <v>196</v>
      </c>
      <c r="L42" t="str">
        <f t="shared" si="8"/>
        <v>IM25</v>
      </c>
      <c r="M42" t="str">
        <f t="shared" si="17"/>
        <v/>
      </c>
      <c r="N42" t="str">
        <f t="shared" si="22"/>
        <v/>
      </c>
      <c r="O42" t="str">
        <f t="shared" si="19"/>
        <v/>
      </c>
      <c r="P42" s="113" t="str">
        <f t="shared" si="9"/>
        <v>IM25</v>
      </c>
      <c r="Q42" s="114">
        <f t="shared" si="10"/>
        <v>175</v>
      </c>
      <c r="R42" s="114">
        <f t="shared" si="11"/>
        <v>160.66666666666666</v>
      </c>
      <c r="S42" s="113">
        <f t="shared" si="12"/>
        <v>143</v>
      </c>
      <c r="T42" s="111">
        <f t="shared" ca="1" si="13"/>
        <v>3.46</v>
      </c>
      <c r="U42" s="111" t="str">
        <f t="shared" si="14"/>
        <v/>
      </c>
      <c r="V42" t="str">
        <f t="array" ref="V42">INDEX(P:P,MAX(U$3:U42))</f>
        <v>IM#2MTR</v>
      </c>
      <c r="W42" t="str">
        <f t="shared" ca="1" si="15"/>
        <v/>
      </c>
      <c r="X42">
        <f t="shared" si="16"/>
        <v>11.4</v>
      </c>
      <c r="Y42">
        <f t="shared" si="20"/>
        <v>175</v>
      </c>
      <c r="Z42" t="str">
        <f t="shared" si="21"/>
        <v>大竹</v>
      </c>
    </row>
    <row r="43" spans="1:26" x14ac:dyDescent="0.25">
      <c r="A43" s="118" t="s">
        <v>221</v>
      </c>
      <c r="B43" s="119" t="s">
        <v>231</v>
      </c>
      <c r="C43" s="119">
        <v>0</v>
      </c>
      <c r="D43" s="118" t="s">
        <v>194</v>
      </c>
      <c r="E43" s="118">
        <v>0</v>
      </c>
      <c r="F43" s="118" t="s">
        <v>194</v>
      </c>
      <c r="G43" s="118">
        <v>0</v>
      </c>
      <c r="H43" s="118" t="s">
        <v>194</v>
      </c>
      <c r="I43" s="378">
        <v>0</v>
      </c>
      <c r="J43" s="117">
        <v>0</v>
      </c>
      <c r="K43" s="117" t="s">
        <v>194</v>
      </c>
      <c r="L43" t="str">
        <f t="shared" si="8"/>
        <v>IM24</v>
      </c>
      <c r="M43" t="str">
        <f t="shared" si="17"/>
        <v/>
      </c>
      <c r="N43" t="str">
        <f t="shared" si="22"/>
        <v/>
      </c>
      <c r="O43" t="str">
        <f t="shared" si="19"/>
        <v/>
      </c>
      <c r="P43" s="113" t="str">
        <f t="shared" si="9"/>
        <v>IM24</v>
      </c>
      <c r="Q43" s="114">
        <f t="shared" si="10"/>
        <v>0</v>
      </c>
      <c r="R43" s="114">
        <f t="shared" si="11"/>
        <v>0</v>
      </c>
      <c r="S43" s="113">
        <f t="shared" si="12"/>
        <v>0</v>
      </c>
      <c r="T43" s="111">
        <f t="shared" ca="1" si="13"/>
        <v>0</v>
      </c>
      <c r="U43" s="111" t="str">
        <f t="shared" si="14"/>
        <v/>
      </c>
      <c r="V43" t="str">
        <f t="array" ref="V43">INDEX(P:P,MAX(U$3:U43))</f>
        <v>IM#2MTR</v>
      </c>
      <c r="W43" t="str">
        <f t="shared" ca="1" si="15"/>
        <v/>
      </c>
      <c r="X43">
        <f t="shared" si="16"/>
        <v>11.4</v>
      </c>
      <c r="Y43">
        <f t="shared" si="20"/>
        <v>0</v>
      </c>
      <c r="Z43" t="str">
        <f t="shared" si="21"/>
        <v>大竹</v>
      </c>
    </row>
    <row r="44" spans="1:26" x14ac:dyDescent="0.25">
      <c r="A44" s="118" t="s">
        <v>221</v>
      </c>
      <c r="B44" s="119" t="s">
        <v>232</v>
      </c>
      <c r="C44" s="119">
        <v>33</v>
      </c>
      <c r="D44" s="118" t="s">
        <v>176</v>
      </c>
      <c r="E44" s="118">
        <v>80</v>
      </c>
      <c r="F44" s="118" t="s">
        <v>198</v>
      </c>
      <c r="G44" s="118">
        <v>53</v>
      </c>
      <c r="H44" s="118" t="s">
        <v>198</v>
      </c>
      <c r="I44" s="378">
        <v>80</v>
      </c>
      <c r="J44" s="117">
        <v>70</v>
      </c>
      <c r="K44" s="117" t="s">
        <v>198</v>
      </c>
      <c r="L44" t="str">
        <f t="shared" si="8"/>
        <v>IM23</v>
      </c>
      <c r="M44" t="str">
        <f t="shared" si="17"/>
        <v/>
      </c>
      <c r="N44" t="str">
        <f t="shared" si="22"/>
        <v/>
      </c>
      <c r="O44" t="str">
        <f t="shared" si="19"/>
        <v/>
      </c>
      <c r="P44" s="113" t="str">
        <f t="shared" si="9"/>
        <v>IM23</v>
      </c>
      <c r="Q44" s="114">
        <f t="shared" si="10"/>
        <v>80</v>
      </c>
      <c r="R44" s="114">
        <f t="shared" si="11"/>
        <v>55.333333333333336</v>
      </c>
      <c r="S44" s="113">
        <f t="shared" si="12"/>
        <v>33</v>
      </c>
      <c r="T44" s="111">
        <f t="shared" ca="1" si="13"/>
        <v>1.58</v>
      </c>
      <c r="U44" s="111" t="str">
        <f t="shared" si="14"/>
        <v/>
      </c>
      <c r="V44" t="str">
        <f t="array" ref="V44">INDEX(P:P,MAX(U$3:U44))</f>
        <v>IM#2MTR</v>
      </c>
      <c r="W44" t="str">
        <f t="shared" ca="1" si="15"/>
        <v/>
      </c>
      <c r="X44">
        <f t="shared" si="16"/>
        <v>11.4</v>
      </c>
      <c r="Y44">
        <f t="shared" si="20"/>
        <v>80</v>
      </c>
      <c r="Z44" t="str">
        <f t="shared" si="21"/>
        <v>大竹</v>
      </c>
    </row>
    <row r="45" spans="1:26" x14ac:dyDescent="0.25">
      <c r="A45" s="118" t="s">
        <v>221</v>
      </c>
      <c r="B45" s="119" t="s">
        <v>197</v>
      </c>
      <c r="C45" s="119"/>
      <c r="D45" s="118"/>
      <c r="E45" s="118"/>
      <c r="F45" s="118"/>
      <c r="G45" s="118"/>
      <c r="H45" s="118"/>
      <c r="I45" s="378"/>
      <c r="J45" s="117"/>
      <c r="K45" s="117"/>
      <c r="L45" t="str">
        <f t="shared" si="8"/>
        <v>IM#3MTR</v>
      </c>
      <c r="M45" t="str">
        <f t="shared" si="17"/>
        <v/>
      </c>
      <c r="N45" t="str">
        <f t="shared" si="22"/>
        <v>IM#3MTR</v>
      </c>
      <c r="O45" t="str">
        <f t="shared" si="19"/>
        <v/>
      </c>
      <c r="P45" s="113" t="str">
        <f t="shared" si="9"/>
        <v>IM#3MTR</v>
      </c>
      <c r="Q45" s="114">
        <f t="shared" si="10"/>
        <v>0</v>
      </c>
      <c r="R45" s="114">
        <f t="shared" si="11"/>
        <v>0</v>
      </c>
      <c r="S45" s="113">
        <f t="shared" si="12"/>
        <v>0</v>
      </c>
      <c r="T45" s="111">
        <f t="shared" ca="1" si="13"/>
        <v>0</v>
      </c>
      <c r="U45" s="111">
        <f t="shared" si="14"/>
        <v>45</v>
      </c>
      <c r="V45" t="str">
        <f t="array" ref="V45">INDEX(P:P,MAX(U$3:U45))</f>
        <v>IM#3MTR</v>
      </c>
      <c r="W45">
        <f t="shared" ca="1" si="15"/>
        <v>25</v>
      </c>
      <c r="X45" t="str">
        <f t="shared" si="16"/>
        <v/>
      </c>
      <c r="Y45">
        <f t="shared" si="20"/>
        <v>0</v>
      </c>
      <c r="Z45" t="str">
        <f t="shared" si="21"/>
        <v>大竹</v>
      </c>
    </row>
    <row r="46" spans="1:26" x14ac:dyDescent="0.25">
      <c r="A46" s="118" t="s">
        <v>221</v>
      </c>
      <c r="B46" s="119" t="s">
        <v>233</v>
      </c>
      <c r="C46" s="119">
        <v>0</v>
      </c>
      <c r="D46" s="118" t="s">
        <v>194</v>
      </c>
      <c r="E46" s="118">
        <v>0</v>
      </c>
      <c r="F46" s="118" t="s">
        <v>194</v>
      </c>
      <c r="G46" s="118">
        <v>0</v>
      </c>
      <c r="H46" s="118" t="s">
        <v>194</v>
      </c>
      <c r="I46" s="378">
        <v>0</v>
      </c>
      <c r="J46" s="117">
        <v>0</v>
      </c>
      <c r="K46" s="117" t="s">
        <v>194</v>
      </c>
      <c r="L46" t="str">
        <f t="shared" si="8"/>
        <v>IM21</v>
      </c>
      <c r="M46" t="str">
        <f t="shared" si="17"/>
        <v/>
      </c>
      <c r="N46" t="str">
        <f t="shared" si="22"/>
        <v/>
      </c>
      <c r="O46" t="str">
        <f t="shared" si="19"/>
        <v/>
      </c>
      <c r="P46" s="113" t="str">
        <f t="shared" si="9"/>
        <v>IM21</v>
      </c>
      <c r="Q46" s="114">
        <f t="shared" si="10"/>
        <v>0</v>
      </c>
      <c r="R46" s="114">
        <f t="shared" si="11"/>
        <v>0</v>
      </c>
      <c r="S46" s="113">
        <f t="shared" si="12"/>
        <v>0</v>
      </c>
      <c r="T46" s="111">
        <f t="shared" ca="1" si="13"/>
        <v>0</v>
      </c>
      <c r="U46" s="111" t="str">
        <f t="shared" si="14"/>
        <v/>
      </c>
      <c r="V46" t="str">
        <f t="array" ref="V46">INDEX(P:P,MAX(U$3:U46))</f>
        <v>IM#3MTR</v>
      </c>
      <c r="W46" t="str">
        <f t="shared" ca="1" si="15"/>
        <v/>
      </c>
      <c r="X46">
        <f t="shared" si="16"/>
        <v>11.4</v>
      </c>
      <c r="Y46">
        <f t="shared" si="20"/>
        <v>0</v>
      </c>
      <c r="Z46" t="str">
        <f t="shared" si="21"/>
        <v>大竹</v>
      </c>
    </row>
    <row r="47" spans="1:26" x14ac:dyDescent="0.25">
      <c r="A47" s="118" t="s">
        <v>234</v>
      </c>
      <c r="B47" s="119" t="s">
        <v>175</v>
      </c>
      <c r="C47" s="119">
        <v>656</v>
      </c>
      <c r="D47" s="118" t="s">
        <v>207</v>
      </c>
      <c r="E47" s="118">
        <v>621</v>
      </c>
      <c r="F47" s="118" t="s">
        <v>207</v>
      </c>
      <c r="G47" s="118">
        <v>667</v>
      </c>
      <c r="H47" s="118" t="s">
        <v>207</v>
      </c>
      <c r="I47" s="378">
        <v>667</v>
      </c>
      <c r="J47" s="117"/>
      <c r="K47" s="117"/>
      <c r="L47" t="str">
        <f t="shared" si="8"/>
        <v>IN#1MTR</v>
      </c>
      <c r="M47" t="str">
        <f t="shared" si="17"/>
        <v/>
      </c>
      <c r="N47" t="str">
        <f t="shared" si="22"/>
        <v>IN#1MTR</v>
      </c>
      <c r="O47" t="str">
        <f t="shared" si="19"/>
        <v/>
      </c>
      <c r="P47" s="113" t="str">
        <f t="shared" si="9"/>
        <v>IN#1MTR</v>
      </c>
      <c r="Q47" s="114">
        <f t="shared" si="10"/>
        <v>667</v>
      </c>
      <c r="R47" s="114">
        <f t="shared" si="11"/>
        <v>648</v>
      </c>
      <c r="S47" s="113">
        <f t="shared" si="12"/>
        <v>621</v>
      </c>
      <c r="T47" s="111">
        <f t="shared" ca="1" si="13"/>
        <v>13.17</v>
      </c>
      <c r="U47" s="111">
        <f t="shared" si="14"/>
        <v>47</v>
      </c>
      <c r="V47" t="str">
        <f t="array" ref="V47">INDEX(P:P,MAX(U$3:U47))</f>
        <v>IN#1MTR</v>
      </c>
      <c r="W47">
        <f t="shared" ca="1" si="15"/>
        <v>25</v>
      </c>
      <c r="X47" t="str">
        <f t="shared" si="16"/>
        <v/>
      </c>
      <c r="Y47">
        <f t="shared" si="20"/>
        <v>667</v>
      </c>
      <c r="Z47" t="str">
        <f t="shared" si="21"/>
        <v>大村</v>
      </c>
    </row>
    <row r="48" spans="1:26" x14ac:dyDescent="0.25">
      <c r="A48" s="118" t="s">
        <v>234</v>
      </c>
      <c r="B48" s="119" t="s">
        <v>235</v>
      </c>
      <c r="C48" s="119">
        <v>328</v>
      </c>
      <c r="D48" s="118" t="s">
        <v>207</v>
      </c>
      <c r="E48" s="118">
        <v>316</v>
      </c>
      <c r="F48" s="118" t="s">
        <v>207</v>
      </c>
      <c r="G48" s="118">
        <v>336</v>
      </c>
      <c r="H48" s="118" t="s">
        <v>207</v>
      </c>
      <c r="I48" s="378">
        <v>336</v>
      </c>
      <c r="J48" s="117">
        <v>70</v>
      </c>
      <c r="K48" s="117" t="s">
        <v>179</v>
      </c>
      <c r="L48" t="str">
        <f t="shared" si="8"/>
        <v>IN28</v>
      </c>
      <c r="M48" t="str">
        <f t="shared" si="17"/>
        <v/>
      </c>
      <c r="N48" t="str">
        <f t="shared" si="22"/>
        <v/>
      </c>
      <c r="O48" t="str">
        <f t="shared" si="19"/>
        <v/>
      </c>
      <c r="P48" s="113" t="str">
        <f t="shared" si="9"/>
        <v>IN28</v>
      </c>
      <c r="Q48" s="114">
        <f t="shared" si="10"/>
        <v>336</v>
      </c>
      <c r="R48" s="114">
        <f t="shared" si="11"/>
        <v>326.66666666666669</v>
      </c>
      <c r="S48" s="113">
        <f t="shared" si="12"/>
        <v>316</v>
      </c>
      <c r="T48" s="111">
        <f t="shared" ca="1" si="13"/>
        <v>6.63</v>
      </c>
      <c r="U48" s="111" t="str">
        <f t="shared" si="14"/>
        <v/>
      </c>
      <c r="V48" t="str">
        <f t="array" ref="V48">INDEX(P:P,MAX(U$3:U48))</f>
        <v>IN#1MTR</v>
      </c>
      <c r="W48" t="str">
        <f t="shared" ca="1" si="15"/>
        <v/>
      </c>
      <c r="X48">
        <f t="shared" si="16"/>
        <v>11.4</v>
      </c>
      <c r="Y48">
        <f t="shared" si="20"/>
        <v>336</v>
      </c>
      <c r="Z48" t="str">
        <f t="shared" si="21"/>
        <v>大村</v>
      </c>
    </row>
    <row r="49" spans="1:26" x14ac:dyDescent="0.25">
      <c r="A49" s="118" t="s">
        <v>234</v>
      </c>
      <c r="B49" s="119" t="s">
        <v>236</v>
      </c>
      <c r="C49" s="119">
        <v>150</v>
      </c>
      <c r="D49" s="118" t="s">
        <v>237</v>
      </c>
      <c r="E49" s="118">
        <v>147</v>
      </c>
      <c r="F49" s="118" t="s">
        <v>237</v>
      </c>
      <c r="G49" s="118">
        <v>147</v>
      </c>
      <c r="H49" s="118" t="s">
        <v>237</v>
      </c>
      <c r="I49" s="378">
        <v>150</v>
      </c>
      <c r="J49" s="117">
        <v>3</v>
      </c>
      <c r="K49" s="117" t="s">
        <v>176</v>
      </c>
      <c r="L49" t="str">
        <f t="shared" si="8"/>
        <v>IN24</v>
      </c>
      <c r="M49" t="str">
        <f t="shared" si="17"/>
        <v/>
      </c>
      <c r="N49" t="str">
        <f t="shared" si="22"/>
        <v/>
      </c>
      <c r="O49" t="str">
        <f t="shared" si="19"/>
        <v/>
      </c>
      <c r="P49" s="113" t="str">
        <f t="shared" si="9"/>
        <v>IN24</v>
      </c>
      <c r="Q49" s="114">
        <f t="shared" si="10"/>
        <v>150</v>
      </c>
      <c r="R49" s="114">
        <f t="shared" si="11"/>
        <v>148</v>
      </c>
      <c r="S49" s="113">
        <f t="shared" si="12"/>
        <v>147</v>
      </c>
      <c r="T49" s="111">
        <f t="shared" ca="1" si="13"/>
        <v>2.96</v>
      </c>
      <c r="U49" s="111" t="str">
        <f t="shared" si="14"/>
        <v/>
      </c>
      <c r="V49" t="str">
        <f t="array" ref="V49">INDEX(P:P,MAX(U$3:U49))</f>
        <v>IN#1MTR</v>
      </c>
      <c r="W49" t="str">
        <f t="shared" ca="1" si="15"/>
        <v/>
      </c>
      <c r="X49">
        <f t="shared" si="16"/>
        <v>11.4</v>
      </c>
      <c r="Y49">
        <f t="shared" si="20"/>
        <v>150</v>
      </c>
      <c r="Z49" t="str">
        <f t="shared" si="21"/>
        <v>大村</v>
      </c>
    </row>
    <row r="50" spans="1:26" x14ac:dyDescent="0.25">
      <c r="A50" s="118" t="s">
        <v>234</v>
      </c>
      <c r="B50" s="119" t="s">
        <v>238</v>
      </c>
      <c r="C50" s="119">
        <v>0</v>
      </c>
      <c r="D50" s="118" t="s">
        <v>194</v>
      </c>
      <c r="E50" s="118">
        <v>0</v>
      </c>
      <c r="F50" s="118" t="s">
        <v>194</v>
      </c>
      <c r="G50" s="118">
        <v>0</v>
      </c>
      <c r="H50" s="118" t="s">
        <v>194</v>
      </c>
      <c r="I50" s="378">
        <v>0</v>
      </c>
      <c r="J50" s="117">
        <v>0</v>
      </c>
      <c r="K50" s="117" t="s">
        <v>194</v>
      </c>
      <c r="L50" t="str">
        <f t="shared" si="8"/>
        <v>IN20</v>
      </c>
      <c r="M50" t="str">
        <f t="shared" si="17"/>
        <v/>
      </c>
      <c r="N50" t="str">
        <f t="shared" si="22"/>
        <v/>
      </c>
      <c r="O50" t="str">
        <f t="shared" si="19"/>
        <v/>
      </c>
      <c r="P50" s="113" t="str">
        <f t="shared" si="9"/>
        <v>IN20</v>
      </c>
      <c r="Q50" s="114">
        <f t="shared" si="10"/>
        <v>0</v>
      </c>
      <c r="R50" s="114">
        <f t="shared" si="11"/>
        <v>0</v>
      </c>
      <c r="S50" s="113">
        <f t="shared" si="12"/>
        <v>0</v>
      </c>
      <c r="T50" s="111">
        <f t="shared" ca="1" si="13"/>
        <v>0</v>
      </c>
      <c r="U50" s="111" t="str">
        <f t="shared" si="14"/>
        <v/>
      </c>
      <c r="V50" t="str">
        <f t="array" ref="V50">INDEX(P:P,MAX(U$3:U50))</f>
        <v>IN#1MTR</v>
      </c>
      <c r="W50" t="str">
        <f t="shared" ca="1" si="15"/>
        <v/>
      </c>
      <c r="X50">
        <f t="shared" si="16"/>
        <v>11.4</v>
      </c>
      <c r="Y50">
        <f t="shared" si="20"/>
        <v>0</v>
      </c>
      <c r="Z50" t="str">
        <f t="shared" si="21"/>
        <v>大村</v>
      </c>
    </row>
    <row r="51" spans="1:26" x14ac:dyDescent="0.25">
      <c r="A51" s="118" t="s">
        <v>234</v>
      </c>
      <c r="B51" s="119" t="s">
        <v>239</v>
      </c>
      <c r="C51" s="119">
        <v>128</v>
      </c>
      <c r="D51" s="118" t="s">
        <v>198</v>
      </c>
      <c r="E51" s="118">
        <v>130</v>
      </c>
      <c r="F51" s="118" t="s">
        <v>198</v>
      </c>
      <c r="G51" s="118">
        <v>128</v>
      </c>
      <c r="H51" s="118" t="s">
        <v>198</v>
      </c>
      <c r="I51" s="378">
        <v>130</v>
      </c>
      <c r="J51" s="117">
        <v>33</v>
      </c>
      <c r="K51" s="117" t="s">
        <v>196</v>
      </c>
      <c r="L51" t="str">
        <f t="shared" si="8"/>
        <v>IN31</v>
      </c>
      <c r="M51" t="str">
        <f t="shared" si="17"/>
        <v/>
      </c>
      <c r="N51" t="str">
        <f t="shared" si="22"/>
        <v/>
      </c>
      <c r="O51" t="str">
        <f t="shared" si="19"/>
        <v/>
      </c>
      <c r="P51" s="113" t="str">
        <f t="shared" si="9"/>
        <v>IN31</v>
      </c>
      <c r="Q51" s="114">
        <f t="shared" si="10"/>
        <v>130</v>
      </c>
      <c r="R51" s="114">
        <f t="shared" si="11"/>
        <v>128.66666666666666</v>
      </c>
      <c r="S51" s="113">
        <f t="shared" si="12"/>
        <v>128</v>
      </c>
      <c r="T51" s="111">
        <f t="shared" ca="1" si="13"/>
        <v>2.57</v>
      </c>
      <c r="U51" s="111" t="str">
        <f t="shared" si="14"/>
        <v/>
      </c>
      <c r="V51" t="str">
        <f t="array" ref="V51">INDEX(P:P,MAX(U$3:U51))</f>
        <v>IN#1MTR</v>
      </c>
      <c r="W51" t="str">
        <f t="shared" ca="1" si="15"/>
        <v/>
      </c>
      <c r="X51">
        <f t="shared" si="16"/>
        <v>11.4</v>
      </c>
      <c r="Y51">
        <f t="shared" si="20"/>
        <v>130</v>
      </c>
      <c r="Z51" t="str">
        <f t="shared" si="21"/>
        <v>大村</v>
      </c>
    </row>
    <row r="52" spans="1:26" x14ac:dyDescent="0.25">
      <c r="A52" s="118" t="s">
        <v>234</v>
      </c>
      <c r="B52" s="119" t="s">
        <v>240</v>
      </c>
      <c r="C52" s="119">
        <v>194</v>
      </c>
      <c r="D52" s="118" t="s">
        <v>192</v>
      </c>
      <c r="E52" s="118">
        <v>188</v>
      </c>
      <c r="F52" s="118" t="s">
        <v>192</v>
      </c>
      <c r="G52" s="118">
        <v>188</v>
      </c>
      <c r="H52" s="118" t="s">
        <v>192</v>
      </c>
      <c r="I52" s="378">
        <v>194</v>
      </c>
      <c r="J52" s="117">
        <v>21</v>
      </c>
      <c r="K52" s="117" t="s">
        <v>203</v>
      </c>
      <c r="L52" t="str">
        <f t="shared" si="8"/>
        <v>IN29</v>
      </c>
      <c r="M52" t="str">
        <f t="shared" si="17"/>
        <v/>
      </c>
      <c r="N52" t="str">
        <f t="shared" si="22"/>
        <v/>
      </c>
      <c r="O52" t="str">
        <f t="shared" si="19"/>
        <v/>
      </c>
      <c r="P52" s="113" t="str">
        <f t="shared" si="9"/>
        <v>IN29</v>
      </c>
      <c r="Q52" s="114">
        <f t="shared" si="10"/>
        <v>194</v>
      </c>
      <c r="R52" s="114">
        <f t="shared" si="11"/>
        <v>190</v>
      </c>
      <c r="S52" s="113">
        <f t="shared" si="12"/>
        <v>188</v>
      </c>
      <c r="T52" s="111">
        <f t="shared" ca="1" si="13"/>
        <v>3.83</v>
      </c>
      <c r="U52" s="111" t="str">
        <f t="shared" si="14"/>
        <v/>
      </c>
      <c r="V52" t="str">
        <f t="array" ref="V52">INDEX(P:P,MAX(U$3:U52))</f>
        <v>IN#1MTR</v>
      </c>
      <c r="W52" t="str">
        <f t="shared" ca="1" si="15"/>
        <v/>
      </c>
      <c r="X52">
        <f t="shared" si="16"/>
        <v>11.4</v>
      </c>
      <c r="Y52">
        <f t="shared" si="20"/>
        <v>194</v>
      </c>
      <c r="Z52" t="str">
        <f t="shared" si="21"/>
        <v>大村</v>
      </c>
    </row>
    <row r="53" spans="1:26" x14ac:dyDescent="0.25">
      <c r="A53" s="118" t="s">
        <v>234</v>
      </c>
      <c r="B53" s="119" t="s">
        <v>187</v>
      </c>
      <c r="C53" s="119">
        <v>613</v>
      </c>
      <c r="D53" s="118" t="s">
        <v>198</v>
      </c>
      <c r="E53" s="118">
        <v>556</v>
      </c>
      <c r="F53" s="118" t="s">
        <v>207</v>
      </c>
      <c r="G53" s="118">
        <v>579</v>
      </c>
      <c r="H53" s="118" t="s">
        <v>192</v>
      </c>
      <c r="I53" s="378">
        <v>613</v>
      </c>
      <c r="J53" s="117"/>
      <c r="K53" s="117"/>
      <c r="L53" t="str">
        <f t="shared" si="8"/>
        <v>IN#2MTR</v>
      </c>
      <c r="M53" t="str">
        <f t="shared" si="17"/>
        <v/>
      </c>
      <c r="N53" t="str">
        <f t="shared" si="22"/>
        <v>IN#2MTR</v>
      </c>
      <c r="O53" t="str">
        <f t="shared" si="19"/>
        <v/>
      </c>
      <c r="P53" s="113" t="str">
        <f t="shared" si="9"/>
        <v>IN#2MTR</v>
      </c>
      <c r="Q53" s="114">
        <f t="shared" si="10"/>
        <v>613</v>
      </c>
      <c r="R53" s="114">
        <f t="shared" si="11"/>
        <v>582.66666666666663</v>
      </c>
      <c r="S53" s="113">
        <f t="shared" si="12"/>
        <v>556</v>
      </c>
      <c r="T53" s="111">
        <f t="shared" ca="1" si="13"/>
        <v>12.1</v>
      </c>
      <c r="U53" s="111">
        <f t="shared" si="14"/>
        <v>53</v>
      </c>
      <c r="V53" t="str">
        <f t="array" ref="V53">INDEX(P:P,MAX(U$3:U53))</f>
        <v>IN#2MTR</v>
      </c>
      <c r="W53">
        <f t="shared" ca="1" si="15"/>
        <v>25</v>
      </c>
      <c r="X53" t="str">
        <f t="shared" si="16"/>
        <v/>
      </c>
      <c r="Y53">
        <f t="shared" si="20"/>
        <v>613</v>
      </c>
      <c r="Z53" t="str">
        <f t="shared" si="21"/>
        <v>大村</v>
      </c>
    </row>
    <row r="54" spans="1:26" x14ac:dyDescent="0.25">
      <c r="A54" s="118" t="s">
        <v>234</v>
      </c>
      <c r="B54" s="119" t="s">
        <v>241</v>
      </c>
      <c r="C54" s="119">
        <v>210</v>
      </c>
      <c r="D54" s="118" t="s">
        <v>188</v>
      </c>
      <c r="E54" s="118">
        <v>208</v>
      </c>
      <c r="F54" s="118" t="s">
        <v>177</v>
      </c>
      <c r="G54" s="118">
        <v>222</v>
      </c>
      <c r="H54" s="118" t="s">
        <v>177</v>
      </c>
      <c r="I54" s="378">
        <v>222</v>
      </c>
      <c r="J54" s="117">
        <v>62</v>
      </c>
      <c r="K54" s="117" t="s">
        <v>196</v>
      </c>
      <c r="L54" t="str">
        <f t="shared" si="8"/>
        <v>IN22</v>
      </c>
      <c r="M54" t="str">
        <f t="shared" si="17"/>
        <v/>
      </c>
      <c r="N54" t="str">
        <f t="shared" si="22"/>
        <v/>
      </c>
      <c r="O54" t="str">
        <f t="shared" si="19"/>
        <v/>
      </c>
      <c r="P54" s="113" t="str">
        <f t="shared" si="9"/>
        <v>IN22</v>
      </c>
      <c r="Q54" s="114">
        <f t="shared" si="10"/>
        <v>222</v>
      </c>
      <c r="R54" s="114">
        <f t="shared" si="11"/>
        <v>213.33333333333334</v>
      </c>
      <c r="S54" s="113">
        <f t="shared" si="12"/>
        <v>208</v>
      </c>
      <c r="T54" s="111">
        <f t="shared" ca="1" si="13"/>
        <v>4.38</v>
      </c>
      <c r="U54" s="111" t="str">
        <f t="shared" si="14"/>
        <v/>
      </c>
      <c r="V54" t="str">
        <f t="array" ref="V54">INDEX(P:P,MAX(U$3:U54))</f>
        <v>IN#2MTR</v>
      </c>
      <c r="W54" t="str">
        <f t="shared" ca="1" si="15"/>
        <v/>
      </c>
      <c r="X54">
        <f t="shared" si="16"/>
        <v>11.4</v>
      </c>
      <c r="Y54">
        <f t="shared" si="20"/>
        <v>222</v>
      </c>
      <c r="Z54" t="str">
        <f t="shared" si="21"/>
        <v>大村</v>
      </c>
    </row>
    <row r="55" spans="1:26" x14ac:dyDescent="0.25">
      <c r="A55" s="118" t="s">
        <v>234</v>
      </c>
      <c r="B55" s="119" t="s">
        <v>242</v>
      </c>
      <c r="C55" s="119">
        <v>195</v>
      </c>
      <c r="D55" s="118" t="s">
        <v>203</v>
      </c>
      <c r="E55" s="118">
        <v>204</v>
      </c>
      <c r="F55" s="118" t="s">
        <v>203</v>
      </c>
      <c r="G55" s="118">
        <v>207</v>
      </c>
      <c r="H55" s="118" t="s">
        <v>203</v>
      </c>
      <c r="I55" s="378">
        <v>207</v>
      </c>
      <c r="J55" s="117">
        <v>28</v>
      </c>
      <c r="K55" s="117" t="s">
        <v>176</v>
      </c>
      <c r="L55" t="str">
        <f t="shared" si="8"/>
        <v>IN26</v>
      </c>
      <c r="M55" t="str">
        <f t="shared" si="17"/>
        <v/>
      </c>
      <c r="N55" t="str">
        <f t="shared" si="22"/>
        <v/>
      </c>
      <c r="O55" t="str">
        <f t="shared" si="19"/>
        <v/>
      </c>
      <c r="P55" s="113" t="str">
        <f t="shared" si="9"/>
        <v>IN26</v>
      </c>
      <c r="Q55" s="114">
        <f t="shared" si="10"/>
        <v>207</v>
      </c>
      <c r="R55" s="114">
        <f t="shared" si="11"/>
        <v>202</v>
      </c>
      <c r="S55" s="113">
        <f t="shared" si="12"/>
        <v>195</v>
      </c>
      <c r="T55" s="111">
        <f t="shared" ca="1" si="13"/>
        <v>4.09</v>
      </c>
      <c r="U55" s="111" t="str">
        <f t="shared" si="14"/>
        <v/>
      </c>
      <c r="V55" t="str">
        <f t="array" ref="V55">INDEX(P:P,MAX(U$3:U55))</f>
        <v>IN#2MTR</v>
      </c>
      <c r="W55" t="str">
        <f t="shared" ca="1" si="15"/>
        <v/>
      </c>
      <c r="X55">
        <f t="shared" si="16"/>
        <v>11.4</v>
      </c>
      <c r="Y55">
        <f t="shared" si="20"/>
        <v>207</v>
      </c>
      <c r="Z55" t="str">
        <f t="shared" si="21"/>
        <v>大村</v>
      </c>
    </row>
    <row r="56" spans="1:26" x14ac:dyDescent="0.25">
      <c r="A56" s="118" t="s">
        <v>234</v>
      </c>
      <c r="B56" s="119" t="s">
        <v>243</v>
      </c>
      <c r="C56" s="119">
        <v>97</v>
      </c>
      <c r="D56" s="118" t="s">
        <v>207</v>
      </c>
      <c r="E56" s="118">
        <v>84</v>
      </c>
      <c r="F56" s="118" t="s">
        <v>207</v>
      </c>
      <c r="G56" s="118">
        <v>57</v>
      </c>
      <c r="H56" s="118" t="s">
        <v>207</v>
      </c>
      <c r="I56" s="378">
        <v>97</v>
      </c>
      <c r="J56" s="117">
        <v>56</v>
      </c>
      <c r="K56" s="117" t="s">
        <v>207</v>
      </c>
      <c r="L56" t="str">
        <f t="shared" si="8"/>
        <v>IN23</v>
      </c>
      <c r="M56" t="str">
        <f t="shared" si="17"/>
        <v/>
      </c>
      <c r="N56" t="str">
        <f t="shared" si="22"/>
        <v/>
      </c>
      <c r="O56" t="str">
        <f t="shared" si="19"/>
        <v/>
      </c>
      <c r="P56" s="113" t="str">
        <f t="shared" si="9"/>
        <v>IN23</v>
      </c>
      <c r="Q56" s="114">
        <f t="shared" si="10"/>
        <v>97</v>
      </c>
      <c r="R56" s="114">
        <f t="shared" si="11"/>
        <v>79.333333333333329</v>
      </c>
      <c r="S56" s="113">
        <f t="shared" si="12"/>
        <v>57</v>
      </c>
      <c r="T56" s="111">
        <f t="shared" ca="1" si="13"/>
        <v>1.92</v>
      </c>
      <c r="U56" s="111" t="str">
        <f t="shared" si="14"/>
        <v/>
      </c>
      <c r="V56" t="str">
        <f t="array" ref="V56">INDEX(P:P,MAX(U$3:U56))</f>
        <v>IN#2MTR</v>
      </c>
      <c r="W56" t="str">
        <f t="shared" ca="1" si="15"/>
        <v/>
      </c>
      <c r="X56">
        <f t="shared" si="16"/>
        <v>11.4</v>
      </c>
      <c r="Y56">
        <f t="shared" si="20"/>
        <v>97</v>
      </c>
      <c r="Z56" t="str">
        <f t="shared" si="21"/>
        <v>大村</v>
      </c>
    </row>
    <row r="57" spans="1:26" x14ac:dyDescent="0.25">
      <c r="A57" s="118" t="s">
        <v>234</v>
      </c>
      <c r="B57" s="119" t="s">
        <v>244</v>
      </c>
      <c r="C57" s="119">
        <v>66</v>
      </c>
      <c r="D57" s="118" t="s">
        <v>198</v>
      </c>
      <c r="E57" s="118">
        <v>40</v>
      </c>
      <c r="F57" s="118" t="s">
        <v>207</v>
      </c>
      <c r="G57" s="118">
        <v>48</v>
      </c>
      <c r="H57" s="118" t="s">
        <v>176</v>
      </c>
      <c r="I57" s="378">
        <v>66</v>
      </c>
      <c r="J57" s="117">
        <v>47</v>
      </c>
      <c r="K57" s="117" t="s">
        <v>192</v>
      </c>
      <c r="L57" t="str">
        <f t="shared" si="8"/>
        <v>IN27</v>
      </c>
      <c r="M57" t="str">
        <f t="shared" si="17"/>
        <v/>
      </c>
      <c r="N57" t="str">
        <f t="shared" si="22"/>
        <v/>
      </c>
      <c r="O57" t="str">
        <f t="shared" si="19"/>
        <v/>
      </c>
      <c r="P57" s="113" t="str">
        <f t="shared" si="9"/>
        <v>IN27</v>
      </c>
      <c r="Q57" s="114">
        <f t="shared" si="10"/>
        <v>66</v>
      </c>
      <c r="R57" s="114">
        <f t="shared" si="11"/>
        <v>51.333333333333336</v>
      </c>
      <c r="S57" s="113">
        <f t="shared" si="12"/>
        <v>40</v>
      </c>
      <c r="T57" s="111">
        <f t="shared" ca="1" si="13"/>
        <v>1.3</v>
      </c>
      <c r="U57" s="111" t="str">
        <f t="shared" si="14"/>
        <v/>
      </c>
      <c r="V57" t="str">
        <f t="array" ref="V57">INDEX(P:P,MAX(U$3:U57))</f>
        <v>IN#2MTR</v>
      </c>
      <c r="W57" t="str">
        <f t="shared" ca="1" si="15"/>
        <v/>
      </c>
      <c r="X57">
        <f t="shared" si="16"/>
        <v>11.4</v>
      </c>
      <c r="Y57">
        <f t="shared" si="20"/>
        <v>66</v>
      </c>
      <c r="Z57" t="str">
        <f t="shared" si="21"/>
        <v>大村</v>
      </c>
    </row>
    <row r="58" spans="1:26" x14ac:dyDescent="0.25">
      <c r="A58" s="118" t="s">
        <v>234</v>
      </c>
      <c r="B58" s="119" t="s">
        <v>245</v>
      </c>
      <c r="C58" s="119">
        <v>129</v>
      </c>
      <c r="D58" s="118" t="s">
        <v>229</v>
      </c>
      <c r="E58" s="118">
        <v>108</v>
      </c>
      <c r="F58" s="118" t="s">
        <v>200</v>
      </c>
      <c r="G58" s="118">
        <v>129</v>
      </c>
      <c r="H58" s="118" t="s">
        <v>207</v>
      </c>
      <c r="I58" s="378">
        <v>129</v>
      </c>
      <c r="J58" s="117">
        <v>44</v>
      </c>
      <c r="K58" s="117" t="s">
        <v>229</v>
      </c>
      <c r="L58" t="str">
        <f t="shared" si="8"/>
        <v>IN32</v>
      </c>
      <c r="M58" t="str">
        <f t="shared" si="17"/>
        <v/>
      </c>
      <c r="N58" t="str">
        <f t="shared" si="22"/>
        <v/>
      </c>
      <c r="O58" t="str">
        <f t="shared" si="19"/>
        <v/>
      </c>
      <c r="P58" s="113" t="str">
        <f t="shared" si="9"/>
        <v>IN32</v>
      </c>
      <c r="Q58" s="114">
        <f t="shared" si="10"/>
        <v>129</v>
      </c>
      <c r="R58" s="114">
        <f t="shared" si="11"/>
        <v>122</v>
      </c>
      <c r="S58" s="113">
        <f t="shared" si="12"/>
        <v>108</v>
      </c>
      <c r="T58" s="111">
        <f t="shared" ca="1" si="13"/>
        <v>2.5499999999999998</v>
      </c>
      <c r="U58" s="111" t="str">
        <f t="shared" si="14"/>
        <v/>
      </c>
      <c r="V58" t="str">
        <f t="array" ref="V58">INDEX(P:P,MAX(U$3:U58))</f>
        <v>IN#2MTR</v>
      </c>
      <c r="W58" t="str">
        <f t="shared" ca="1" si="15"/>
        <v/>
      </c>
      <c r="X58">
        <f t="shared" si="16"/>
        <v>11.4</v>
      </c>
      <c r="Y58">
        <f t="shared" si="20"/>
        <v>129</v>
      </c>
      <c r="Z58" t="str">
        <f t="shared" si="21"/>
        <v>大村</v>
      </c>
    </row>
    <row r="59" spans="1:26" x14ac:dyDescent="0.25">
      <c r="A59" s="118" t="s">
        <v>234</v>
      </c>
      <c r="B59" s="119" t="s">
        <v>197</v>
      </c>
      <c r="C59" s="119">
        <v>472</v>
      </c>
      <c r="D59" s="118" t="s">
        <v>176</v>
      </c>
      <c r="E59" s="118">
        <v>463</v>
      </c>
      <c r="F59" s="118" t="s">
        <v>177</v>
      </c>
      <c r="G59" s="118">
        <v>477</v>
      </c>
      <c r="H59" s="118" t="s">
        <v>177</v>
      </c>
      <c r="I59" s="378">
        <v>477</v>
      </c>
      <c r="J59" s="117"/>
      <c r="K59" s="117"/>
      <c r="L59" t="str">
        <f t="shared" si="8"/>
        <v>IN#3MTR</v>
      </c>
      <c r="M59" t="str">
        <f t="shared" si="17"/>
        <v/>
      </c>
      <c r="N59" t="str">
        <f t="shared" si="22"/>
        <v>IN#3MTR</v>
      </c>
      <c r="O59" t="str">
        <f t="shared" si="19"/>
        <v/>
      </c>
      <c r="P59" s="113" t="str">
        <f t="shared" si="9"/>
        <v>IN#3MTR</v>
      </c>
      <c r="Q59" s="114">
        <f t="shared" si="10"/>
        <v>477</v>
      </c>
      <c r="R59" s="114">
        <f t="shared" si="11"/>
        <v>470.66666666666669</v>
      </c>
      <c r="S59" s="113">
        <f t="shared" si="12"/>
        <v>463</v>
      </c>
      <c r="T59" s="111">
        <f t="shared" ca="1" si="13"/>
        <v>9.42</v>
      </c>
      <c r="U59" s="111">
        <f t="shared" si="14"/>
        <v>59</v>
      </c>
      <c r="V59" t="str">
        <f t="array" ref="V59">INDEX(P:P,MAX(U$3:U59))</f>
        <v>IN#3MTR</v>
      </c>
      <c r="W59">
        <f t="shared" ca="1" si="15"/>
        <v>25</v>
      </c>
      <c r="X59" t="str">
        <f t="shared" si="16"/>
        <v/>
      </c>
      <c r="Y59">
        <f t="shared" si="20"/>
        <v>477</v>
      </c>
      <c r="Z59" t="str">
        <f t="shared" si="21"/>
        <v>大村</v>
      </c>
    </row>
    <row r="60" spans="1:26" x14ac:dyDescent="0.25">
      <c r="A60" s="118" t="s">
        <v>234</v>
      </c>
      <c r="B60" s="119" t="s">
        <v>246</v>
      </c>
      <c r="C60" s="119">
        <v>60</v>
      </c>
      <c r="D60" s="118" t="s">
        <v>177</v>
      </c>
      <c r="E60" s="118">
        <v>60</v>
      </c>
      <c r="F60" s="118" t="s">
        <v>177</v>
      </c>
      <c r="G60" s="118">
        <v>59</v>
      </c>
      <c r="H60" s="118" t="s">
        <v>177</v>
      </c>
      <c r="I60" s="378">
        <v>60</v>
      </c>
      <c r="J60" s="117">
        <v>29</v>
      </c>
      <c r="K60" s="117" t="s">
        <v>247</v>
      </c>
      <c r="L60" t="str">
        <f t="shared" si="8"/>
        <v>IN34</v>
      </c>
      <c r="M60" t="str">
        <f t="shared" si="17"/>
        <v/>
      </c>
      <c r="N60" t="str">
        <f t="shared" si="22"/>
        <v/>
      </c>
      <c r="O60" t="str">
        <f t="shared" si="19"/>
        <v/>
      </c>
      <c r="P60" s="113" t="str">
        <f t="shared" si="9"/>
        <v>IN34</v>
      </c>
      <c r="Q60" s="114">
        <f t="shared" si="10"/>
        <v>60</v>
      </c>
      <c r="R60" s="114">
        <f t="shared" si="11"/>
        <v>59.666666666666664</v>
      </c>
      <c r="S60" s="113">
        <f t="shared" si="12"/>
        <v>59</v>
      </c>
      <c r="T60" s="111">
        <f t="shared" ca="1" si="13"/>
        <v>1.18</v>
      </c>
      <c r="U60" s="111" t="str">
        <f t="shared" si="14"/>
        <v/>
      </c>
      <c r="V60" t="str">
        <f t="array" ref="V60">INDEX(P:P,MAX(U$3:U60))</f>
        <v>IN#3MTR</v>
      </c>
      <c r="W60" t="str">
        <f t="shared" ca="1" si="15"/>
        <v/>
      </c>
      <c r="X60">
        <f t="shared" si="16"/>
        <v>11.4</v>
      </c>
      <c r="Y60">
        <f t="shared" si="20"/>
        <v>60</v>
      </c>
      <c r="Z60" t="str">
        <f t="shared" si="21"/>
        <v>大村</v>
      </c>
    </row>
    <row r="61" spans="1:26" x14ac:dyDescent="0.25">
      <c r="A61" s="118" t="s">
        <v>234</v>
      </c>
      <c r="B61" s="119" t="s">
        <v>248</v>
      </c>
      <c r="C61" s="119">
        <v>280</v>
      </c>
      <c r="D61" s="118" t="s">
        <v>207</v>
      </c>
      <c r="E61" s="118">
        <v>272</v>
      </c>
      <c r="F61" s="118" t="s">
        <v>176</v>
      </c>
      <c r="G61" s="118">
        <v>281</v>
      </c>
      <c r="H61" s="118" t="s">
        <v>176</v>
      </c>
      <c r="I61" s="378">
        <v>281</v>
      </c>
      <c r="J61" s="117">
        <v>52</v>
      </c>
      <c r="K61" s="117" t="s">
        <v>196</v>
      </c>
      <c r="L61" t="str">
        <f t="shared" si="8"/>
        <v>IN33</v>
      </c>
      <c r="M61" t="str">
        <f t="shared" si="17"/>
        <v/>
      </c>
      <c r="N61" t="str">
        <f t="shared" si="22"/>
        <v/>
      </c>
      <c r="O61" t="str">
        <f t="shared" si="19"/>
        <v/>
      </c>
      <c r="P61" s="113" t="str">
        <f t="shared" si="9"/>
        <v>IN33</v>
      </c>
      <c r="Q61" s="114">
        <f t="shared" si="10"/>
        <v>281</v>
      </c>
      <c r="R61" s="114">
        <f t="shared" si="11"/>
        <v>277.66666666666669</v>
      </c>
      <c r="S61" s="113">
        <f t="shared" si="12"/>
        <v>272</v>
      </c>
      <c r="T61" s="111">
        <f t="shared" ca="1" si="13"/>
        <v>5.55</v>
      </c>
      <c r="U61" s="111" t="str">
        <f t="shared" si="14"/>
        <v/>
      </c>
      <c r="V61" t="str">
        <f t="array" ref="V61">INDEX(P:P,MAX(U$3:U61))</f>
        <v>IN#3MTR</v>
      </c>
      <c r="W61" t="str">
        <f t="shared" ca="1" si="15"/>
        <v/>
      </c>
      <c r="X61">
        <f t="shared" si="16"/>
        <v>11.4</v>
      </c>
      <c r="Y61">
        <f t="shared" si="20"/>
        <v>281</v>
      </c>
      <c r="Z61" t="str">
        <f t="shared" si="21"/>
        <v>大村</v>
      </c>
    </row>
    <row r="62" spans="1:26" x14ac:dyDescent="0.25">
      <c r="A62" s="118" t="s">
        <v>234</v>
      </c>
      <c r="B62" s="119" t="s">
        <v>249</v>
      </c>
      <c r="C62" s="119">
        <v>44</v>
      </c>
      <c r="D62" s="118" t="s">
        <v>229</v>
      </c>
      <c r="E62" s="118">
        <v>32</v>
      </c>
      <c r="F62" s="118" t="s">
        <v>250</v>
      </c>
      <c r="G62" s="118">
        <v>32</v>
      </c>
      <c r="H62" s="118" t="s">
        <v>250</v>
      </c>
      <c r="I62" s="378">
        <v>44</v>
      </c>
      <c r="J62" s="117">
        <v>18</v>
      </c>
      <c r="K62" s="117" t="s">
        <v>207</v>
      </c>
      <c r="L62" t="str">
        <f t="shared" si="8"/>
        <v>IN21</v>
      </c>
      <c r="M62" t="str">
        <f t="shared" si="17"/>
        <v/>
      </c>
      <c r="N62" t="str">
        <f t="shared" si="22"/>
        <v/>
      </c>
      <c r="O62" t="str">
        <f t="shared" si="19"/>
        <v/>
      </c>
      <c r="P62" s="113" t="str">
        <f t="shared" si="9"/>
        <v>IN21</v>
      </c>
      <c r="Q62" s="114">
        <f t="shared" si="10"/>
        <v>44</v>
      </c>
      <c r="R62" s="114">
        <f t="shared" si="11"/>
        <v>36</v>
      </c>
      <c r="S62" s="113">
        <f t="shared" si="12"/>
        <v>32</v>
      </c>
      <c r="T62" s="111">
        <f t="shared" ca="1" si="13"/>
        <v>0.87</v>
      </c>
      <c r="U62" s="111" t="str">
        <f t="shared" si="14"/>
        <v/>
      </c>
      <c r="V62" t="str">
        <f t="array" ref="V62">INDEX(P:P,MAX(U$3:U62))</f>
        <v>IN#3MTR</v>
      </c>
      <c r="W62" t="str">
        <f t="shared" ca="1" si="15"/>
        <v/>
      </c>
      <c r="X62">
        <f t="shared" si="16"/>
        <v>11.4</v>
      </c>
      <c r="Y62">
        <f t="shared" si="20"/>
        <v>44</v>
      </c>
      <c r="Z62" t="str">
        <f t="shared" si="21"/>
        <v>大村</v>
      </c>
    </row>
    <row r="63" spans="1:26" x14ac:dyDescent="0.25">
      <c r="A63" s="118" t="s">
        <v>234</v>
      </c>
      <c r="B63" s="119" t="s">
        <v>251</v>
      </c>
      <c r="C63" s="119">
        <v>28</v>
      </c>
      <c r="D63" s="118" t="s">
        <v>177</v>
      </c>
      <c r="E63" s="118">
        <v>65</v>
      </c>
      <c r="F63" s="118" t="s">
        <v>205</v>
      </c>
      <c r="G63" s="118">
        <v>38</v>
      </c>
      <c r="H63" s="118" t="s">
        <v>205</v>
      </c>
      <c r="I63" s="378">
        <v>65</v>
      </c>
      <c r="J63" s="117">
        <v>58</v>
      </c>
      <c r="K63" s="117" t="s">
        <v>205</v>
      </c>
      <c r="L63" t="str">
        <f t="shared" si="8"/>
        <v>IN25</v>
      </c>
      <c r="M63" t="str">
        <f t="shared" si="17"/>
        <v/>
      </c>
      <c r="N63" t="str">
        <f t="shared" si="22"/>
        <v/>
      </c>
      <c r="O63" t="str">
        <f t="shared" si="19"/>
        <v/>
      </c>
      <c r="P63" s="113" t="str">
        <f t="shared" si="9"/>
        <v>IN25</v>
      </c>
      <c r="Q63" s="114">
        <f t="shared" si="10"/>
        <v>65</v>
      </c>
      <c r="R63" s="114">
        <f t="shared" si="11"/>
        <v>43.666666666666664</v>
      </c>
      <c r="S63" s="113">
        <f t="shared" si="12"/>
        <v>28</v>
      </c>
      <c r="T63" s="111">
        <f t="shared" ca="1" si="13"/>
        <v>1.28</v>
      </c>
      <c r="U63" s="111" t="str">
        <f t="shared" si="14"/>
        <v/>
      </c>
      <c r="V63" t="str">
        <f t="array" ref="V63">INDEX(P:P,MAX(U$3:U63))</f>
        <v>IN#3MTR</v>
      </c>
      <c r="W63" t="str">
        <f t="shared" ca="1" si="15"/>
        <v/>
      </c>
      <c r="X63">
        <f t="shared" si="16"/>
        <v>11.4</v>
      </c>
      <c r="Y63">
        <f t="shared" si="20"/>
        <v>65</v>
      </c>
      <c r="Z63" t="str">
        <f t="shared" si="21"/>
        <v>大村</v>
      </c>
    </row>
    <row r="64" spans="1:26" x14ac:dyDescent="0.25">
      <c r="A64" s="118" t="s">
        <v>234</v>
      </c>
      <c r="B64" s="119" t="s">
        <v>252</v>
      </c>
      <c r="C64" s="119">
        <v>114</v>
      </c>
      <c r="D64" s="118" t="s">
        <v>192</v>
      </c>
      <c r="E64" s="118">
        <v>72</v>
      </c>
      <c r="F64" s="118" t="s">
        <v>198</v>
      </c>
      <c r="G64" s="118">
        <v>114</v>
      </c>
      <c r="H64" s="118" t="s">
        <v>198</v>
      </c>
      <c r="I64" s="378">
        <v>114</v>
      </c>
      <c r="J64" s="117">
        <v>77</v>
      </c>
      <c r="K64" s="117" t="s">
        <v>207</v>
      </c>
      <c r="L64" t="str">
        <f t="shared" si="8"/>
        <v>IN30</v>
      </c>
      <c r="M64" t="str">
        <f t="shared" si="17"/>
        <v/>
      </c>
      <c r="N64" t="str">
        <f t="shared" si="22"/>
        <v/>
      </c>
      <c r="O64" t="str">
        <f t="shared" si="19"/>
        <v/>
      </c>
      <c r="P64" s="113" t="str">
        <f t="shared" si="9"/>
        <v>IN30</v>
      </c>
      <c r="Q64" s="114">
        <f t="shared" si="10"/>
        <v>114</v>
      </c>
      <c r="R64" s="114">
        <f t="shared" si="11"/>
        <v>100</v>
      </c>
      <c r="S64" s="113">
        <f t="shared" si="12"/>
        <v>72</v>
      </c>
      <c r="T64" s="111">
        <f t="shared" ca="1" si="13"/>
        <v>2.25</v>
      </c>
      <c r="U64" s="111" t="str">
        <f t="shared" si="14"/>
        <v/>
      </c>
      <c r="V64" t="str">
        <f t="array" ref="V64">INDEX(P:P,MAX(U$3:U64))</f>
        <v>IN#3MTR</v>
      </c>
      <c r="W64" t="str">
        <f t="shared" ca="1" si="15"/>
        <v/>
      </c>
      <c r="X64">
        <f t="shared" si="16"/>
        <v>11.4</v>
      </c>
      <c r="Y64">
        <f t="shared" si="20"/>
        <v>114</v>
      </c>
      <c r="Z64" t="str">
        <f t="shared" si="21"/>
        <v>大村</v>
      </c>
    </row>
    <row r="65" spans="1:26" x14ac:dyDescent="0.25">
      <c r="A65" s="118" t="s">
        <v>253</v>
      </c>
      <c r="B65" s="119" t="s">
        <v>254</v>
      </c>
      <c r="C65" s="119">
        <v>462</v>
      </c>
      <c r="D65" s="118" t="s">
        <v>177</v>
      </c>
      <c r="E65" s="118">
        <v>525</v>
      </c>
      <c r="F65" s="118" t="s">
        <v>180</v>
      </c>
      <c r="G65" s="118">
        <v>475</v>
      </c>
      <c r="H65" s="118" t="s">
        <v>180</v>
      </c>
      <c r="I65" s="378">
        <v>525</v>
      </c>
      <c r="J65" s="117"/>
      <c r="K65" s="117"/>
      <c r="L65" t="str">
        <f t="shared" si="8"/>
        <v>9L#1DTR(A)</v>
      </c>
      <c r="M65" t="str">
        <f t="shared" si="17"/>
        <v>(A)</v>
      </c>
      <c r="N65" t="str">
        <f t="shared" si="22"/>
        <v>9L#1DTR</v>
      </c>
      <c r="O65" t="str">
        <f t="shared" si="19"/>
        <v>(A)</v>
      </c>
      <c r="P65" s="113" t="str">
        <f t="shared" si="9"/>
        <v>9L#1DTR(A)</v>
      </c>
      <c r="Q65" s="114">
        <f t="shared" si="10"/>
        <v>525</v>
      </c>
      <c r="R65" s="114">
        <f t="shared" si="11"/>
        <v>487.33333333333331</v>
      </c>
      <c r="S65" s="113">
        <f t="shared" si="12"/>
        <v>462</v>
      </c>
      <c r="T65" s="111">
        <f t="shared" ca="1" si="13"/>
        <v>10.37</v>
      </c>
      <c r="U65" s="111">
        <f t="shared" si="14"/>
        <v>65</v>
      </c>
      <c r="V65" t="str">
        <f t="array" ref="V65">INDEX(P:P,MAX(U$3:U65))</f>
        <v>9L#1DTR(A)</v>
      </c>
      <c r="W65">
        <f t="shared" ca="1" si="15"/>
        <v>30</v>
      </c>
      <c r="X65" t="str">
        <f t="shared" si="16"/>
        <v/>
      </c>
      <c r="Y65">
        <f t="shared" si="20"/>
        <v>525</v>
      </c>
      <c r="Z65" t="str">
        <f t="shared" si="21"/>
        <v>大城</v>
      </c>
    </row>
    <row r="66" spans="1:26" x14ac:dyDescent="0.25">
      <c r="A66" s="118" t="s">
        <v>253</v>
      </c>
      <c r="B66" s="119" t="s">
        <v>255</v>
      </c>
      <c r="C66" s="119">
        <v>119</v>
      </c>
      <c r="D66" s="118" t="s">
        <v>180</v>
      </c>
      <c r="E66" s="118">
        <v>123</v>
      </c>
      <c r="F66" s="118" t="s">
        <v>180</v>
      </c>
      <c r="G66" s="118">
        <v>139</v>
      </c>
      <c r="H66" s="118" t="s">
        <v>180</v>
      </c>
      <c r="I66" s="378">
        <v>139</v>
      </c>
      <c r="J66" s="117">
        <v>64</v>
      </c>
      <c r="K66" s="117" t="s">
        <v>192</v>
      </c>
      <c r="L66" t="str">
        <f t="shared" si="8"/>
        <v>9L21</v>
      </c>
      <c r="M66" t="str">
        <f t="shared" si="17"/>
        <v/>
      </c>
      <c r="N66" t="str">
        <f t="shared" si="22"/>
        <v/>
      </c>
      <c r="O66" t="str">
        <f t="shared" si="19"/>
        <v/>
      </c>
      <c r="P66" s="113" t="str">
        <f t="shared" si="9"/>
        <v>9L21</v>
      </c>
      <c r="Q66" s="114">
        <f t="shared" si="10"/>
        <v>139</v>
      </c>
      <c r="R66" s="114">
        <f t="shared" si="11"/>
        <v>127</v>
      </c>
      <c r="S66" s="113">
        <f t="shared" si="12"/>
        <v>119</v>
      </c>
      <c r="T66" s="111">
        <f t="shared" ca="1" si="13"/>
        <v>2.74</v>
      </c>
      <c r="U66" s="111" t="str">
        <f t="shared" si="14"/>
        <v/>
      </c>
      <c r="V66" t="str">
        <f t="array" ref="V66">INDEX(P:P,MAX(U$3:U66))</f>
        <v>9L#1DTR(A)</v>
      </c>
      <c r="W66" t="str">
        <f t="shared" ca="1" si="15"/>
        <v/>
      </c>
      <c r="X66">
        <f t="shared" si="16"/>
        <v>11.4</v>
      </c>
      <c r="Y66">
        <f t="shared" si="20"/>
        <v>139</v>
      </c>
      <c r="Z66" t="str">
        <f t="shared" si="21"/>
        <v>大城</v>
      </c>
    </row>
    <row r="67" spans="1:26" x14ac:dyDescent="0.25">
      <c r="A67" s="118" t="s">
        <v>253</v>
      </c>
      <c r="B67" s="119" t="s">
        <v>256</v>
      </c>
      <c r="C67" s="119">
        <v>66</v>
      </c>
      <c r="D67" s="118" t="s">
        <v>180</v>
      </c>
      <c r="E67" s="118">
        <v>63</v>
      </c>
      <c r="F67" s="118" t="s">
        <v>180</v>
      </c>
      <c r="G67" s="118">
        <v>57</v>
      </c>
      <c r="H67" s="118" t="s">
        <v>180</v>
      </c>
      <c r="I67" s="378">
        <v>66</v>
      </c>
      <c r="J67" s="117">
        <v>24</v>
      </c>
      <c r="K67" s="117" t="s">
        <v>198</v>
      </c>
      <c r="L67" t="str">
        <f t="shared" ref="L67:L130" si="23">IF(COUNTIF(B67,"*TR*")&gt;0,SUBSTITUTE(RIGHT(TRIM(A67),2) &amp; B67," ",""),MID(B67,FIND("(",B67)+1,4))</f>
        <v>9L22</v>
      </c>
      <c r="M67" t="str">
        <f t="shared" si="17"/>
        <v/>
      </c>
      <c r="N67" t="str">
        <f t="shared" si="22"/>
        <v/>
      </c>
      <c r="O67" t="str">
        <f t="shared" si="19"/>
        <v/>
      </c>
      <c r="P67" s="113" t="str">
        <f t="shared" ref="P67:P130" si="24">IF(COUNTIF(B67,"*TR*")&gt;0,SUBSTITUTE(RIGHT(TRIM(A67),2) &amp; B67," ",""),MID(B67,FIND("(",B67)+1,4))</f>
        <v>9L22</v>
      </c>
      <c r="Q67" s="114">
        <f t="shared" ref="Q67:Q130" si="25">VALUE(I67)</f>
        <v>66</v>
      </c>
      <c r="R67" s="114">
        <f t="shared" ref="R67:R130" si="26">AVERAGE(C67*1,E67*1,G67*1)</f>
        <v>62</v>
      </c>
      <c r="S67" s="113">
        <f t="shared" ref="S67:S130" si="27">MIN(C67*1,E67*1,G67*1)</f>
        <v>57</v>
      </c>
      <c r="T67" s="111">
        <f t="shared" ref="T67:T130" ca="1" si="28">IF(LEFT(TRIM(B67),1)="#",ROUND(OFFSET(X67,1,0,1,1)*Y67*SQRT(3)/1000,2),ROUND(Q67*X67*SQRT(3)/1000,2))</f>
        <v>1.3</v>
      </c>
      <c r="U67" s="111" t="str">
        <f t="shared" ref="U67:U130" si="29">IF(ISNUMBER(FIND("#",B67)),ROW(),"")</f>
        <v/>
      </c>
      <c r="V67" t="str">
        <f t="array" ref="V67">INDEX(P:P,MAX(U$3:U67))</f>
        <v>9L#1DTR(A)</v>
      </c>
      <c r="W67" t="str">
        <f t="shared" ref="W67:W130" ca="1" si="30">IF(LEFT(TRIM(B67),1)="#",IF(ISNUMBER(FIND("DTR",B67)),IF(MID(OFFSET(P67,1,0,1,1),3,1)*1&lt;5,30,60),25),"")</f>
        <v/>
      </c>
      <c r="X67">
        <f t="shared" ref="X67:X130" si="31">IF(LEFT(TRIM(B67),1)= "#","",IF(MID(P67,3,1)*1&lt;5,11.4,22.8))</f>
        <v>11.4</v>
      </c>
      <c r="Y67">
        <f t="shared" ref="Y67:Y130" si="32">SUMIF(L:L,L67,I:I)</f>
        <v>66</v>
      </c>
      <c r="Z67" t="str">
        <f t="shared" si="21"/>
        <v>大城</v>
      </c>
    </row>
    <row r="68" spans="1:26" x14ac:dyDescent="0.25">
      <c r="A68" s="118" t="s">
        <v>253</v>
      </c>
      <c r="B68" s="119" t="s">
        <v>257</v>
      </c>
      <c r="C68" s="119">
        <v>110</v>
      </c>
      <c r="D68" s="118" t="s">
        <v>180</v>
      </c>
      <c r="E68" s="118">
        <v>135</v>
      </c>
      <c r="F68" s="118" t="s">
        <v>180</v>
      </c>
      <c r="G68" s="118">
        <v>98</v>
      </c>
      <c r="H68" s="118" t="s">
        <v>180</v>
      </c>
      <c r="I68" s="378">
        <v>135</v>
      </c>
      <c r="J68" s="117">
        <v>52</v>
      </c>
      <c r="K68" s="117" t="s">
        <v>177</v>
      </c>
      <c r="L68" t="str">
        <f t="shared" si="23"/>
        <v>9L23</v>
      </c>
      <c r="M68" t="str">
        <f t="shared" ref="M68:M131" si="33">IF(LEFT(B68,1)="#",IF(LEN(B68)&lt;&gt;5,MID(B68,6,3),""),"")</f>
        <v/>
      </c>
      <c r="N68" t="str">
        <f t="shared" ref="N68:N131" si="34">IF(LEFT(B68,1)="#",IF(LEN(B68)=5,RIGHT(A68,2)&amp;B68,RIGHT(A68,2)&amp;LEFT(B68,2)&amp;"DTR"),"")</f>
        <v/>
      </c>
      <c r="O68" t="str">
        <f t="shared" ref="O68:O131" si="35">IF(LEFT(B68,1)="#",IF(LEN(B68)&lt;&gt;5,IF(LEN(B68)&lt;&gt;7,MID(B68,6,3),"("&amp;MID(B68,3,2)&amp;")"),""),"")</f>
        <v/>
      </c>
      <c r="P68" s="113" t="str">
        <f t="shared" si="24"/>
        <v>9L23</v>
      </c>
      <c r="Q68" s="114">
        <f t="shared" si="25"/>
        <v>135</v>
      </c>
      <c r="R68" s="114">
        <f t="shared" si="26"/>
        <v>114.33333333333333</v>
      </c>
      <c r="S68" s="113">
        <f t="shared" si="27"/>
        <v>98</v>
      </c>
      <c r="T68" s="111">
        <f t="shared" ca="1" si="28"/>
        <v>2.67</v>
      </c>
      <c r="U68" s="111" t="str">
        <f t="shared" si="29"/>
        <v/>
      </c>
      <c r="V68" t="str">
        <f t="array" ref="V68">INDEX(P:P,MAX(U$3:U68))</f>
        <v>9L#1DTR(A)</v>
      </c>
      <c r="W68" t="str">
        <f t="shared" ca="1" si="30"/>
        <v/>
      </c>
      <c r="X68">
        <f t="shared" si="31"/>
        <v>11.4</v>
      </c>
      <c r="Y68">
        <f t="shared" si="32"/>
        <v>135</v>
      </c>
      <c r="Z68" t="str">
        <f t="shared" ref="Z68:Z131" si="36">LEFT(A68,2)</f>
        <v>大城</v>
      </c>
    </row>
    <row r="69" spans="1:26" x14ac:dyDescent="0.25">
      <c r="A69" s="118" t="s">
        <v>253</v>
      </c>
      <c r="B69" s="119" t="s">
        <v>258</v>
      </c>
      <c r="C69" s="119">
        <v>187</v>
      </c>
      <c r="D69" s="118" t="s">
        <v>179</v>
      </c>
      <c r="E69" s="118">
        <v>168</v>
      </c>
      <c r="F69" s="118" t="s">
        <v>179</v>
      </c>
      <c r="G69" s="118">
        <v>129</v>
      </c>
      <c r="H69" s="118" t="s">
        <v>179</v>
      </c>
      <c r="I69" s="378">
        <v>187</v>
      </c>
      <c r="J69" s="117">
        <v>87</v>
      </c>
      <c r="K69" s="117" t="s">
        <v>205</v>
      </c>
      <c r="L69" t="str">
        <f t="shared" si="23"/>
        <v>9L24</v>
      </c>
      <c r="M69" t="str">
        <f t="shared" si="33"/>
        <v/>
      </c>
      <c r="N69" t="str">
        <f t="shared" si="34"/>
        <v/>
      </c>
      <c r="O69" t="str">
        <f t="shared" si="35"/>
        <v/>
      </c>
      <c r="P69" s="113" t="str">
        <f t="shared" si="24"/>
        <v>9L24</v>
      </c>
      <c r="Q69" s="114">
        <f t="shared" si="25"/>
        <v>187</v>
      </c>
      <c r="R69" s="114">
        <f t="shared" si="26"/>
        <v>161.33333333333334</v>
      </c>
      <c r="S69" s="113">
        <f t="shared" si="27"/>
        <v>129</v>
      </c>
      <c r="T69" s="111">
        <f t="shared" ca="1" si="28"/>
        <v>3.69</v>
      </c>
      <c r="U69" s="111" t="str">
        <f t="shared" si="29"/>
        <v/>
      </c>
      <c r="V69" t="str">
        <f t="array" ref="V69">INDEX(P:P,MAX(U$3:U69))</f>
        <v>9L#1DTR(A)</v>
      </c>
      <c r="W69" t="str">
        <f t="shared" ca="1" si="30"/>
        <v/>
      </c>
      <c r="X69">
        <f t="shared" si="31"/>
        <v>11.4</v>
      </c>
      <c r="Y69">
        <f t="shared" si="32"/>
        <v>187</v>
      </c>
      <c r="Z69" t="str">
        <f t="shared" si="36"/>
        <v>大城</v>
      </c>
    </row>
    <row r="70" spans="1:26" x14ac:dyDescent="0.25">
      <c r="A70" s="118" t="s">
        <v>253</v>
      </c>
      <c r="B70" s="119" t="s">
        <v>259</v>
      </c>
      <c r="C70" s="119">
        <v>105</v>
      </c>
      <c r="D70" s="118" t="s">
        <v>180</v>
      </c>
      <c r="E70" s="118">
        <v>139</v>
      </c>
      <c r="F70" s="118" t="s">
        <v>207</v>
      </c>
      <c r="G70" s="118">
        <v>95</v>
      </c>
      <c r="H70" s="118" t="s">
        <v>177</v>
      </c>
      <c r="I70" s="378">
        <v>139</v>
      </c>
      <c r="J70" s="117">
        <v>74</v>
      </c>
      <c r="K70" s="117" t="s">
        <v>180</v>
      </c>
      <c r="L70" t="str">
        <f t="shared" si="23"/>
        <v>9L25</v>
      </c>
      <c r="M70" t="str">
        <f t="shared" si="33"/>
        <v/>
      </c>
      <c r="N70" t="str">
        <f t="shared" si="34"/>
        <v/>
      </c>
      <c r="O70" t="str">
        <f t="shared" si="35"/>
        <v/>
      </c>
      <c r="P70" s="113" t="str">
        <f t="shared" si="24"/>
        <v>9L25</v>
      </c>
      <c r="Q70" s="114">
        <f t="shared" si="25"/>
        <v>139</v>
      </c>
      <c r="R70" s="114">
        <f t="shared" si="26"/>
        <v>113</v>
      </c>
      <c r="S70" s="113">
        <f t="shared" si="27"/>
        <v>95</v>
      </c>
      <c r="T70" s="111">
        <f t="shared" ca="1" si="28"/>
        <v>2.74</v>
      </c>
      <c r="U70" s="111" t="str">
        <f t="shared" si="29"/>
        <v/>
      </c>
      <c r="V70" t="str">
        <f t="array" ref="V70">INDEX(P:P,MAX(U$3:U70))</f>
        <v>9L#1DTR(A)</v>
      </c>
      <c r="W70" t="str">
        <f t="shared" ca="1" si="30"/>
        <v/>
      </c>
      <c r="X70">
        <f t="shared" si="31"/>
        <v>11.4</v>
      </c>
      <c r="Y70">
        <f t="shared" si="32"/>
        <v>139</v>
      </c>
      <c r="Z70" t="str">
        <f t="shared" si="36"/>
        <v>大城</v>
      </c>
    </row>
    <row r="71" spans="1:26" x14ac:dyDescent="0.25">
      <c r="A71" s="118" t="s">
        <v>253</v>
      </c>
      <c r="B71" s="119" t="s">
        <v>260</v>
      </c>
      <c r="C71" s="119">
        <v>303</v>
      </c>
      <c r="D71" s="118" t="s">
        <v>180</v>
      </c>
      <c r="E71" s="118">
        <v>330</v>
      </c>
      <c r="F71" s="118" t="s">
        <v>207</v>
      </c>
      <c r="G71" s="118">
        <v>280</v>
      </c>
      <c r="H71" s="118" t="s">
        <v>180</v>
      </c>
      <c r="I71" s="378">
        <v>330</v>
      </c>
      <c r="J71" s="117"/>
      <c r="K71" s="117"/>
      <c r="L71" t="str">
        <f t="shared" si="23"/>
        <v>9L#1DTR(B1)</v>
      </c>
      <c r="M71" t="str">
        <f t="shared" si="33"/>
        <v>(B1</v>
      </c>
      <c r="N71" t="str">
        <f t="shared" si="34"/>
        <v>9L#1DTR</v>
      </c>
      <c r="O71" t="str">
        <f t="shared" si="35"/>
        <v>(B1</v>
      </c>
      <c r="P71" s="113" t="str">
        <f t="shared" si="24"/>
        <v>9L#1DTR(B1)</v>
      </c>
      <c r="Q71" s="114">
        <f t="shared" si="25"/>
        <v>330</v>
      </c>
      <c r="R71" s="114">
        <f t="shared" si="26"/>
        <v>304.33333333333331</v>
      </c>
      <c r="S71" s="113">
        <f t="shared" si="27"/>
        <v>280</v>
      </c>
      <c r="T71" s="111">
        <f t="shared" ca="1" si="28"/>
        <v>6.52</v>
      </c>
      <c r="U71" s="111">
        <f t="shared" si="29"/>
        <v>71</v>
      </c>
      <c r="V71" t="str">
        <f t="array" ref="V71">INDEX(P:P,MAX(U$3:U71))</f>
        <v>9L#1DTR(B1)</v>
      </c>
      <c r="W71">
        <f t="shared" ca="1" si="30"/>
        <v>30</v>
      </c>
      <c r="X71" t="str">
        <f t="shared" si="31"/>
        <v/>
      </c>
      <c r="Y71">
        <f t="shared" si="32"/>
        <v>330</v>
      </c>
      <c r="Z71" t="str">
        <f t="shared" si="36"/>
        <v>大城</v>
      </c>
    </row>
    <row r="72" spans="1:26" x14ac:dyDescent="0.25">
      <c r="A72" s="118" t="s">
        <v>253</v>
      </c>
      <c r="B72" s="119" t="s">
        <v>261</v>
      </c>
      <c r="C72" s="119">
        <v>0</v>
      </c>
      <c r="D72" s="118" t="s">
        <v>194</v>
      </c>
      <c r="E72" s="118">
        <v>0</v>
      </c>
      <c r="F72" s="118" t="s">
        <v>194</v>
      </c>
      <c r="G72" s="118">
        <v>0</v>
      </c>
      <c r="H72" s="118" t="s">
        <v>194</v>
      </c>
      <c r="I72" s="378">
        <v>0</v>
      </c>
      <c r="J72" s="117">
        <v>0</v>
      </c>
      <c r="K72" s="117" t="s">
        <v>194</v>
      </c>
      <c r="L72" t="str">
        <f t="shared" si="23"/>
        <v>9L26</v>
      </c>
      <c r="M72" t="str">
        <f t="shared" si="33"/>
        <v/>
      </c>
      <c r="N72" t="str">
        <f t="shared" si="34"/>
        <v/>
      </c>
      <c r="O72" t="str">
        <f t="shared" si="35"/>
        <v/>
      </c>
      <c r="P72" s="113" t="str">
        <f t="shared" si="24"/>
        <v>9L26</v>
      </c>
      <c r="Q72" s="114">
        <f t="shared" si="25"/>
        <v>0</v>
      </c>
      <c r="R72" s="114">
        <f t="shared" si="26"/>
        <v>0</v>
      </c>
      <c r="S72" s="113">
        <f t="shared" si="27"/>
        <v>0</v>
      </c>
      <c r="T72" s="111">
        <f t="shared" ca="1" si="28"/>
        <v>0</v>
      </c>
      <c r="U72" s="111" t="str">
        <f t="shared" si="29"/>
        <v/>
      </c>
      <c r="V72" t="str">
        <f t="array" ref="V72">INDEX(P:P,MAX(U$3:U72))</f>
        <v>9L#1DTR(B1)</v>
      </c>
      <c r="W72" t="str">
        <f t="shared" ca="1" si="30"/>
        <v/>
      </c>
      <c r="X72">
        <f t="shared" si="31"/>
        <v>11.4</v>
      </c>
      <c r="Y72">
        <f t="shared" si="32"/>
        <v>0</v>
      </c>
      <c r="Z72" t="str">
        <f t="shared" si="36"/>
        <v>大城</v>
      </c>
    </row>
    <row r="73" spans="1:26" x14ac:dyDescent="0.25">
      <c r="A73" s="118" t="s">
        <v>253</v>
      </c>
      <c r="B73" s="119" t="s">
        <v>262</v>
      </c>
      <c r="C73" s="119">
        <v>21</v>
      </c>
      <c r="D73" s="118" t="s">
        <v>177</v>
      </c>
      <c r="E73" s="118">
        <v>32</v>
      </c>
      <c r="F73" s="118" t="s">
        <v>177</v>
      </c>
      <c r="G73" s="118">
        <v>31</v>
      </c>
      <c r="H73" s="118" t="s">
        <v>188</v>
      </c>
      <c r="I73" s="378">
        <v>32</v>
      </c>
      <c r="J73" s="117">
        <v>16</v>
      </c>
      <c r="K73" s="117" t="s">
        <v>263</v>
      </c>
      <c r="L73" t="str">
        <f t="shared" si="23"/>
        <v>9L27</v>
      </c>
      <c r="M73" t="str">
        <f t="shared" si="33"/>
        <v/>
      </c>
      <c r="N73" t="str">
        <f t="shared" si="34"/>
        <v/>
      </c>
      <c r="O73" t="str">
        <f t="shared" si="35"/>
        <v/>
      </c>
      <c r="P73" s="113" t="str">
        <f t="shared" si="24"/>
        <v>9L27</v>
      </c>
      <c r="Q73" s="114">
        <f t="shared" si="25"/>
        <v>32</v>
      </c>
      <c r="R73" s="114">
        <f t="shared" si="26"/>
        <v>28</v>
      </c>
      <c r="S73" s="113">
        <f t="shared" si="27"/>
        <v>21</v>
      </c>
      <c r="T73" s="111">
        <f t="shared" ca="1" si="28"/>
        <v>0.63</v>
      </c>
      <c r="U73" s="111" t="str">
        <f t="shared" si="29"/>
        <v/>
      </c>
      <c r="V73" t="str">
        <f t="array" ref="V73">INDEX(P:P,MAX(U$3:U73))</f>
        <v>9L#1DTR(B1)</v>
      </c>
      <c r="W73" t="str">
        <f t="shared" ca="1" si="30"/>
        <v/>
      </c>
      <c r="X73">
        <f t="shared" si="31"/>
        <v>11.4</v>
      </c>
      <c r="Y73">
        <f t="shared" si="32"/>
        <v>32</v>
      </c>
      <c r="Z73" t="str">
        <f t="shared" si="36"/>
        <v>大城</v>
      </c>
    </row>
    <row r="74" spans="1:26" x14ac:dyDescent="0.25">
      <c r="A74" s="118" t="s">
        <v>253</v>
      </c>
      <c r="B74" s="119" t="s">
        <v>264</v>
      </c>
      <c r="C74" s="119">
        <v>219</v>
      </c>
      <c r="D74" s="118" t="s">
        <v>207</v>
      </c>
      <c r="E74" s="118">
        <v>245</v>
      </c>
      <c r="F74" s="118" t="s">
        <v>207</v>
      </c>
      <c r="G74" s="118">
        <v>212</v>
      </c>
      <c r="H74" s="118" t="s">
        <v>207</v>
      </c>
      <c r="I74" s="378">
        <v>245</v>
      </c>
      <c r="J74" s="117">
        <v>70</v>
      </c>
      <c r="K74" s="117" t="s">
        <v>184</v>
      </c>
      <c r="L74" t="str">
        <f t="shared" si="23"/>
        <v>9L28</v>
      </c>
      <c r="M74" t="str">
        <f t="shared" si="33"/>
        <v/>
      </c>
      <c r="N74" t="str">
        <f t="shared" si="34"/>
        <v/>
      </c>
      <c r="O74" t="str">
        <f t="shared" si="35"/>
        <v/>
      </c>
      <c r="P74" s="113" t="str">
        <f t="shared" si="24"/>
        <v>9L28</v>
      </c>
      <c r="Q74" s="114">
        <f t="shared" si="25"/>
        <v>245</v>
      </c>
      <c r="R74" s="114">
        <f t="shared" si="26"/>
        <v>225.33333333333334</v>
      </c>
      <c r="S74" s="113">
        <f t="shared" si="27"/>
        <v>212</v>
      </c>
      <c r="T74" s="111">
        <f t="shared" ca="1" si="28"/>
        <v>4.84</v>
      </c>
      <c r="U74" s="111" t="str">
        <f t="shared" si="29"/>
        <v/>
      </c>
      <c r="V74" t="str">
        <f t="array" ref="V74">INDEX(P:P,MAX(U$3:U74))</f>
        <v>9L#1DTR(B1)</v>
      </c>
      <c r="W74" t="str">
        <f t="shared" ca="1" si="30"/>
        <v/>
      </c>
      <c r="X74">
        <f t="shared" si="31"/>
        <v>11.4</v>
      </c>
      <c r="Y74">
        <f t="shared" si="32"/>
        <v>245</v>
      </c>
      <c r="Z74" t="str">
        <f t="shared" si="36"/>
        <v>大城</v>
      </c>
    </row>
    <row r="75" spans="1:26" x14ac:dyDescent="0.25">
      <c r="A75" s="118" t="s">
        <v>253</v>
      </c>
      <c r="B75" s="119" t="s">
        <v>265</v>
      </c>
      <c r="C75" s="119">
        <v>67</v>
      </c>
      <c r="D75" s="118" t="s">
        <v>179</v>
      </c>
      <c r="E75" s="118">
        <v>50</v>
      </c>
      <c r="F75" s="118" t="s">
        <v>180</v>
      </c>
      <c r="G75" s="118">
        <v>59</v>
      </c>
      <c r="H75" s="118" t="s">
        <v>179</v>
      </c>
      <c r="I75" s="378">
        <v>67</v>
      </c>
      <c r="J75" s="117">
        <v>54</v>
      </c>
      <c r="K75" s="117" t="s">
        <v>229</v>
      </c>
      <c r="L75" t="str">
        <f t="shared" si="23"/>
        <v>9L29</v>
      </c>
      <c r="M75" t="str">
        <f t="shared" si="33"/>
        <v/>
      </c>
      <c r="N75" t="str">
        <f t="shared" si="34"/>
        <v/>
      </c>
      <c r="O75" t="str">
        <f t="shared" si="35"/>
        <v/>
      </c>
      <c r="P75" s="113" t="str">
        <f t="shared" si="24"/>
        <v>9L29</v>
      </c>
      <c r="Q75" s="114">
        <f t="shared" si="25"/>
        <v>67</v>
      </c>
      <c r="R75" s="114">
        <f t="shared" si="26"/>
        <v>58.666666666666664</v>
      </c>
      <c r="S75" s="113">
        <f t="shared" si="27"/>
        <v>50</v>
      </c>
      <c r="T75" s="111">
        <f t="shared" ca="1" si="28"/>
        <v>1.32</v>
      </c>
      <c r="U75" s="111" t="str">
        <f t="shared" si="29"/>
        <v/>
      </c>
      <c r="V75" t="str">
        <f t="array" ref="V75">INDEX(P:P,MAX(U$3:U75))</f>
        <v>9L#1DTR(B1)</v>
      </c>
      <c r="W75" t="str">
        <f t="shared" ca="1" si="30"/>
        <v/>
      </c>
      <c r="X75">
        <f t="shared" si="31"/>
        <v>11.4</v>
      </c>
      <c r="Y75">
        <f t="shared" si="32"/>
        <v>67</v>
      </c>
      <c r="Z75" t="str">
        <f t="shared" si="36"/>
        <v>大城</v>
      </c>
    </row>
    <row r="76" spans="1:26" x14ac:dyDescent="0.25">
      <c r="A76" s="118" t="s">
        <v>253</v>
      </c>
      <c r="B76" s="119" t="s">
        <v>266</v>
      </c>
      <c r="C76" s="119">
        <v>61</v>
      </c>
      <c r="D76" s="118" t="s">
        <v>180</v>
      </c>
      <c r="E76" s="118">
        <v>62</v>
      </c>
      <c r="F76" s="118" t="s">
        <v>180</v>
      </c>
      <c r="G76" s="118">
        <v>69</v>
      </c>
      <c r="H76" s="118" t="s">
        <v>180</v>
      </c>
      <c r="I76" s="378">
        <v>69</v>
      </c>
      <c r="J76" s="117">
        <v>18</v>
      </c>
      <c r="K76" s="117" t="s">
        <v>229</v>
      </c>
      <c r="L76" t="str">
        <f t="shared" si="23"/>
        <v>9L30</v>
      </c>
      <c r="M76" t="str">
        <f t="shared" si="33"/>
        <v/>
      </c>
      <c r="N76" t="str">
        <f t="shared" si="34"/>
        <v/>
      </c>
      <c r="O76" t="str">
        <f t="shared" si="35"/>
        <v/>
      </c>
      <c r="P76" s="113" t="str">
        <f t="shared" si="24"/>
        <v>9L30</v>
      </c>
      <c r="Q76" s="114">
        <f t="shared" si="25"/>
        <v>69</v>
      </c>
      <c r="R76" s="114">
        <f t="shared" si="26"/>
        <v>64</v>
      </c>
      <c r="S76" s="113">
        <f t="shared" si="27"/>
        <v>61</v>
      </c>
      <c r="T76" s="111">
        <f t="shared" ca="1" si="28"/>
        <v>1.36</v>
      </c>
      <c r="U76" s="111" t="str">
        <f t="shared" si="29"/>
        <v/>
      </c>
      <c r="V76" t="str">
        <f t="array" ref="V76">INDEX(P:P,MAX(U$3:U76))</f>
        <v>9L#1DTR(B1)</v>
      </c>
      <c r="W76" t="str">
        <f t="shared" ca="1" si="30"/>
        <v/>
      </c>
      <c r="X76">
        <f t="shared" si="31"/>
        <v>11.4</v>
      </c>
      <c r="Y76">
        <f t="shared" si="32"/>
        <v>69</v>
      </c>
      <c r="Z76" t="str">
        <f t="shared" si="36"/>
        <v>大城</v>
      </c>
    </row>
    <row r="77" spans="1:26" x14ac:dyDescent="0.25">
      <c r="A77" s="118" t="s">
        <v>253</v>
      </c>
      <c r="B77" s="119" t="s">
        <v>267</v>
      </c>
      <c r="C77" s="119">
        <v>0</v>
      </c>
      <c r="D77" s="118" t="s">
        <v>194</v>
      </c>
      <c r="E77" s="118">
        <v>0</v>
      </c>
      <c r="F77" s="118" t="s">
        <v>194</v>
      </c>
      <c r="G77" s="118">
        <v>0</v>
      </c>
      <c r="H77" s="118" t="s">
        <v>194</v>
      </c>
      <c r="I77" s="378">
        <v>0</v>
      </c>
      <c r="J77" s="117"/>
      <c r="K77" s="117"/>
      <c r="L77" t="str">
        <f t="shared" si="23"/>
        <v>9L#1DTR(B2)</v>
      </c>
      <c r="M77" t="str">
        <f t="shared" si="33"/>
        <v>(B2</v>
      </c>
      <c r="N77" t="str">
        <f t="shared" si="34"/>
        <v>9L#1DTR</v>
      </c>
      <c r="O77" t="str">
        <f t="shared" si="35"/>
        <v>(B2</v>
      </c>
      <c r="P77" s="113" t="str">
        <f t="shared" si="24"/>
        <v>9L#1DTR(B2)</v>
      </c>
      <c r="Q77" s="114">
        <f t="shared" si="25"/>
        <v>0</v>
      </c>
      <c r="R77" s="114">
        <f t="shared" si="26"/>
        <v>0</v>
      </c>
      <c r="S77" s="113">
        <f t="shared" si="27"/>
        <v>0</v>
      </c>
      <c r="T77" s="111" t="e">
        <f t="shared" ca="1" si="28"/>
        <v>#VALUE!</v>
      </c>
      <c r="U77" s="111">
        <f t="shared" si="29"/>
        <v>77</v>
      </c>
      <c r="V77" t="str">
        <f t="array" ref="V77">INDEX(P:P,MAX(U$3:U77))</f>
        <v>9L#1DTR(B2)</v>
      </c>
      <c r="W77" t="e">
        <f t="shared" ca="1" si="30"/>
        <v>#VALUE!</v>
      </c>
      <c r="X77" t="str">
        <f t="shared" si="31"/>
        <v/>
      </c>
      <c r="Y77">
        <f t="shared" si="32"/>
        <v>0</v>
      </c>
      <c r="Z77" t="str">
        <f t="shared" si="36"/>
        <v>大城</v>
      </c>
    </row>
    <row r="78" spans="1:26" x14ac:dyDescent="0.25">
      <c r="A78" s="118" t="s">
        <v>253</v>
      </c>
      <c r="B78" s="119" t="s">
        <v>268</v>
      </c>
      <c r="C78" s="119">
        <v>0</v>
      </c>
      <c r="D78" s="118" t="s">
        <v>194</v>
      </c>
      <c r="E78" s="118">
        <v>0</v>
      </c>
      <c r="F78" s="118" t="s">
        <v>194</v>
      </c>
      <c r="G78" s="118">
        <v>0</v>
      </c>
      <c r="H78" s="118" t="s">
        <v>194</v>
      </c>
      <c r="I78" s="378">
        <v>0</v>
      </c>
      <c r="J78" s="117">
        <v>0</v>
      </c>
      <c r="K78" s="117" t="s">
        <v>194</v>
      </c>
      <c r="L78" t="str">
        <f t="shared" si="23"/>
        <v>9LE0</v>
      </c>
      <c r="M78" t="str">
        <f t="shared" si="33"/>
        <v/>
      </c>
      <c r="N78" t="str">
        <f t="shared" si="34"/>
        <v/>
      </c>
      <c r="O78" t="str">
        <f t="shared" si="35"/>
        <v/>
      </c>
      <c r="P78" s="113" t="str">
        <f t="shared" si="24"/>
        <v>9LE0</v>
      </c>
      <c r="Q78" s="114">
        <f t="shared" si="25"/>
        <v>0</v>
      </c>
      <c r="R78" s="114">
        <f t="shared" si="26"/>
        <v>0</v>
      </c>
      <c r="S78" s="113">
        <f t="shared" si="27"/>
        <v>0</v>
      </c>
      <c r="T78" s="111" t="e">
        <f t="shared" ca="1" si="28"/>
        <v>#VALUE!</v>
      </c>
      <c r="U78" s="111" t="str">
        <f t="shared" si="29"/>
        <v/>
      </c>
      <c r="V78" t="str">
        <f t="array" ref="V78">INDEX(P:P,MAX(U$3:U78))</f>
        <v>9L#1DTR(B2)</v>
      </c>
      <c r="W78" t="str">
        <f t="shared" ca="1" si="30"/>
        <v/>
      </c>
      <c r="X78" t="e">
        <f t="shared" si="31"/>
        <v>#VALUE!</v>
      </c>
      <c r="Y78">
        <f t="shared" si="32"/>
        <v>0</v>
      </c>
      <c r="Z78" t="str">
        <f t="shared" si="36"/>
        <v>大城</v>
      </c>
    </row>
    <row r="79" spans="1:26" x14ac:dyDescent="0.25">
      <c r="A79" s="118" t="s">
        <v>253</v>
      </c>
      <c r="B79" s="119" t="s">
        <v>269</v>
      </c>
      <c r="C79" s="119">
        <v>0</v>
      </c>
      <c r="D79" s="118" t="s">
        <v>194</v>
      </c>
      <c r="E79" s="118">
        <v>0</v>
      </c>
      <c r="F79" s="118" t="s">
        <v>194</v>
      </c>
      <c r="G79" s="118">
        <v>0</v>
      </c>
      <c r="H79" s="118" t="s">
        <v>194</v>
      </c>
      <c r="I79" s="378">
        <v>0</v>
      </c>
      <c r="J79" s="117">
        <v>0</v>
      </c>
      <c r="K79" s="117" t="s">
        <v>194</v>
      </c>
      <c r="L79" t="str">
        <f t="shared" si="23"/>
        <v>9LE1</v>
      </c>
      <c r="M79" t="str">
        <f t="shared" si="33"/>
        <v/>
      </c>
      <c r="N79" t="str">
        <f t="shared" si="34"/>
        <v/>
      </c>
      <c r="O79" t="str">
        <f t="shared" si="35"/>
        <v/>
      </c>
      <c r="P79" s="113" t="str">
        <f t="shared" si="24"/>
        <v>9LE1</v>
      </c>
      <c r="Q79" s="114">
        <f t="shared" si="25"/>
        <v>0</v>
      </c>
      <c r="R79" s="114">
        <f t="shared" si="26"/>
        <v>0</v>
      </c>
      <c r="S79" s="113">
        <f t="shared" si="27"/>
        <v>0</v>
      </c>
      <c r="T79" s="111" t="e">
        <f t="shared" ca="1" si="28"/>
        <v>#VALUE!</v>
      </c>
      <c r="U79" s="111" t="str">
        <f t="shared" si="29"/>
        <v/>
      </c>
      <c r="V79" t="str">
        <f t="array" ref="V79">INDEX(P:P,MAX(U$3:U79))</f>
        <v>9L#1DTR(B2)</v>
      </c>
      <c r="W79" t="str">
        <f t="shared" ca="1" si="30"/>
        <v/>
      </c>
      <c r="X79" t="e">
        <f t="shared" si="31"/>
        <v>#VALUE!</v>
      </c>
      <c r="Y79">
        <f t="shared" si="32"/>
        <v>0</v>
      </c>
      <c r="Z79" t="str">
        <f t="shared" si="36"/>
        <v>大城</v>
      </c>
    </row>
    <row r="80" spans="1:26" x14ac:dyDescent="0.25">
      <c r="A80" s="118" t="s">
        <v>253</v>
      </c>
      <c r="B80" s="119" t="s">
        <v>270</v>
      </c>
      <c r="C80" s="119">
        <v>0</v>
      </c>
      <c r="D80" s="118" t="s">
        <v>194</v>
      </c>
      <c r="E80" s="118">
        <v>0</v>
      </c>
      <c r="F80" s="118" t="s">
        <v>194</v>
      </c>
      <c r="G80" s="118">
        <v>0</v>
      </c>
      <c r="H80" s="118" t="s">
        <v>194</v>
      </c>
      <c r="I80" s="378">
        <v>0</v>
      </c>
      <c r="J80" s="117">
        <v>0</v>
      </c>
      <c r="K80" s="117" t="s">
        <v>194</v>
      </c>
      <c r="L80" t="str">
        <f t="shared" si="23"/>
        <v>9LE2</v>
      </c>
      <c r="M80" t="str">
        <f t="shared" si="33"/>
        <v/>
      </c>
      <c r="N80" t="str">
        <f t="shared" si="34"/>
        <v/>
      </c>
      <c r="O80" t="str">
        <f t="shared" si="35"/>
        <v/>
      </c>
      <c r="P80" s="113" t="str">
        <f t="shared" si="24"/>
        <v>9LE2</v>
      </c>
      <c r="Q80" s="114">
        <f t="shared" si="25"/>
        <v>0</v>
      </c>
      <c r="R80" s="114">
        <f t="shared" si="26"/>
        <v>0</v>
      </c>
      <c r="S80" s="113">
        <f t="shared" si="27"/>
        <v>0</v>
      </c>
      <c r="T80" s="111" t="e">
        <f t="shared" ca="1" si="28"/>
        <v>#VALUE!</v>
      </c>
      <c r="U80" s="111" t="str">
        <f t="shared" si="29"/>
        <v/>
      </c>
      <c r="V80" t="str">
        <f t="array" ref="V80">INDEX(P:P,MAX(U$3:U80))</f>
        <v>9L#1DTR(B2)</v>
      </c>
      <c r="W80" t="str">
        <f t="shared" ca="1" si="30"/>
        <v/>
      </c>
      <c r="X80" t="e">
        <f t="shared" si="31"/>
        <v>#VALUE!</v>
      </c>
      <c r="Y80">
        <f t="shared" si="32"/>
        <v>0</v>
      </c>
      <c r="Z80" t="str">
        <f t="shared" si="36"/>
        <v>大城</v>
      </c>
    </row>
    <row r="81" spans="1:26" x14ac:dyDescent="0.25">
      <c r="A81" s="118" t="s">
        <v>253</v>
      </c>
      <c r="B81" s="119" t="s">
        <v>271</v>
      </c>
      <c r="C81" s="119">
        <v>0</v>
      </c>
      <c r="D81" s="118" t="s">
        <v>194</v>
      </c>
      <c r="E81" s="118">
        <v>0</v>
      </c>
      <c r="F81" s="118" t="s">
        <v>194</v>
      </c>
      <c r="G81" s="118">
        <v>0</v>
      </c>
      <c r="H81" s="118" t="s">
        <v>194</v>
      </c>
      <c r="I81" s="378">
        <v>0</v>
      </c>
      <c r="J81" s="117">
        <v>0</v>
      </c>
      <c r="K81" s="117" t="s">
        <v>194</v>
      </c>
      <c r="L81" t="str">
        <f t="shared" si="23"/>
        <v>9LE3</v>
      </c>
      <c r="M81" t="str">
        <f t="shared" si="33"/>
        <v/>
      </c>
      <c r="N81" t="str">
        <f t="shared" si="34"/>
        <v/>
      </c>
      <c r="O81" t="str">
        <f t="shared" si="35"/>
        <v/>
      </c>
      <c r="P81" s="113" t="str">
        <f t="shared" si="24"/>
        <v>9LE3</v>
      </c>
      <c r="Q81" s="114">
        <f t="shared" si="25"/>
        <v>0</v>
      </c>
      <c r="R81" s="114">
        <f t="shared" si="26"/>
        <v>0</v>
      </c>
      <c r="S81" s="113">
        <f t="shared" si="27"/>
        <v>0</v>
      </c>
      <c r="T81" s="111" t="e">
        <f t="shared" ca="1" si="28"/>
        <v>#VALUE!</v>
      </c>
      <c r="U81" s="111" t="str">
        <f t="shared" si="29"/>
        <v/>
      </c>
      <c r="V81" t="str">
        <f t="array" ref="V81">INDEX(P:P,MAX(U$3:U81))</f>
        <v>9L#1DTR(B2)</v>
      </c>
      <c r="W81" t="str">
        <f t="shared" ca="1" si="30"/>
        <v/>
      </c>
      <c r="X81" t="e">
        <f t="shared" si="31"/>
        <v>#VALUE!</v>
      </c>
      <c r="Y81">
        <f t="shared" si="32"/>
        <v>0</v>
      </c>
      <c r="Z81" t="str">
        <f t="shared" si="36"/>
        <v>大城</v>
      </c>
    </row>
    <row r="82" spans="1:26" x14ac:dyDescent="0.25">
      <c r="A82" s="118" t="s">
        <v>253</v>
      </c>
      <c r="B82" s="119" t="s">
        <v>272</v>
      </c>
      <c r="C82" s="119">
        <v>559</v>
      </c>
      <c r="D82" s="118" t="s">
        <v>180</v>
      </c>
      <c r="E82" s="118">
        <v>544</v>
      </c>
      <c r="F82" s="118" t="s">
        <v>180</v>
      </c>
      <c r="G82" s="118">
        <v>573</v>
      </c>
      <c r="H82" s="118" t="s">
        <v>180</v>
      </c>
      <c r="I82" s="378">
        <v>573</v>
      </c>
      <c r="J82" s="117"/>
      <c r="K82" s="117"/>
      <c r="L82" t="str">
        <f t="shared" si="23"/>
        <v>9L#2DTR(A1)</v>
      </c>
      <c r="M82" t="str">
        <f t="shared" si="33"/>
        <v>(A1</v>
      </c>
      <c r="N82" t="str">
        <f t="shared" si="34"/>
        <v>9L#2DTR</v>
      </c>
      <c r="O82" t="str">
        <f t="shared" si="35"/>
        <v>(A1</v>
      </c>
      <c r="P82" s="113" t="str">
        <f t="shared" si="24"/>
        <v>9L#2DTR(A1)</v>
      </c>
      <c r="Q82" s="114">
        <f t="shared" si="25"/>
        <v>573</v>
      </c>
      <c r="R82" s="114">
        <f t="shared" si="26"/>
        <v>558.66666666666663</v>
      </c>
      <c r="S82" s="113">
        <f t="shared" si="27"/>
        <v>544</v>
      </c>
      <c r="T82" s="111">
        <f t="shared" ca="1" si="28"/>
        <v>11.31</v>
      </c>
      <c r="U82" s="111">
        <f t="shared" si="29"/>
        <v>82</v>
      </c>
      <c r="V82" t="str">
        <f t="array" ref="V82">INDEX(P:P,MAX(U$3:U82))</f>
        <v>9L#2DTR(A1)</v>
      </c>
      <c r="W82">
        <f t="shared" ca="1" si="30"/>
        <v>30</v>
      </c>
      <c r="X82" t="str">
        <f t="shared" si="31"/>
        <v/>
      </c>
      <c r="Y82">
        <f t="shared" si="32"/>
        <v>573</v>
      </c>
      <c r="Z82" t="str">
        <f t="shared" si="36"/>
        <v>大城</v>
      </c>
    </row>
    <row r="83" spans="1:26" x14ac:dyDescent="0.25">
      <c r="A83" s="118" t="s">
        <v>253</v>
      </c>
      <c r="B83" s="119" t="s">
        <v>273</v>
      </c>
      <c r="C83" s="119">
        <v>140</v>
      </c>
      <c r="D83" s="118" t="s">
        <v>179</v>
      </c>
      <c r="E83" s="118">
        <v>108</v>
      </c>
      <c r="F83" s="118" t="s">
        <v>183</v>
      </c>
      <c r="G83" s="118">
        <v>98</v>
      </c>
      <c r="H83" s="118" t="s">
        <v>179</v>
      </c>
      <c r="I83" s="378">
        <v>140</v>
      </c>
      <c r="J83" s="117">
        <v>82</v>
      </c>
      <c r="K83" s="117" t="s">
        <v>176</v>
      </c>
      <c r="L83" t="str">
        <f t="shared" si="23"/>
        <v>9L35</v>
      </c>
      <c r="M83" t="str">
        <f t="shared" si="33"/>
        <v/>
      </c>
      <c r="N83" t="str">
        <f t="shared" si="34"/>
        <v/>
      </c>
      <c r="O83" t="str">
        <f t="shared" si="35"/>
        <v/>
      </c>
      <c r="P83" s="113" t="str">
        <f t="shared" si="24"/>
        <v>9L35</v>
      </c>
      <c r="Q83" s="114">
        <f t="shared" si="25"/>
        <v>140</v>
      </c>
      <c r="R83" s="114">
        <f t="shared" si="26"/>
        <v>115.33333333333333</v>
      </c>
      <c r="S83" s="113">
        <f t="shared" si="27"/>
        <v>98</v>
      </c>
      <c r="T83" s="111">
        <f t="shared" ca="1" si="28"/>
        <v>2.76</v>
      </c>
      <c r="U83" s="111" t="str">
        <f t="shared" si="29"/>
        <v/>
      </c>
      <c r="V83" t="str">
        <f t="array" ref="V83">INDEX(P:P,MAX(U$3:U83))</f>
        <v>9L#2DTR(A1)</v>
      </c>
      <c r="W83" t="str">
        <f t="shared" ca="1" si="30"/>
        <v/>
      </c>
      <c r="X83">
        <f t="shared" si="31"/>
        <v>11.4</v>
      </c>
      <c r="Y83">
        <f t="shared" si="32"/>
        <v>140</v>
      </c>
      <c r="Z83" t="str">
        <f t="shared" si="36"/>
        <v>大城</v>
      </c>
    </row>
    <row r="84" spans="1:26" x14ac:dyDescent="0.25">
      <c r="A84" s="118" t="s">
        <v>253</v>
      </c>
      <c r="B84" s="119" t="s">
        <v>274</v>
      </c>
      <c r="C84" s="119">
        <v>71</v>
      </c>
      <c r="D84" s="118" t="s">
        <v>207</v>
      </c>
      <c r="E84" s="118">
        <v>62</v>
      </c>
      <c r="F84" s="118" t="s">
        <v>207</v>
      </c>
      <c r="G84" s="118">
        <v>64</v>
      </c>
      <c r="H84" s="118" t="s">
        <v>207</v>
      </c>
      <c r="I84" s="378">
        <v>71</v>
      </c>
      <c r="J84" s="117">
        <v>24</v>
      </c>
      <c r="K84" s="117" t="s">
        <v>176</v>
      </c>
      <c r="L84" t="str">
        <f t="shared" si="23"/>
        <v>9L34</v>
      </c>
      <c r="M84" t="str">
        <f t="shared" si="33"/>
        <v/>
      </c>
      <c r="N84" t="str">
        <f t="shared" si="34"/>
        <v/>
      </c>
      <c r="O84" t="str">
        <f t="shared" si="35"/>
        <v/>
      </c>
      <c r="P84" s="113" t="str">
        <f t="shared" si="24"/>
        <v>9L34</v>
      </c>
      <c r="Q84" s="114">
        <f t="shared" si="25"/>
        <v>71</v>
      </c>
      <c r="R84" s="114">
        <f t="shared" si="26"/>
        <v>65.666666666666671</v>
      </c>
      <c r="S84" s="113">
        <f t="shared" si="27"/>
        <v>62</v>
      </c>
      <c r="T84" s="111">
        <f t="shared" ca="1" si="28"/>
        <v>1.4</v>
      </c>
      <c r="U84" s="111" t="str">
        <f t="shared" si="29"/>
        <v/>
      </c>
      <c r="V84" t="str">
        <f t="array" ref="V84">INDEX(P:P,MAX(U$3:U84))</f>
        <v>9L#2DTR(A1)</v>
      </c>
      <c r="W84" t="str">
        <f t="shared" ca="1" si="30"/>
        <v/>
      </c>
      <c r="X84">
        <f t="shared" si="31"/>
        <v>11.4</v>
      </c>
      <c r="Y84">
        <f t="shared" si="32"/>
        <v>71</v>
      </c>
      <c r="Z84" t="str">
        <f t="shared" si="36"/>
        <v>大城</v>
      </c>
    </row>
    <row r="85" spans="1:26" x14ac:dyDescent="0.25">
      <c r="A85" s="118" t="s">
        <v>253</v>
      </c>
      <c r="B85" s="119" t="s">
        <v>275</v>
      </c>
      <c r="C85" s="119">
        <v>0</v>
      </c>
      <c r="D85" s="118" t="s">
        <v>194</v>
      </c>
      <c r="E85" s="118">
        <v>0</v>
      </c>
      <c r="F85" s="118" t="s">
        <v>194</v>
      </c>
      <c r="G85" s="118">
        <v>0</v>
      </c>
      <c r="H85" s="118" t="s">
        <v>194</v>
      </c>
      <c r="I85" s="378">
        <v>0</v>
      </c>
      <c r="J85" s="117">
        <v>0</v>
      </c>
      <c r="K85" s="117" t="s">
        <v>194</v>
      </c>
      <c r="L85" t="str">
        <f t="shared" si="23"/>
        <v>9L33</v>
      </c>
      <c r="M85" t="str">
        <f t="shared" si="33"/>
        <v/>
      </c>
      <c r="N85" t="str">
        <f t="shared" si="34"/>
        <v/>
      </c>
      <c r="O85" t="str">
        <f t="shared" si="35"/>
        <v/>
      </c>
      <c r="P85" s="113" t="str">
        <f t="shared" si="24"/>
        <v>9L33</v>
      </c>
      <c r="Q85" s="114">
        <f t="shared" si="25"/>
        <v>0</v>
      </c>
      <c r="R85" s="114">
        <f t="shared" si="26"/>
        <v>0</v>
      </c>
      <c r="S85" s="113">
        <f t="shared" si="27"/>
        <v>0</v>
      </c>
      <c r="T85" s="111">
        <f t="shared" ca="1" si="28"/>
        <v>0</v>
      </c>
      <c r="U85" s="111" t="str">
        <f t="shared" si="29"/>
        <v/>
      </c>
      <c r="V85" t="str">
        <f t="array" ref="V85">INDEX(P:P,MAX(U$3:U85))</f>
        <v>9L#2DTR(A1)</v>
      </c>
      <c r="W85" t="str">
        <f t="shared" ca="1" si="30"/>
        <v/>
      </c>
      <c r="X85">
        <f t="shared" si="31"/>
        <v>11.4</v>
      </c>
      <c r="Y85">
        <f t="shared" si="32"/>
        <v>0</v>
      </c>
      <c r="Z85" t="str">
        <f t="shared" si="36"/>
        <v>大城</v>
      </c>
    </row>
    <row r="86" spans="1:26" x14ac:dyDescent="0.25">
      <c r="A86" s="118" t="s">
        <v>253</v>
      </c>
      <c r="B86" s="119" t="s">
        <v>276</v>
      </c>
      <c r="C86" s="119">
        <v>388</v>
      </c>
      <c r="D86" s="118" t="s">
        <v>180</v>
      </c>
      <c r="E86" s="118">
        <v>378</v>
      </c>
      <c r="F86" s="118" t="s">
        <v>180</v>
      </c>
      <c r="G86" s="118">
        <v>366</v>
      </c>
      <c r="H86" s="118" t="s">
        <v>180</v>
      </c>
      <c r="I86" s="378">
        <v>388</v>
      </c>
      <c r="J86" s="117">
        <v>48</v>
      </c>
      <c r="K86" s="117" t="s">
        <v>200</v>
      </c>
      <c r="L86" t="str">
        <f t="shared" si="23"/>
        <v>9L32</v>
      </c>
      <c r="M86" t="str">
        <f t="shared" si="33"/>
        <v/>
      </c>
      <c r="N86" t="str">
        <f t="shared" si="34"/>
        <v/>
      </c>
      <c r="O86" t="str">
        <f t="shared" si="35"/>
        <v/>
      </c>
      <c r="P86" s="113" t="str">
        <f t="shared" si="24"/>
        <v>9L32</v>
      </c>
      <c r="Q86" s="114">
        <f t="shared" si="25"/>
        <v>388</v>
      </c>
      <c r="R86" s="114">
        <f t="shared" si="26"/>
        <v>377.33333333333331</v>
      </c>
      <c r="S86" s="113">
        <f t="shared" si="27"/>
        <v>366</v>
      </c>
      <c r="T86" s="111">
        <f t="shared" ca="1" si="28"/>
        <v>7.66</v>
      </c>
      <c r="U86" s="111" t="str">
        <f t="shared" si="29"/>
        <v/>
      </c>
      <c r="V86" t="str">
        <f t="array" ref="V86">INDEX(P:P,MAX(U$3:U86))</f>
        <v>9L#2DTR(A1)</v>
      </c>
      <c r="W86" t="str">
        <f t="shared" ca="1" si="30"/>
        <v/>
      </c>
      <c r="X86">
        <f t="shared" si="31"/>
        <v>11.4</v>
      </c>
      <c r="Y86">
        <f t="shared" si="32"/>
        <v>388</v>
      </c>
      <c r="Z86" t="str">
        <f t="shared" si="36"/>
        <v>大城</v>
      </c>
    </row>
    <row r="87" spans="1:26" x14ac:dyDescent="0.25">
      <c r="A87" s="118" t="s">
        <v>253</v>
      </c>
      <c r="B87" s="119" t="s">
        <v>277</v>
      </c>
      <c r="C87" s="119">
        <v>99</v>
      </c>
      <c r="D87" s="118" t="s">
        <v>177</v>
      </c>
      <c r="E87" s="118">
        <v>162</v>
      </c>
      <c r="F87" s="118" t="s">
        <v>179</v>
      </c>
      <c r="G87" s="118">
        <v>115</v>
      </c>
      <c r="H87" s="118" t="s">
        <v>177</v>
      </c>
      <c r="I87" s="378">
        <v>162</v>
      </c>
      <c r="J87" s="117">
        <v>83</v>
      </c>
      <c r="K87" s="117" t="s">
        <v>180</v>
      </c>
      <c r="L87" t="str">
        <f t="shared" si="23"/>
        <v>9L31</v>
      </c>
      <c r="M87" t="str">
        <f t="shared" si="33"/>
        <v/>
      </c>
      <c r="N87" t="str">
        <f t="shared" si="34"/>
        <v/>
      </c>
      <c r="O87" t="str">
        <f t="shared" si="35"/>
        <v/>
      </c>
      <c r="P87" s="113" t="str">
        <f t="shared" si="24"/>
        <v>9L31</v>
      </c>
      <c r="Q87" s="114">
        <f t="shared" si="25"/>
        <v>162</v>
      </c>
      <c r="R87" s="114">
        <f t="shared" si="26"/>
        <v>125.33333333333333</v>
      </c>
      <c r="S87" s="113">
        <f t="shared" si="27"/>
        <v>99</v>
      </c>
      <c r="T87" s="111">
        <f t="shared" ca="1" si="28"/>
        <v>3.2</v>
      </c>
      <c r="U87" s="111" t="str">
        <f t="shared" si="29"/>
        <v/>
      </c>
      <c r="V87" t="str">
        <f t="array" ref="V87">INDEX(P:P,MAX(U$3:U87))</f>
        <v>9L#2DTR(A1)</v>
      </c>
      <c r="W87" t="str">
        <f t="shared" ca="1" si="30"/>
        <v/>
      </c>
      <c r="X87">
        <f t="shared" si="31"/>
        <v>11.4</v>
      </c>
      <c r="Y87">
        <f t="shared" si="32"/>
        <v>162</v>
      </c>
      <c r="Z87" t="str">
        <f t="shared" si="36"/>
        <v>大城</v>
      </c>
    </row>
    <row r="88" spans="1:26" x14ac:dyDescent="0.25">
      <c r="A88" s="118" t="s">
        <v>253</v>
      </c>
      <c r="B88" s="119" t="s">
        <v>278</v>
      </c>
      <c r="C88" s="119">
        <v>0</v>
      </c>
      <c r="D88" s="118" t="s">
        <v>194</v>
      </c>
      <c r="E88" s="118">
        <v>0</v>
      </c>
      <c r="F88" s="118" t="s">
        <v>194</v>
      </c>
      <c r="G88" s="118">
        <v>0</v>
      </c>
      <c r="H88" s="118" t="s">
        <v>194</v>
      </c>
      <c r="I88" s="378">
        <v>0</v>
      </c>
      <c r="J88" s="117"/>
      <c r="K88" s="117"/>
      <c r="L88" t="str">
        <f t="shared" si="23"/>
        <v>9L#2DTR(A2)</v>
      </c>
      <c r="M88" t="str">
        <f t="shared" si="33"/>
        <v>(A2</v>
      </c>
      <c r="N88" t="str">
        <f t="shared" si="34"/>
        <v>9L#2DTR</v>
      </c>
      <c r="O88" t="str">
        <f t="shared" si="35"/>
        <v>(A2</v>
      </c>
      <c r="P88" s="113" t="str">
        <f t="shared" si="24"/>
        <v>9L#2DTR(A2)</v>
      </c>
      <c r="Q88" s="114">
        <f t="shared" si="25"/>
        <v>0</v>
      </c>
      <c r="R88" s="114">
        <f t="shared" si="26"/>
        <v>0</v>
      </c>
      <c r="S88" s="113">
        <f t="shared" si="27"/>
        <v>0</v>
      </c>
      <c r="T88" s="111" t="e">
        <f t="shared" ca="1" si="28"/>
        <v>#VALUE!</v>
      </c>
      <c r="U88" s="111">
        <f t="shared" si="29"/>
        <v>88</v>
      </c>
      <c r="V88" t="str">
        <f t="array" ref="V88">INDEX(P:P,MAX(U$3:U88))</f>
        <v>9L#2DTR(A2)</v>
      </c>
      <c r="W88" t="e">
        <f t="shared" ca="1" si="30"/>
        <v>#VALUE!</v>
      </c>
      <c r="X88" t="str">
        <f t="shared" si="31"/>
        <v/>
      </c>
      <c r="Y88">
        <f t="shared" si="32"/>
        <v>0</v>
      </c>
      <c r="Z88" t="str">
        <f t="shared" si="36"/>
        <v>大城</v>
      </c>
    </row>
    <row r="89" spans="1:26" x14ac:dyDescent="0.25">
      <c r="A89" s="118" t="s">
        <v>253</v>
      </c>
      <c r="B89" s="119" t="s">
        <v>279</v>
      </c>
      <c r="C89" s="119">
        <v>0</v>
      </c>
      <c r="D89" s="118" t="s">
        <v>194</v>
      </c>
      <c r="E89" s="118">
        <v>0</v>
      </c>
      <c r="F89" s="118" t="s">
        <v>194</v>
      </c>
      <c r="G89" s="118">
        <v>0</v>
      </c>
      <c r="H89" s="118" t="s">
        <v>194</v>
      </c>
      <c r="I89" s="378">
        <v>0</v>
      </c>
      <c r="J89" s="117">
        <v>0</v>
      </c>
      <c r="K89" s="117" t="s">
        <v>194</v>
      </c>
      <c r="L89" t="str">
        <f t="shared" si="23"/>
        <v>9LE4</v>
      </c>
      <c r="M89" t="str">
        <f t="shared" si="33"/>
        <v/>
      </c>
      <c r="N89" t="str">
        <f t="shared" si="34"/>
        <v/>
      </c>
      <c r="O89" t="str">
        <f t="shared" si="35"/>
        <v/>
      </c>
      <c r="P89" s="113" t="str">
        <f t="shared" si="24"/>
        <v>9LE4</v>
      </c>
      <c r="Q89" s="114">
        <f t="shared" si="25"/>
        <v>0</v>
      </c>
      <c r="R89" s="114">
        <f t="shared" si="26"/>
        <v>0</v>
      </c>
      <c r="S89" s="113">
        <f t="shared" si="27"/>
        <v>0</v>
      </c>
      <c r="T89" s="111" t="e">
        <f t="shared" ca="1" si="28"/>
        <v>#VALUE!</v>
      </c>
      <c r="U89" s="111" t="str">
        <f t="shared" si="29"/>
        <v/>
      </c>
      <c r="V89" t="str">
        <f t="array" ref="V89">INDEX(P:P,MAX(U$3:U89))</f>
        <v>9L#2DTR(A2)</v>
      </c>
      <c r="W89" t="str">
        <f t="shared" ca="1" si="30"/>
        <v/>
      </c>
      <c r="X89" t="e">
        <f t="shared" si="31"/>
        <v>#VALUE!</v>
      </c>
      <c r="Y89">
        <f t="shared" si="32"/>
        <v>0</v>
      </c>
      <c r="Z89" t="str">
        <f t="shared" si="36"/>
        <v>大城</v>
      </c>
    </row>
    <row r="90" spans="1:26" x14ac:dyDescent="0.25">
      <c r="A90" s="118" t="s">
        <v>253</v>
      </c>
      <c r="B90" s="119" t="s">
        <v>280</v>
      </c>
      <c r="C90" s="119">
        <v>0</v>
      </c>
      <c r="D90" s="118" t="s">
        <v>194</v>
      </c>
      <c r="E90" s="118">
        <v>0</v>
      </c>
      <c r="F90" s="118" t="s">
        <v>194</v>
      </c>
      <c r="G90" s="118">
        <v>0</v>
      </c>
      <c r="H90" s="118" t="s">
        <v>194</v>
      </c>
      <c r="I90" s="378">
        <v>0</v>
      </c>
      <c r="J90" s="117">
        <v>0</v>
      </c>
      <c r="K90" s="117" t="s">
        <v>194</v>
      </c>
      <c r="L90" t="str">
        <f t="shared" si="23"/>
        <v>9LE5</v>
      </c>
      <c r="M90" t="str">
        <f t="shared" si="33"/>
        <v/>
      </c>
      <c r="N90" t="str">
        <f t="shared" si="34"/>
        <v/>
      </c>
      <c r="O90" t="str">
        <f t="shared" si="35"/>
        <v/>
      </c>
      <c r="P90" s="113" t="str">
        <f t="shared" si="24"/>
        <v>9LE5</v>
      </c>
      <c r="Q90" s="114">
        <f t="shared" si="25"/>
        <v>0</v>
      </c>
      <c r="R90" s="114">
        <f t="shared" si="26"/>
        <v>0</v>
      </c>
      <c r="S90" s="113">
        <f t="shared" si="27"/>
        <v>0</v>
      </c>
      <c r="T90" s="111" t="e">
        <f t="shared" ca="1" si="28"/>
        <v>#VALUE!</v>
      </c>
      <c r="U90" s="111" t="str">
        <f t="shared" si="29"/>
        <v/>
      </c>
      <c r="V90" t="str">
        <f t="array" ref="V90">INDEX(P:P,MAX(U$3:U90))</f>
        <v>9L#2DTR(A2)</v>
      </c>
      <c r="W90" t="str">
        <f t="shared" ca="1" si="30"/>
        <v/>
      </c>
      <c r="X90" t="e">
        <f t="shared" si="31"/>
        <v>#VALUE!</v>
      </c>
      <c r="Y90">
        <f t="shared" si="32"/>
        <v>0</v>
      </c>
      <c r="Z90" t="str">
        <f t="shared" si="36"/>
        <v>大城</v>
      </c>
    </row>
    <row r="91" spans="1:26" x14ac:dyDescent="0.25">
      <c r="A91" s="118" t="s">
        <v>253</v>
      </c>
      <c r="B91" s="119" t="s">
        <v>281</v>
      </c>
      <c r="C91" s="119">
        <v>0</v>
      </c>
      <c r="D91" s="118" t="s">
        <v>194</v>
      </c>
      <c r="E91" s="118">
        <v>0</v>
      </c>
      <c r="F91" s="118" t="s">
        <v>194</v>
      </c>
      <c r="G91" s="118">
        <v>0</v>
      </c>
      <c r="H91" s="118" t="s">
        <v>194</v>
      </c>
      <c r="I91" s="378">
        <v>0</v>
      </c>
      <c r="J91" s="117">
        <v>0</v>
      </c>
      <c r="K91" s="117" t="s">
        <v>194</v>
      </c>
      <c r="L91" t="str">
        <f t="shared" si="23"/>
        <v>9LE6</v>
      </c>
      <c r="M91" t="str">
        <f t="shared" si="33"/>
        <v/>
      </c>
      <c r="N91" t="str">
        <f t="shared" si="34"/>
        <v/>
      </c>
      <c r="O91" t="str">
        <f t="shared" si="35"/>
        <v/>
      </c>
      <c r="P91" s="113" t="str">
        <f t="shared" si="24"/>
        <v>9LE6</v>
      </c>
      <c r="Q91" s="114">
        <f t="shared" si="25"/>
        <v>0</v>
      </c>
      <c r="R91" s="114">
        <f t="shared" si="26"/>
        <v>0</v>
      </c>
      <c r="S91" s="113">
        <f t="shared" si="27"/>
        <v>0</v>
      </c>
      <c r="T91" s="111" t="e">
        <f t="shared" ca="1" si="28"/>
        <v>#VALUE!</v>
      </c>
      <c r="U91" s="111" t="str">
        <f t="shared" si="29"/>
        <v/>
      </c>
      <c r="V91" t="str">
        <f t="array" ref="V91">INDEX(P:P,MAX(U$3:U91))</f>
        <v>9L#2DTR(A2)</v>
      </c>
      <c r="W91" t="str">
        <f t="shared" ca="1" si="30"/>
        <v/>
      </c>
      <c r="X91" t="e">
        <f t="shared" si="31"/>
        <v>#VALUE!</v>
      </c>
      <c r="Y91">
        <f t="shared" si="32"/>
        <v>0</v>
      </c>
      <c r="Z91" t="str">
        <f t="shared" si="36"/>
        <v>大城</v>
      </c>
    </row>
    <row r="92" spans="1:26" x14ac:dyDescent="0.25">
      <c r="A92" s="118" t="s">
        <v>253</v>
      </c>
      <c r="B92" s="119" t="s">
        <v>282</v>
      </c>
      <c r="C92" s="119">
        <v>0</v>
      </c>
      <c r="D92" s="118" t="s">
        <v>194</v>
      </c>
      <c r="E92" s="118">
        <v>0</v>
      </c>
      <c r="F92" s="118" t="s">
        <v>194</v>
      </c>
      <c r="G92" s="118">
        <v>0</v>
      </c>
      <c r="H92" s="118" t="s">
        <v>194</v>
      </c>
      <c r="I92" s="378">
        <v>0</v>
      </c>
      <c r="J92" s="117">
        <v>0</v>
      </c>
      <c r="K92" s="117" t="s">
        <v>194</v>
      </c>
      <c r="L92" t="str">
        <f t="shared" si="23"/>
        <v>9LE7</v>
      </c>
      <c r="M92" t="str">
        <f t="shared" si="33"/>
        <v/>
      </c>
      <c r="N92" t="str">
        <f t="shared" si="34"/>
        <v/>
      </c>
      <c r="O92" t="str">
        <f t="shared" si="35"/>
        <v/>
      </c>
      <c r="P92" s="113" t="str">
        <f t="shared" si="24"/>
        <v>9LE7</v>
      </c>
      <c r="Q92" s="114">
        <f t="shared" si="25"/>
        <v>0</v>
      </c>
      <c r="R92" s="114">
        <f t="shared" si="26"/>
        <v>0</v>
      </c>
      <c r="S92" s="113">
        <f t="shared" si="27"/>
        <v>0</v>
      </c>
      <c r="T92" s="111" t="e">
        <f t="shared" ca="1" si="28"/>
        <v>#VALUE!</v>
      </c>
      <c r="U92" s="111" t="str">
        <f t="shared" si="29"/>
        <v/>
      </c>
      <c r="V92" t="str">
        <f t="array" ref="V92">INDEX(P:P,MAX(U$3:U92))</f>
        <v>9L#2DTR(A2)</v>
      </c>
      <c r="W92" t="str">
        <f t="shared" ca="1" si="30"/>
        <v/>
      </c>
      <c r="X92" t="e">
        <f t="shared" si="31"/>
        <v>#VALUE!</v>
      </c>
      <c r="Y92">
        <f t="shared" si="32"/>
        <v>0</v>
      </c>
      <c r="Z92" t="str">
        <f t="shared" si="36"/>
        <v>大城</v>
      </c>
    </row>
    <row r="93" spans="1:26" x14ac:dyDescent="0.25">
      <c r="A93" s="118" t="s">
        <v>253</v>
      </c>
      <c r="B93" s="119" t="s">
        <v>283</v>
      </c>
      <c r="C93" s="119">
        <v>564</v>
      </c>
      <c r="D93" s="118" t="s">
        <v>179</v>
      </c>
      <c r="E93" s="118">
        <v>507</v>
      </c>
      <c r="F93" s="118" t="s">
        <v>179</v>
      </c>
      <c r="G93" s="118">
        <v>564</v>
      </c>
      <c r="H93" s="118" t="s">
        <v>179</v>
      </c>
      <c r="I93" s="378">
        <v>564</v>
      </c>
      <c r="J93" s="117"/>
      <c r="K93" s="117"/>
      <c r="L93" t="str">
        <f t="shared" si="23"/>
        <v>9L#2DTR(B)</v>
      </c>
      <c r="M93" t="str">
        <f t="shared" si="33"/>
        <v>(B)</v>
      </c>
      <c r="N93" t="str">
        <f t="shared" si="34"/>
        <v>9L#2DTR</v>
      </c>
      <c r="O93" t="str">
        <f t="shared" si="35"/>
        <v>(B)</v>
      </c>
      <c r="P93" s="113" t="str">
        <f t="shared" si="24"/>
        <v>9L#2DTR(B)</v>
      </c>
      <c r="Q93" s="114">
        <f t="shared" si="25"/>
        <v>564</v>
      </c>
      <c r="R93" s="114">
        <f t="shared" si="26"/>
        <v>545</v>
      </c>
      <c r="S93" s="113">
        <f t="shared" si="27"/>
        <v>507</v>
      </c>
      <c r="T93" s="111">
        <f t="shared" ca="1" si="28"/>
        <v>11.14</v>
      </c>
      <c r="U93" s="111">
        <f t="shared" si="29"/>
        <v>93</v>
      </c>
      <c r="V93" t="str">
        <f t="array" ref="V93">INDEX(P:P,MAX(U$3:U93))</f>
        <v>9L#2DTR(B)</v>
      </c>
      <c r="W93">
        <f t="shared" ca="1" si="30"/>
        <v>30</v>
      </c>
      <c r="X93" t="str">
        <f t="shared" si="31"/>
        <v/>
      </c>
      <c r="Y93">
        <f t="shared" si="32"/>
        <v>564</v>
      </c>
      <c r="Z93" t="str">
        <f t="shared" si="36"/>
        <v>大城</v>
      </c>
    </row>
    <row r="94" spans="1:26" x14ac:dyDescent="0.25">
      <c r="A94" s="118" t="s">
        <v>253</v>
      </c>
      <c r="B94" s="119" t="s">
        <v>284</v>
      </c>
      <c r="C94" s="119">
        <v>142</v>
      </c>
      <c r="D94" s="118" t="s">
        <v>179</v>
      </c>
      <c r="E94" s="118">
        <v>95</v>
      </c>
      <c r="F94" s="118" t="s">
        <v>179</v>
      </c>
      <c r="G94" s="118">
        <v>137</v>
      </c>
      <c r="H94" s="118" t="s">
        <v>179</v>
      </c>
      <c r="I94" s="378">
        <v>142</v>
      </c>
      <c r="J94" s="117">
        <v>73</v>
      </c>
      <c r="K94" s="117" t="s">
        <v>183</v>
      </c>
      <c r="L94" t="str">
        <f t="shared" si="23"/>
        <v>9L40</v>
      </c>
      <c r="M94" t="str">
        <f t="shared" si="33"/>
        <v/>
      </c>
      <c r="N94" t="str">
        <f t="shared" si="34"/>
        <v/>
      </c>
      <c r="O94" t="str">
        <f t="shared" si="35"/>
        <v/>
      </c>
      <c r="P94" s="113" t="str">
        <f t="shared" si="24"/>
        <v>9L40</v>
      </c>
      <c r="Q94" s="114">
        <f t="shared" si="25"/>
        <v>142</v>
      </c>
      <c r="R94" s="114">
        <f t="shared" si="26"/>
        <v>124.66666666666667</v>
      </c>
      <c r="S94" s="113">
        <f t="shared" si="27"/>
        <v>95</v>
      </c>
      <c r="T94" s="111">
        <f t="shared" ca="1" si="28"/>
        <v>2.8</v>
      </c>
      <c r="U94" s="111" t="str">
        <f t="shared" si="29"/>
        <v/>
      </c>
      <c r="V94" t="str">
        <f t="array" ref="V94">INDEX(P:P,MAX(U$3:U94))</f>
        <v>9L#2DTR(B)</v>
      </c>
      <c r="W94" t="str">
        <f t="shared" ca="1" si="30"/>
        <v/>
      </c>
      <c r="X94">
        <f t="shared" si="31"/>
        <v>11.4</v>
      </c>
      <c r="Y94">
        <f t="shared" si="32"/>
        <v>142</v>
      </c>
      <c r="Z94" t="str">
        <f t="shared" si="36"/>
        <v>大城</v>
      </c>
    </row>
    <row r="95" spans="1:26" x14ac:dyDescent="0.25">
      <c r="A95" s="118" t="s">
        <v>253</v>
      </c>
      <c r="B95" s="119" t="s">
        <v>285</v>
      </c>
      <c r="C95" s="119">
        <v>254</v>
      </c>
      <c r="D95" s="118" t="s">
        <v>183</v>
      </c>
      <c r="E95" s="118">
        <v>266</v>
      </c>
      <c r="F95" s="118" t="s">
        <v>198</v>
      </c>
      <c r="G95" s="118">
        <v>263</v>
      </c>
      <c r="H95" s="118" t="s">
        <v>198</v>
      </c>
      <c r="I95" s="378">
        <v>266</v>
      </c>
      <c r="J95" s="117">
        <v>22</v>
      </c>
      <c r="K95" s="117" t="s">
        <v>198</v>
      </c>
      <c r="L95" t="str">
        <f t="shared" si="23"/>
        <v>9L39</v>
      </c>
      <c r="M95" t="str">
        <f t="shared" si="33"/>
        <v/>
      </c>
      <c r="N95" t="str">
        <f t="shared" si="34"/>
        <v/>
      </c>
      <c r="O95" t="str">
        <f t="shared" si="35"/>
        <v/>
      </c>
      <c r="P95" s="113" t="str">
        <f t="shared" si="24"/>
        <v>9L39</v>
      </c>
      <c r="Q95" s="114">
        <f t="shared" si="25"/>
        <v>266</v>
      </c>
      <c r="R95" s="114">
        <f t="shared" si="26"/>
        <v>261</v>
      </c>
      <c r="S95" s="113">
        <f t="shared" si="27"/>
        <v>254</v>
      </c>
      <c r="T95" s="111">
        <f t="shared" ca="1" si="28"/>
        <v>5.25</v>
      </c>
      <c r="U95" s="111" t="str">
        <f t="shared" si="29"/>
        <v/>
      </c>
      <c r="V95" t="str">
        <f t="array" ref="V95">INDEX(P:P,MAX(U$3:U95))</f>
        <v>9L#2DTR(B)</v>
      </c>
      <c r="W95" t="str">
        <f t="shared" ca="1" si="30"/>
        <v/>
      </c>
      <c r="X95">
        <f t="shared" si="31"/>
        <v>11.4</v>
      </c>
      <c r="Y95">
        <f t="shared" si="32"/>
        <v>266</v>
      </c>
      <c r="Z95" t="str">
        <f t="shared" si="36"/>
        <v>大城</v>
      </c>
    </row>
    <row r="96" spans="1:26" x14ac:dyDescent="0.25">
      <c r="A96" s="118" t="s">
        <v>253</v>
      </c>
      <c r="B96" s="119" t="s">
        <v>286</v>
      </c>
      <c r="C96" s="119">
        <v>28</v>
      </c>
      <c r="D96" s="118" t="s">
        <v>192</v>
      </c>
      <c r="E96" s="118">
        <v>21</v>
      </c>
      <c r="F96" s="118" t="s">
        <v>180</v>
      </c>
      <c r="G96" s="118">
        <v>46</v>
      </c>
      <c r="H96" s="118" t="s">
        <v>179</v>
      </c>
      <c r="I96" s="378">
        <v>46</v>
      </c>
      <c r="J96" s="117">
        <v>49</v>
      </c>
      <c r="K96" s="117" t="s">
        <v>192</v>
      </c>
      <c r="L96" t="str">
        <f t="shared" si="23"/>
        <v>9L38</v>
      </c>
      <c r="M96" t="str">
        <f t="shared" si="33"/>
        <v/>
      </c>
      <c r="N96" t="str">
        <f t="shared" si="34"/>
        <v/>
      </c>
      <c r="O96" t="str">
        <f t="shared" si="35"/>
        <v/>
      </c>
      <c r="P96" s="113" t="str">
        <f t="shared" si="24"/>
        <v>9L38</v>
      </c>
      <c r="Q96" s="114">
        <f t="shared" si="25"/>
        <v>46</v>
      </c>
      <c r="R96" s="114">
        <f t="shared" si="26"/>
        <v>31.666666666666668</v>
      </c>
      <c r="S96" s="113">
        <f t="shared" si="27"/>
        <v>21</v>
      </c>
      <c r="T96" s="111">
        <f t="shared" ca="1" si="28"/>
        <v>0.91</v>
      </c>
      <c r="U96" s="111" t="str">
        <f t="shared" si="29"/>
        <v/>
      </c>
      <c r="V96" t="str">
        <f t="array" ref="V96">INDEX(P:P,MAX(U$3:U96))</f>
        <v>9L#2DTR(B)</v>
      </c>
      <c r="W96" t="str">
        <f t="shared" ca="1" si="30"/>
        <v/>
      </c>
      <c r="X96">
        <f t="shared" si="31"/>
        <v>11.4</v>
      </c>
      <c r="Y96">
        <f t="shared" si="32"/>
        <v>46</v>
      </c>
      <c r="Z96" t="str">
        <f t="shared" si="36"/>
        <v>大城</v>
      </c>
    </row>
    <row r="97" spans="1:26" x14ac:dyDescent="0.25">
      <c r="A97" s="118" t="s">
        <v>253</v>
      </c>
      <c r="B97" s="119" t="s">
        <v>287</v>
      </c>
      <c r="C97" s="119">
        <v>117</v>
      </c>
      <c r="D97" s="118" t="s">
        <v>183</v>
      </c>
      <c r="E97" s="118">
        <v>131</v>
      </c>
      <c r="F97" s="118" t="s">
        <v>183</v>
      </c>
      <c r="G97" s="118">
        <v>102</v>
      </c>
      <c r="H97" s="118" t="s">
        <v>183</v>
      </c>
      <c r="I97" s="378">
        <v>131</v>
      </c>
      <c r="J97" s="117">
        <v>62</v>
      </c>
      <c r="K97" s="117" t="s">
        <v>203</v>
      </c>
      <c r="L97" t="str">
        <f t="shared" si="23"/>
        <v>9L37</v>
      </c>
      <c r="M97" t="str">
        <f t="shared" si="33"/>
        <v/>
      </c>
      <c r="N97" t="str">
        <f t="shared" si="34"/>
        <v/>
      </c>
      <c r="O97" t="str">
        <f t="shared" si="35"/>
        <v/>
      </c>
      <c r="P97" s="113" t="str">
        <f t="shared" si="24"/>
        <v>9L37</v>
      </c>
      <c r="Q97" s="114">
        <f t="shared" si="25"/>
        <v>131</v>
      </c>
      <c r="R97" s="114">
        <f t="shared" si="26"/>
        <v>116.66666666666667</v>
      </c>
      <c r="S97" s="113">
        <f t="shared" si="27"/>
        <v>102</v>
      </c>
      <c r="T97" s="111">
        <f t="shared" ca="1" si="28"/>
        <v>2.59</v>
      </c>
      <c r="U97" s="111" t="str">
        <f t="shared" si="29"/>
        <v/>
      </c>
      <c r="V97" t="str">
        <f t="array" ref="V97">INDEX(P:P,MAX(U$3:U97))</f>
        <v>9L#2DTR(B)</v>
      </c>
      <c r="W97" t="str">
        <f t="shared" ca="1" si="30"/>
        <v/>
      </c>
      <c r="X97">
        <f t="shared" si="31"/>
        <v>11.4</v>
      </c>
      <c r="Y97">
        <f t="shared" si="32"/>
        <v>131</v>
      </c>
      <c r="Z97" t="str">
        <f t="shared" si="36"/>
        <v>大城</v>
      </c>
    </row>
    <row r="98" spans="1:26" x14ac:dyDescent="0.25">
      <c r="A98" s="118" t="s">
        <v>253</v>
      </c>
      <c r="B98" s="119" t="s">
        <v>288</v>
      </c>
      <c r="C98" s="119">
        <v>76</v>
      </c>
      <c r="D98" s="118" t="s">
        <v>177</v>
      </c>
      <c r="E98" s="118">
        <v>91</v>
      </c>
      <c r="F98" s="118" t="s">
        <v>179</v>
      </c>
      <c r="G98" s="118">
        <v>66</v>
      </c>
      <c r="H98" s="118" t="s">
        <v>180</v>
      </c>
      <c r="I98" s="378">
        <v>91</v>
      </c>
      <c r="J98" s="117">
        <v>68</v>
      </c>
      <c r="K98" s="117" t="s">
        <v>180</v>
      </c>
      <c r="L98" t="str">
        <f t="shared" si="23"/>
        <v>9L36</v>
      </c>
      <c r="M98" t="str">
        <f t="shared" si="33"/>
        <v/>
      </c>
      <c r="N98" t="str">
        <f t="shared" si="34"/>
        <v/>
      </c>
      <c r="O98" t="str">
        <f t="shared" si="35"/>
        <v/>
      </c>
      <c r="P98" s="113" t="str">
        <f t="shared" si="24"/>
        <v>9L36</v>
      </c>
      <c r="Q98" s="114">
        <f t="shared" si="25"/>
        <v>91</v>
      </c>
      <c r="R98" s="114">
        <f t="shared" si="26"/>
        <v>77.666666666666671</v>
      </c>
      <c r="S98" s="113">
        <f t="shared" si="27"/>
        <v>66</v>
      </c>
      <c r="T98" s="111">
        <f t="shared" ca="1" si="28"/>
        <v>1.8</v>
      </c>
      <c r="U98" s="111" t="str">
        <f t="shared" si="29"/>
        <v/>
      </c>
      <c r="V98" t="str">
        <f t="array" ref="V98">INDEX(P:P,MAX(U$3:U98))</f>
        <v>9L#2DTR(B)</v>
      </c>
      <c r="W98" t="str">
        <f t="shared" ca="1" si="30"/>
        <v/>
      </c>
      <c r="X98">
        <f t="shared" si="31"/>
        <v>11.4</v>
      </c>
      <c r="Y98">
        <f t="shared" si="32"/>
        <v>91</v>
      </c>
      <c r="Z98" t="str">
        <f t="shared" si="36"/>
        <v>大城</v>
      </c>
    </row>
    <row r="99" spans="1:26" x14ac:dyDescent="0.25">
      <c r="A99" s="118" t="s">
        <v>289</v>
      </c>
      <c r="B99" s="119" t="s">
        <v>254</v>
      </c>
      <c r="C99" s="119">
        <v>600</v>
      </c>
      <c r="D99" s="118" t="s">
        <v>179</v>
      </c>
      <c r="E99" s="118">
        <v>603</v>
      </c>
      <c r="F99" s="118" t="s">
        <v>179</v>
      </c>
      <c r="G99" s="118">
        <v>648</v>
      </c>
      <c r="H99" s="118" t="s">
        <v>177</v>
      </c>
      <c r="I99" s="378">
        <v>648</v>
      </c>
      <c r="J99" s="117"/>
      <c r="K99" s="117"/>
      <c r="L99" t="str">
        <f t="shared" si="23"/>
        <v>9K#1DTR(A)</v>
      </c>
      <c r="M99" t="str">
        <f t="shared" si="33"/>
        <v>(A)</v>
      </c>
      <c r="N99" t="str">
        <f t="shared" si="34"/>
        <v>9K#1DTR</v>
      </c>
      <c r="O99" t="str">
        <f t="shared" si="35"/>
        <v>(A)</v>
      </c>
      <c r="P99" s="113" t="str">
        <f t="shared" si="24"/>
        <v>9K#1DTR(A)</v>
      </c>
      <c r="Q99" s="114">
        <f t="shared" si="25"/>
        <v>648</v>
      </c>
      <c r="R99" s="114">
        <f t="shared" si="26"/>
        <v>617</v>
      </c>
      <c r="S99" s="113">
        <f t="shared" si="27"/>
        <v>600</v>
      </c>
      <c r="T99" s="111">
        <f t="shared" ca="1" si="28"/>
        <v>12.8</v>
      </c>
      <c r="U99" s="111">
        <f t="shared" si="29"/>
        <v>99</v>
      </c>
      <c r="V99" t="str">
        <f t="array" ref="V99">INDEX(P:P,MAX(U$3:U99))</f>
        <v>9K#1DTR(A)</v>
      </c>
      <c r="W99">
        <f t="shared" ca="1" si="30"/>
        <v>30</v>
      </c>
      <c r="X99" t="str">
        <f t="shared" si="31"/>
        <v/>
      </c>
      <c r="Y99">
        <f t="shared" si="32"/>
        <v>648</v>
      </c>
      <c r="Z99" t="str">
        <f t="shared" si="36"/>
        <v>大霞</v>
      </c>
    </row>
    <row r="100" spans="1:26" x14ac:dyDescent="0.25">
      <c r="A100" s="118" t="s">
        <v>289</v>
      </c>
      <c r="B100" s="119" t="s">
        <v>290</v>
      </c>
      <c r="C100" s="119">
        <v>39</v>
      </c>
      <c r="D100" s="118" t="s">
        <v>203</v>
      </c>
      <c r="E100" s="118">
        <v>45</v>
      </c>
      <c r="F100" s="118" t="s">
        <v>192</v>
      </c>
      <c r="G100" s="118">
        <v>21</v>
      </c>
      <c r="H100" s="118" t="s">
        <v>192</v>
      </c>
      <c r="I100" s="378">
        <v>45</v>
      </c>
      <c r="J100" s="117">
        <v>38</v>
      </c>
      <c r="K100" s="117" t="s">
        <v>207</v>
      </c>
      <c r="L100" t="str">
        <f t="shared" si="23"/>
        <v>9K21</v>
      </c>
      <c r="M100" t="str">
        <f t="shared" si="33"/>
        <v/>
      </c>
      <c r="N100" t="str">
        <f t="shared" si="34"/>
        <v/>
      </c>
      <c r="O100" t="str">
        <f t="shared" si="35"/>
        <v/>
      </c>
      <c r="P100" s="113" t="str">
        <f t="shared" si="24"/>
        <v>9K21</v>
      </c>
      <c r="Q100" s="114">
        <f t="shared" si="25"/>
        <v>45</v>
      </c>
      <c r="R100" s="114">
        <f t="shared" si="26"/>
        <v>35</v>
      </c>
      <c r="S100" s="113">
        <f t="shared" si="27"/>
        <v>21</v>
      </c>
      <c r="T100" s="111">
        <f t="shared" ca="1" si="28"/>
        <v>0.89</v>
      </c>
      <c r="U100" s="111" t="str">
        <f t="shared" si="29"/>
        <v/>
      </c>
      <c r="V100" t="str">
        <f t="array" ref="V100">INDEX(P:P,MAX(U$3:U100))</f>
        <v>9K#1DTR(A)</v>
      </c>
      <c r="W100" t="str">
        <f t="shared" ca="1" si="30"/>
        <v/>
      </c>
      <c r="X100">
        <f t="shared" si="31"/>
        <v>11.4</v>
      </c>
      <c r="Y100">
        <f t="shared" si="32"/>
        <v>45</v>
      </c>
      <c r="Z100" t="str">
        <f t="shared" si="36"/>
        <v>大霞</v>
      </c>
    </row>
    <row r="101" spans="1:26" x14ac:dyDescent="0.25">
      <c r="A101" s="118" t="s">
        <v>289</v>
      </c>
      <c r="B101" s="119" t="s">
        <v>291</v>
      </c>
      <c r="C101" s="119">
        <v>219</v>
      </c>
      <c r="D101" s="118" t="s">
        <v>179</v>
      </c>
      <c r="E101" s="118">
        <v>217</v>
      </c>
      <c r="F101" s="118" t="s">
        <v>192</v>
      </c>
      <c r="G101" s="118">
        <v>202</v>
      </c>
      <c r="H101" s="118" t="s">
        <v>192</v>
      </c>
      <c r="I101" s="378">
        <v>219</v>
      </c>
      <c r="J101" s="117">
        <v>58</v>
      </c>
      <c r="K101" s="117" t="s">
        <v>211</v>
      </c>
      <c r="L101" t="str">
        <f t="shared" si="23"/>
        <v>9K22</v>
      </c>
      <c r="M101" t="str">
        <f t="shared" si="33"/>
        <v/>
      </c>
      <c r="N101" t="str">
        <f t="shared" si="34"/>
        <v/>
      </c>
      <c r="O101" t="str">
        <f t="shared" si="35"/>
        <v/>
      </c>
      <c r="P101" s="113" t="str">
        <f t="shared" si="24"/>
        <v>9K22</v>
      </c>
      <c r="Q101" s="114">
        <f t="shared" si="25"/>
        <v>219</v>
      </c>
      <c r="R101" s="114">
        <f t="shared" si="26"/>
        <v>212.66666666666666</v>
      </c>
      <c r="S101" s="113">
        <f t="shared" si="27"/>
        <v>202</v>
      </c>
      <c r="T101" s="111">
        <f t="shared" ca="1" si="28"/>
        <v>4.32</v>
      </c>
      <c r="U101" s="111" t="str">
        <f t="shared" si="29"/>
        <v/>
      </c>
      <c r="V101" t="str">
        <f t="array" ref="V101">INDEX(P:P,MAX(U$3:U101))</f>
        <v>9K#1DTR(A)</v>
      </c>
      <c r="W101" t="str">
        <f t="shared" ca="1" si="30"/>
        <v/>
      </c>
      <c r="X101">
        <f t="shared" si="31"/>
        <v>11.4</v>
      </c>
      <c r="Y101">
        <f t="shared" si="32"/>
        <v>219</v>
      </c>
      <c r="Z101" t="str">
        <f t="shared" si="36"/>
        <v>大霞</v>
      </c>
    </row>
    <row r="102" spans="1:26" x14ac:dyDescent="0.25">
      <c r="A102" s="118" t="s">
        <v>289</v>
      </c>
      <c r="B102" s="119" t="s">
        <v>292</v>
      </c>
      <c r="C102" s="119">
        <v>138</v>
      </c>
      <c r="D102" s="118" t="s">
        <v>179</v>
      </c>
      <c r="E102" s="118">
        <v>156</v>
      </c>
      <c r="F102" s="118" t="s">
        <v>179</v>
      </c>
      <c r="G102" s="118">
        <v>174</v>
      </c>
      <c r="H102" s="118" t="s">
        <v>179</v>
      </c>
      <c r="I102" s="378">
        <v>174</v>
      </c>
      <c r="J102" s="117">
        <v>64</v>
      </c>
      <c r="K102" s="117" t="s">
        <v>196</v>
      </c>
      <c r="L102" t="str">
        <f t="shared" si="23"/>
        <v>9K23</v>
      </c>
      <c r="M102" t="str">
        <f t="shared" si="33"/>
        <v/>
      </c>
      <c r="N102" t="str">
        <f t="shared" si="34"/>
        <v/>
      </c>
      <c r="O102" t="str">
        <f t="shared" si="35"/>
        <v/>
      </c>
      <c r="P102" s="113" t="str">
        <f t="shared" si="24"/>
        <v>9K23</v>
      </c>
      <c r="Q102" s="114">
        <f t="shared" si="25"/>
        <v>174</v>
      </c>
      <c r="R102" s="114">
        <f t="shared" si="26"/>
        <v>156</v>
      </c>
      <c r="S102" s="113">
        <f t="shared" si="27"/>
        <v>138</v>
      </c>
      <c r="T102" s="111">
        <f t="shared" ca="1" si="28"/>
        <v>3.44</v>
      </c>
      <c r="U102" s="111" t="str">
        <f t="shared" si="29"/>
        <v/>
      </c>
      <c r="V102" t="str">
        <f t="array" ref="V102">INDEX(P:P,MAX(U$3:U102))</f>
        <v>9K#1DTR(A)</v>
      </c>
      <c r="W102" t="str">
        <f t="shared" ca="1" si="30"/>
        <v/>
      </c>
      <c r="X102">
        <f t="shared" si="31"/>
        <v>11.4</v>
      </c>
      <c r="Y102">
        <f t="shared" si="32"/>
        <v>174</v>
      </c>
      <c r="Z102" t="str">
        <f t="shared" si="36"/>
        <v>大霞</v>
      </c>
    </row>
    <row r="103" spans="1:26" x14ac:dyDescent="0.25">
      <c r="A103" s="118" t="s">
        <v>289</v>
      </c>
      <c r="B103" s="119" t="s">
        <v>293</v>
      </c>
      <c r="C103" s="119">
        <v>41</v>
      </c>
      <c r="D103" s="118" t="s">
        <v>192</v>
      </c>
      <c r="E103" s="118">
        <v>51</v>
      </c>
      <c r="F103" s="118" t="s">
        <v>203</v>
      </c>
      <c r="G103" s="118">
        <v>44</v>
      </c>
      <c r="H103" s="118" t="s">
        <v>203</v>
      </c>
      <c r="I103" s="378">
        <v>51</v>
      </c>
      <c r="J103" s="117">
        <v>22</v>
      </c>
      <c r="K103" s="117" t="s">
        <v>196</v>
      </c>
      <c r="L103" t="str">
        <f t="shared" si="23"/>
        <v>9K24</v>
      </c>
      <c r="M103" t="str">
        <f t="shared" si="33"/>
        <v/>
      </c>
      <c r="N103" t="str">
        <f t="shared" si="34"/>
        <v/>
      </c>
      <c r="O103" t="str">
        <f t="shared" si="35"/>
        <v/>
      </c>
      <c r="P103" s="113" t="str">
        <f t="shared" si="24"/>
        <v>9K24</v>
      </c>
      <c r="Q103" s="114">
        <f t="shared" si="25"/>
        <v>51</v>
      </c>
      <c r="R103" s="114">
        <f t="shared" si="26"/>
        <v>45.333333333333336</v>
      </c>
      <c r="S103" s="113">
        <f t="shared" si="27"/>
        <v>41</v>
      </c>
      <c r="T103" s="111">
        <f t="shared" ca="1" si="28"/>
        <v>1.01</v>
      </c>
      <c r="U103" s="111" t="str">
        <f t="shared" si="29"/>
        <v/>
      </c>
      <c r="V103" t="str">
        <f t="array" ref="V103">INDEX(P:P,MAX(U$3:U103))</f>
        <v>9K#1DTR(A)</v>
      </c>
      <c r="W103" t="str">
        <f t="shared" ca="1" si="30"/>
        <v/>
      </c>
      <c r="X103">
        <f t="shared" si="31"/>
        <v>11.4</v>
      </c>
      <c r="Y103">
        <f t="shared" si="32"/>
        <v>51</v>
      </c>
      <c r="Z103" t="str">
        <f t="shared" si="36"/>
        <v>大霞</v>
      </c>
    </row>
    <row r="104" spans="1:26" x14ac:dyDescent="0.25">
      <c r="A104" s="118" t="s">
        <v>289</v>
      </c>
      <c r="B104" s="119" t="s">
        <v>294</v>
      </c>
      <c r="C104" s="119">
        <v>198</v>
      </c>
      <c r="D104" s="118" t="s">
        <v>188</v>
      </c>
      <c r="E104" s="118">
        <v>216</v>
      </c>
      <c r="F104" s="118" t="s">
        <v>176</v>
      </c>
      <c r="G104" s="118">
        <v>273</v>
      </c>
      <c r="H104" s="118" t="s">
        <v>176</v>
      </c>
      <c r="I104" s="378">
        <v>273</v>
      </c>
      <c r="J104" s="117">
        <v>67</v>
      </c>
      <c r="K104" s="117" t="s">
        <v>176</v>
      </c>
      <c r="L104" t="str">
        <f t="shared" si="23"/>
        <v>9K25</v>
      </c>
      <c r="M104" t="str">
        <f t="shared" si="33"/>
        <v/>
      </c>
      <c r="N104" t="str">
        <f t="shared" si="34"/>
        <v/>
      </c>
      <c r="O104" t="str">
        <f t="shared" si="35"/>
        <v/>
      </c>
      <c r="P104" s="113" t="str">
        <f t="shared" si="24"/>
        <v>9K25</v>
      </c>
      <c r="Q104" s="114">
        <f t="shared" si="25"/>
        <v>273</v>
      </c>
      <c r="R104" s="114">
        <f t="shared" si="26"/>
        <v>229</v>
      </c>
      <c r="S104" s="113">
        <f t="shared" si="27"/>
        <v>198</v>
      </c>
      <c r="T104" s="111">
        <f t="shared" ca="1" si="28"/>
        <v>5.39</v>
      </c>
      <c r="U104" s="111" t="str">
        <f t="shared" si="29"/>
        <v/>
      </c>
      <c r="V104" t="str">
        <f t="array" ref="V104">INDEX(P:P,MAX(U$3:U104))</f>
        <v>9K#1DTR(A)</v>
      </c>
      <c r="W104" t="str">
        <f t="shared" ca="1" si="30"/>
        <v/>
      </c>
      <c r="X104">
        <f t="shared" si="31"/>
        <v>11.4</v>
      </c>
      <c r="Y104">
        <f t="shared" si="32"/>
        <v>273</v>
      </c>
      <c r="Z104" t="str">
        <f t="shared" si="36"/>
        <v>大霞</v>
      </c>
    </row>
    <row r="105" spans="1:26" x14ac:dyDescent="0.25">
      <c r="A105" s="118" t="s">
        <v>289</v>
      </c>
      <c r="B105" s="119" t="s">
        <v>295</v>
      </c>
      <c r="C105" s="119">
        <v>513</v>
      </c>
      <c r="D105" s="118" t="s">
        <v>177</v>
      </c>
      <c r="E105" s="118">
        <v>448</v>
      </c>
      <c r="F105" s="118" t="s">
        <v>177</v>
      </c>
      <c r="G105" s="118">
        <v>432</v>
      </c>
      <c r="H105" s="118" t="s">
        <v>198</v>
      </c>
      <c r="I105" s="378">
        <v>513</v>
      </c>
      <c r="J105" s="117"/>
      <c r="K105" s="117"/>
      <c r="L105" t="str">
        <f t="shared" si="23"/>
        <v>9K#1DTR(B)</v>
      </c>
      <c r="M105" t="str">
        <f t="shared" si="33"/>
        <v>(B)</v>
      </c>
      <c r="N105" t="str">
        <f t="shared" si="34"/>
        <v>9K#1DTR</v>
      </c>
      <c r="O105" t="str">
        <f t="shared" si="35"/>
        <v>(B)</v>
      </c>
      <c r="P105" s="113" t="str">
        <f t="shared" si="24"/>
        <v>9K#1DTR(B)</v>
      </c>
      <c r="Q105" s="114">
        <f t="shared" si="25"/>
        <v>513</v>
      </c>
      <c r="R105" s="114">
        <f t="shared" si="26"/>
        <v>464.33333333333331</v>
      </c>
      <c r="S105" s="113">
        <f t="shared" si="27"/>
        <v>432</v>
      </c>
      <c r="T105" s="111">
        <f t="shared" ca="1" si="28"/>
        <v>10.130000000000001</v>
      </c>
      <c r="U105" s="111">
        <f t="shared" si="29"/>
        <v>105</v>
      </c>
      <c r="V105" t="str">
        <f t="array" ref="V105">INDEX(P:P,MAX(U$3:U105))</f>
        <v>9K#1DTR(B)</v>
      </c>
      <c r="W105">
        <f t="shared" ca="1" si="30"/>
        <v>30</v>
      </c>
      <c r="X105" t="str">
        <f t="shared" si="31"/>
        <v/>
      </c>
      <c r="Y105">
        <f t="shared" si="32"/>
        <v>513</v>
      </c>
      <c r="Z105" t="str">
        <f t="shared" si="36"/>
        <v>大霞</v>
      </c>
    </row>
    <row r="106" spans="1:26" x14ac:dyDescent="0.25">
      <c r="A106" s="118" t="s">
        <v>289</v>
      </c>
      <c r="B106" s="119" t="s">
        <v>296</v>
      </c>
      <c r="C106" s="119">
        <v>60</v>
      </c>
      <c r="D106" s="118" t="s">
        <v>176</v>
      </c>
      <c r="E106" s="118">
        <v>29</v>
      </c>
      <c r="F106" s="118" t="s">
        <v>179</v>
      </c>
      <c r="G106" s="118">
        <v>47</v>
      </c>
      <c r="H106" s="118" t="s">
        <v>179</v>
      </c>
      <c r="I106" s="378">
        <v>60</v>
      </c>
      <c r="J106" s="117">
        <v>38</v>
      </c>
      <c r="K106" s="117" t="s">
        <v>176</v>
      </c>
      <c r="L106" t="str">
        <f t="shared" si="23"/>
        <v>9K26</v>
      </c>
      <c r="M106" t="str">
        <f t="shared" si="33"/>
        <v/>
      </c>
      <c r="N106" t="str">
        <f t="shared" si="34"/>
        <v/>
      </c>
      <c r="O106" t="str">
        <f t="shared" si="35"/>
        <v/>
      </c>
      <c r="P106" s="113" t="str">
        <f t="shared" si="24"/>
        <v>9K26</v>
      </c>
      <c r="Q106" s="114">
        <f t="shared" si="25"/>
        <v>60</v>
      </c>
      <c r="R106" s="114">
        <f t="shared" si="26"/>
        <v>45.333333333333336</v>
      </c>
      <c r="S106" s="113">
        <f t="shared" si="27"/>
        <v>29</v>
      </c>
      <c r="T106" s="111">
        <f t="shared" ca="1" si="28"/>
        <v>1.18</v>
      </c>
      <c r="U106" s="111" t="str">
        <f t="shared" si="29"/>
        <v/>
      </c>
      <c r="V106" t="str">
        <f t="array" ref="V106">INDEX(P:P,MAX(U$3:U106))</f>
        <v>9K#1DTR(B)</v>
      </c>
      <c r="W106" t="str">
        <f t="shared" ca="1" si="30"/>
        <v/>
      </c>
      <c r="X106">
        <f t="shared" si="31"/>
        <v>11.4</v>
      </c>
      <c r="Y106">
        <f t="shared" si="32"/>
        <v>60</v>
      </c>
      <c r="Z106" t="str">
        <f t="shared" si="36"/>
        <v>大霞</v>
      </c>
    </row>
    <row r="107" spans="1:26" x14ac:dyDescent="0.25">
      <c r="A107" s="118" t="s">
        <v>289</v>
      </c>
      <c r="B107" s="119" t="s">
        <v>297</v>
      </c>
      <c r="C107" s="119">
        <v>146</v>
      </c>
      <c r="D107" s="118" t="s">
        <v>198</v>
      </c>
      <c r="E107" s="118">
        <v>114</v>
      </c>
      <c r="F107" s="118" t="s">
        <v>198</v>
      </c>
      <c r="G107" s="118">
        <v>117</v>
      </c>
      <c r="H107" s="118" t="s">
        <v>198</v>
      </c>
      <c r="I107" s="378">
        <v>146</v>
      </c>
      <c r="J107" s="117">
        <v>63</v>
      </c>
      <c r="K107" s="117" t="s">
        <v>177</v>
      </c>
      <c r="L107" t="str">
        <f t="shared" si="23"/>
        <v>9K27</v>
      </c>
      <c r="M107" t="str">
        <f t="shared" si="33"/>
        <v/>
      </c>
      <c r="N107" t="str">
        <f t="shared" si="34"/>
        <v/>
      </c>
      <c r="O107" t="str">
        <f t="shared" si="35"/>
        <v/>
      </c>
      <c r="P107" s="113" t="str">
        <f t="shared" si="24"/>
        <v>9K27</v>
      </c>
      <c r="Q107" s="114">
        <f t="shared" si="25"/>
        <v>146</v>
      </c>
      <c r="R107" s="114">
        <f t="shared" si="26"/>
        <v>125.66666666666667</v>
      </c>
      <c r="S107" s="113">
        <f t="shared" si="27"/>
        <v>114</v>
      </c>
      <c r="T107" s="111">
        <f t="shared" ca="1" si="28"/>
        <v>2.88</v>
      </c>
      <c r="U107" s="111" t="str">
        <f t="shared" si="29"/>
        <v/>
      </c>
      <c r="V107" t="str">
        <f t="array" ref="V107">INDEX(P:P,MAX(U$3:U107))</f>
        <v>9K#1DTR(B)</v>
      </c>
      <c r="W107" t="str">
        <f t="shared" ca="1" si="30"/>
        <v/>
      </c>
      <c r="X107">
        <f t="shared" si="31"/>
        <v>11.4</v>
      </c>
      <c r="Y107">
        <f t="shared" si="32"/>
        <v>146</v>
      </c>
      <c r="Z107" t="str">
        <f t="shared" si="36"/>
        <v>大霞</v>
      </c>
    </row>
    <row r="108" spans="1:26" x14ac:dyDescent="0.25">
      <c r="A108" s="118" t="s">
        <v>289</v>
      </c>
      <c r="B108" s="119" t="s">
        <v>298</v>
      </c>
      <c r="C108" s="119">
        <v>88</v>
      </c>
      <c r="D108" s="118" t="s">
        <v>177</v>
      </c>
      <c r="E108" s="118">
        <v>96</v>
      </c>
      <c r="F108" s="118" t="s">
        <v>177</v>
      </c>
      <c r="G108" s="118">
        <v>76</v>
      </c>
      <c r="H108" s="118" t="s">
        <v>184</v>
      </c>
      <c r="I108" s="378">
        <v>96</v>
      </c>
      <c r="J108" s="117">
        <v>37</v>
      </c>
      <c r="K108" s="117" t="s">
        <v>180</v>
      </c>
      <c r="L108" t="str">
        <f t="shared" si="23"/>
        <v>9K28</v>
      </c>
      <c r="M108" t="str">
        <f t="shared" si="33"/>
        <v/>
      </c>
      <c r="N108" t="str">
        <f t="shared" si="34"/>
        <v/>
      </c>
      <c r="O108" t="str">
        <f t="shared" si="35"/>
        <v/>
      </c>
      <c r="P108" s="113" t="str">
        <f t="shared" si="24"/>
        <v>9K28</v>
      </c>
      <c r="Q108" s="114">
        <f t="shared" si="25"/>
        <v>96</v>
      </c>
      <c r="R108" s="114">
        <f t="shared" si="26"/>
        <v>86.666666666666671</v>
      </c>
      <c r="S108" s="113">
        <f t="shared" si="27"/>
        <v>76</v>
      </c>
      <c r="T108" s="111">
        <f t="shared" ca="1" si="28"/>
        <v>1.9</v>
      </c>
      <c r="U108" s="111" t="str">
        <f t="shared" si="29"/>
        <v/>
      </c>
      <c r="V108" t="str">
        <f t="array" ref="V108">INDEX(P:P,MAX(U$3:U108))</f>
        <v>9K#1DTR(B)</v>
      </c>
      <c r="W108" t="str">
        <f t="shared" ca="1" si="30"/>
        <v/>
      </c>
      <c r="X108">
        <f t="shared" si="31"/>
        <v>11.4</v>
      </c>
      <c r="Y108">
        <f t="shared" si="32"/>
        <v>96</v>
      </c>
      <c r="Z108" t="str">
        <f t="shared" si="36"/>
        <v>大霞</v>
      </c>
    </row>
    <row r="109" spans="1:26" x14ac:dyDescent="0.25">
      <c r="A109" s="118" t="s">
        <v>289</v>
      </c>
      <c r="B109" s="119" t="s">
        <v>299</v>
      </c>
      <c r="C109" s="119">
        <v>174</v>
      </c>
      <c r="D109" s="118" t="s">
        <v>198</v>
      </c>
      <c r="E109" s="118">
        <v>120</v>
      </c>
      <c r="F109" s="118" t="s">
        <v>198</v>
      </c>
      <c r="G109" s="118">
        <v>136</v>
      </c>
      <c r="H109" s="118" t="s">
        <v>198</v>
      </c>
      <c r="I109" s="378">
        <v>174</v>
      </c>
      <c r="J109" s="117">
        <v>81</v>
      </c>
      <c r="K109" s="117" t="s">
        <v>200</v>
      </c>
      <c r="L109" t="str">
        <f t="shared" si="23"/>
        <v>9K29</v>
      </c>
      <c r="M109" t="str">
        <f t="shared" si="33"/>
        <v/>
      </c>
      <c r="N109" t="str">
        <f t="shared" si="34"/>
        <v/>
      </c>
      <c r="O109" t="str">
        <f t="shared" si="35"/>
        <v/>
      </c>
      <c r="P109" s="113" t="str">
        <f t="shared" si="24"/>
        <v>9K29</v>
      </c>
      <c r="Q109" s="114">
        <f t="shared" si="25"/>
        <v>174</v>
      </c>
      <c r="R109" s="114">
        <f t="shared" si="26"/>
        <v>143.33333333333334</v>
      </c>
      <c r="S109" s="113">
        <f t="shared" si="27"/>
        <v>120</v>
      </c>
      <c r="T109" s="111">
        <f t="shared" ca="1" si="28"/>
        <v>3.44</v>
      </c>
      <c r="U109" s="111" t="str">
        <f t="shared" si="29"/>
        <v/>
      </c>
      <c r="V109" t="str">
        <f t="array" ref="V109">INDEX(P:P,MAX(U$3:U109))</f>
        <v>9K#1DTR(B)</v>
      </c>
      <c r="W109" t="str">
        <f t="shared" ca="1" si="30"/>
        <v/>
      </c>
      <c r="X109">
        <f t="shared" si="31"/>
        <v>11.4</v>
      </c>
      <c r="Y109">
        <f t="shared" si="32"/>
        <v>174</v>
      </c>
      <c r="Z109" t="str">
        <f t="shared" si="36"/>
        <v>大霞</v>
      </c>
    </row>
    <row r="110" spans="1:26" x14ac:dyDescent="0.25">
      <c r="A110" s="118" t="s">
        <v>289</v>
      </c>
      <c r="B110" s="119" t="s">
        <v>300</v>
      </c>
      <c r="C110" s="119">
        <v>115</v>
      </c>
      <c r="D110" s="118" t="s">
        <v>176</v>
      </c>
      <c r="E110" s="118">
        <v>145</v>
      </c>
      <c r="F110" s="118" t="s">
        <v>177</v>
      </c>
      <c r="G110" s="118">
        <v>117</v>
      </c>
      <c r="H110" s="118" t="s">
        <v>177</v>
      </c>
      <c r="I110" s="378">
        <v>145</v>
      </c>
      <c r="J110" s="117">
        <v>54</v>
      </c>
      <c r="K110" s="117" t="s">
        <v>177</v>
      </c>
      <c r="L110" t="str">
        <f t="shared" si="23"/>
        <v>9K30</v>
      </c>
      <c r="M110" t="str">
        <f t="shared" si="33"/>
        <v/>
      </c>
      <c r="N110" t="str">
        <f t="shared" si="34"/>
        <v/>
      </c>
      <c r="O110" t="str">
        <f t="shared" si="35"/>
        <v/>
      </c>
      <c r="P110" s="113" t="str">
        <f t="shared" si="24"/>
        <v>9K30</v>
      </c>
      <c r="Q110" s="114">
        <f t="shared" si="25"/>
        <v>145</v>
      </c>
      <c r="R110" s="114">
        <f t="shared" si="26"/>
        <v>125.66666666666667</v>
      </c>
      <c r="S110" s="113">
        <f t="shared" si="27"/>
        <v>115</v>
      </c>
      <c r="T110" s="111">
        <f t="shared" ca="1" si="28"/>
        <v>2.86</v>
      </c>
      <c r="U110" s="111" t="str">
        <f t="shared" si="29"/>
        <v/>
      </c>
      <c r="V110" t="str">
        <f t="array" ref="V110">INDEX(P:P,MAX(U$3:U110))</f>
        <v>9K#1DTR(B)</v>
      </c>
      <c r="W110" t="str">
        <f t="shared" ca="1" si="30"/>
        <v/>
      </c>
      <c r="X110">
        <f t="shared" si="31"/>
        <v>11.4</v>
      </c>
      <c r="Y110">
        <f t="shared" si="32"/>
        <v>145</v>
      </c>
      <c r="Z110" t="str">
        <f t="shared" si="36"/>
        <v>大霞</v>
      </c>
    </row>
    <row r="111" spans="1:26" x14ac:dyDescent="0.25">
      <c r="A111" s="118" t="s">
        <v>289</v>
      </c>
      <c r="B111" s="119" t="s">
        <v>301</v>
      </c>
      <c r="C111" s="119">
        <v>912</v>
      </c>
      <c r="D111" s="118" t="s">
        <v>198</v>
      </c>
      <c r="E111" s="118">
        <v>888</v>
      </c>
      <c r="F111" s="118" t="s">
        <v>198</v>
      </c>
      <c r="G111" s="118">
        <v>918</v>
      </c>
      <c r="H111" s="118" t="s">
        <v>198</v>
      </c>
      <c r="I111" s="378">
        <v>918</v>
      </c>
      <c r="J111" s="117"/>
      <c r="K111" s="117"/>
      <c r="L111" t="str">
        <f t="shared" si="23"/>
        <v>9K#2DTR(A)</v>
      </c>
      <c r="M111" t="str">
        <f t="shared" si="33"/>
        <v>(A)</v>
      </c>
      <c r="N111" t="str">
        <f t="shared" si="34"/>
        <v>9K#2DTR</v>
      </c>
      <c r="O111" t="str">
        <f t="shared" si="35"/>
        <v>(A)</v>
      </c>
      <c r="P111" s="113" t="str">
        <f t="shared" si="24"/>
        <v>9K#2DTR(A)</v>
      </c>
      <c r="Q111" s="114">
        <f t="shared" si="25"/>
        <v>918</v>
      </c>
      <c r="R111" s="114">
        <f t="shared" si="26"/>
        <v>906</v>
      </c>
      <c r="S111" s="113">
        <f t="shared" si="27"/>
        <v>888</v>
      </c>
      <c r="T111" s="111">
        <f t="shared" ca="1" si="28"/>
        <v>18.13</v>
      </c>
      <c r="U111" s="111">
        <f t="shared" si="29"/>
        <v>111</v>
      </c>
      <c r="V111" t="str">
        <f t="array" ref="V111">INDEX(P:P,MAX(U$3:U111))</f>
        <v>9K#2DTR(A)</v>
      </c>
      <c r="W111">
        <f t="shared" ca="1" si="30"/>
        <v>30</v>
      </c>
      <c r="X111" t="str">
        <f t="shared" si="31"/>
        <v/>
      </c>
      <c r="Y111">
        <f t="shared" si="32"/>
        <v>918</v>
      </c>
      <c r="Z111" t="str">
        <f t="shared" si="36"/>
        <v>大霞</v>
      </c>
    </row>
    <row r="112" spans="1:26" x14ac:dyDescent="0.25">
      <c r="A112" s="118" t="s">
        <v>289</v>
      </c>
      <c r="B112" s="119" t="s">
        <v>302</v>
      </c>
      <c r="C112" s="119">
        <v>210</v>
      </c>
      <c r="D112" s="118" t="s">
        <v>207</v>
      </c>
      <c r="E112" s="118">
        <v>189</v>
      </c>
      <c r="F112" s="118" t="s">
        <v>198</v>
      </c>
      <c r="G112" s="118">
        <v>189</v>
      </c>
      <c r="H112" s="118" t="s">
        <v>198</v>
      </c>
      <c r="I112" s="378">
        <v>210</v>
      </c>
      <c r="J112" s="117">
        <v>43</v>
      </c>
      <c r="K112" s="117" t="s">
        <v>180</v>
      </c>
      <c r="L112" t="str">
        <f t="shared" si="23"/>
        <v>9K31</v>
      </c>
      <c r="M112" t="str">
        <f t="shared" si="33"/>
        <v/>
      </c>
      <c r="N112" t="str">
        <f t="shared" si="34"/>
        <v/>
      </c>
      <c r="O112" t="str">
        <f t="shared" si="35"/>
        <v/>
      </c>
      <c r="P112" s="113" t="str">
        <f t="shared" si="24"/>
        <v>9K31</v>
      </c>
      <c r="Q112" s="114">
        <f t="shared" si="25"/>
        <v>210</v>
      </c>
      <c r="R112" s="114">
        <f t="shared" si="26"/>
        <v>196</v>
      </c>
      <c r="S112" s="113">
        <f t="shared" si="27"/>
        <v>189</v>
      </c>
      <c r="T112" s="111">
        <f t="shared" ca="1" si="28"/>
        <v>4.1500000000000004</v>
      </c>
      <c r="U112" s="111" t="str">
        <f t="shared" si="29"/>
        <v/>
      </c>
      <c r="V112" t="str">
        <f t="array" ref="V112">INDEX(P:P,MAX(U$3:U112))</f>
        <v>9K#2DTR(A)</v>
      </c>
      <c r="W112" t="str">
        <f t="shared" ca="1" si="30"/>
        <v/>
      </c>
      <c r="X112">
        <f t="shared" si="31"/>
        <v>11.4</v>
      </c>
      <c r="Y112">
        <f t="shared" si="32"/>
        <v>210</v>
      </c>
      <c r="Z112" t="str">
        <f t="shared" si="36"/>
        <v>大霞</v>
      </c>
    </row>
    <row r="113" spans="1:26" x14ac:dyDescent="0.25">
      <c r="A113" s="118" t="s">
        <v>289</v>
      </c>
      <c r="B113" s="119" t="s">
        <v>303</v>
      </c>
      <c r="C113" s="119">
        <v>123</v>
      </c>
      <c r="D113" s="118" t="s">
        <v>200</v>
      </c>
      <c r="E113" s="118">
        <v>118</v>
      </c>
      <c r="F113" s="118" t="s">
        <v>200</v>
      </c>
      <c r="G113" s="118">
        <v>108</v>
      </c>
      <c r="H113" s="118" t="s">
        <v>200</v>
      </c>
      <c r="I113" s="378">
        <v>123</v>
      </c>
      <c r="J113" s="117">
        <v>27</v>
      </c>
      <c r="K113" s="117" t="s">
        <v>205</v>
      </c>
      <c r="L113" t="str">
        <f t="shared" si="23"/>
        <v>9K32</v>
      </c>
      <c r="M113" t="str">
        <f t="shared" si="33"/>
        <v/>
      </c>
      <c r="N113" t="str">
        <f t="shared" si="34"/>
        <v/>
      </c>
      <c r="O113" t="str">
        <f t="shared" si="35"/>
        <v/>
      </c>
      <c r="P113" s="113" t="str">
        <f t="shared" si="24"/>
        <v>9K32</v>
      </c>
      <c r="Q113" s="114">
        <f t="shared" si="25"/>
        <v>123</v>
      </c>
      <c r="R113" s="114">
        <f t="shared" si="26"/>
        <v>116.33333333333333</v>
      </c>
      <c r="S113" s="113">
        <f t="shared" si="27"/>
        <v>108</v>
      </c>
      <c r="T113" s="111">
        <f t="shared" ca="1" si="28"/>
        <v>2.4300000000000002</v>
      </c>
      <c r="U113" s="111" t="str">
        <f t="shared" si="29"/>
        <v/>
      </c>
      <c r="V113" t="str">
        <f t="array" ref="V113">INDEX(P:P,MAX(U$3:U113))</f>
        <v>9K#2DTR(A)</v>
      </c>
      <c r="W113" t="str">
        <f t="shared" ca="1" si="30"/>
        <v/>
      </c>
      <c r="X113">
        <f t="shared" si="31"/>
        <v>11.4</v>
      </c>
      <c r="Y113">
        <f t="shared" si="32"/>
        <v>123</v>
      </c>
      <c r="Z113" t="str">
        <f t="shared" si="36"/>
        <v>大霞</v>
      </c>
    </row>
    <row r="114" spans="1:26" x14ac:dyDescent="0.25">
      <c r="A114" s="118" t="s">
        <v>289</v>
      </c>
      <c r="B114" s="119" t="s">
        <v>304</v>
      </c>
      <c r="C114" s="119">
        <v>232</v>
      </c>
      <c r="D114" s="118" t="s">
        <v>183</v>
      </c>
      <c r="E114" s="118">
        <v>248</v>
      </c>
      <c r="F114" s="118" t="s">
        <v>207</v>
      </c>
      <c r="G114" s="118">
        <v>246</v>
      </c>
      <c r="H114" s="118" t="s">
        <v>192</v>
      </c>
      <c r="I114" s="378">
        <v>248</v>
      </c>
      <c r="J114" s="117">
        <v>48</v>
      </c>
      <c r="K114" s="117" t="s">
        <v>179</v>
      </c>
      <c r="L114" t="str">
        <f t="shared" si="23"/>
        <v>9K34</v>
      </c>
      <c r="M114" t="str">
        <f t="shared" si="33"/>
        <v/>
      </c>
      <c r="N114" t="str">
        <f t="shared" si="34"/>
        <v/>
      </c>
      <c r="O114" t="str">
        <f t="shared" si="35"/>
        <v/>
      </c>
      <c r="P114" s="113" t="str">
        <f t="shared" si="24"/>
        <v>9K34</v>
      </c>
      <c r="Q114" s="114">
        <f t="shared" si="25"/>
        <v>248</v>
      </c>
      <c r="R114" s="114">
        <f t="shared" si="26"/>
        <v>242</v>
      </c>
      <c r="S114" s="113">
        <f t="shared" si="27"/>
        <v>232</v>
      </c>
      <c r="T114" s="111">
        <f t="shared" ca="1" si="28"/>
        <v>4.9000000000000004</v>
      </c>
      <c r="U114" s="111" t="str">
        <f t="shared" si="29"/>
        <v/>
      </c>
      <c r="V114" t="str">
        <f t="array" ref="V114">INDEX(P:P,MAX(U$3:U114))</f>
        <v>9K#2DTR(A)</v>
      </c>
      <c r="W114" t="str">
        <f t="shared" ca="1" si="30"/>
        <v/>
      </c>
      <c r="X114">
        <f t="shared" si="31"/>
        <v>11.4</v>
      </c>
      <c r="Y114">
        <f t="shared" si="32"/>
        <v>248</v>
      </c>
      <c r="Z114" t="str">
        <f t="shared" si="36"/>
        <v>大霞</v>
      </c>
    </row>
    <row r="115" spans="1:26" x14ac:dyDescent="0.25">
      <c r="A115" s="118" t="s">
        <v>289</v>
      </c>
      <c r="B115" s="119" t="s">
        <v>305</v>
      </c>
      <c r="C115" s="119">
        <v>154</v>
      </c>
      <c r="D115" s="118" t="s">
        <v>179</v>
      </c>
      <c r="E115" s="118">
        <v>173</v>
      </c>
      <c r="F115" s="118" t="s">
        <v>179</v>
      </c>
      <c r="G115" s="118">
        <v>182</v>
      </c>
      <c r="H115" s="118" t="s">
        <v>198</v>
      </c>
      <c r="I115" s="378">
        <v>182</v>
      </c>
      <c r="J115" s="117">
        <v>85</v>
      </c>
      <c r="K115" s="117" t="s">
        <v>306</v>
      </c>
      <c r="L115" t="str">
        <f t="shared" si="23"/>
        <v>9K35</v>
      </c>
      <c r="M115" t="str">
        <f t="shared" si="33"/>
        <v/>
      </c>
      <c r="N115" t="str">
        <f t="shared" si="34"/>
        <v/>
      </c>
      <c r="O115" t="str">
        <f t="shared" si="35"/>
        <v/>
      </c>
      <c r="P115" s="113" t="str">
        <f t="shared" si="24"/>
        <v>9K35</v>
      </c>
      <c r="Q115" s="114">
        <f t="shared" si="25"/>
        <v>182</v>
      </c>
      <c r="R115" s="114">
        <f t="shared" si="26"/>
        <v>169.66666666666666</v>
      </c>
      <c r="S115" s="113">
        <f t="shared" si="27"/>
        <v>154</v>
      </c>
      <c r="T115" s="111">
        <f t="shared" ca="1" si="28"/>
        <v>3.59</v>
      </c>
      <c r="U115" s="111" t="str">
        <f t="shared" si="29"/>
        <v/>
      </c>
      <c r="V115" t="str">
        <f t="array" ref="V115">INDEX(P:P,MAX(U$3:U115))</f>
        <v>9K#2DTR(A)</v>
      </c>
      <c r="W115" t="str">
        <f t="shared" ca="1" si="30"/>
        <v/>
      </c>
      <c r="X115">
        <f t="shared" si="31"/>
        <v>11.4</v>
      </c>
      <c r="Y115">
        <f t="shared" si="32"/>
        <v>182</v>
      </c>
      <c r="Z115" t="str">
        <f t="shared" si="36"/>
        <v>大霞</v>
      </c>
    </row>
    <row r="116" spans="1:26" x14ac:dyDescent="0.25">
      <c r="A116" s="118" t="s">
        <v>289</v>
      </c>
      <c r="B116" s="119" t="s">
        <v>307</v>
      </c>
      <c r="C116" s="119">
        <v>245</v>
      </c>
      <c r="D116" s="118" t="s">
        <v>203</v>
      </c>
      <c r="E116" s="118">
        <v>223</v>
      </c>
      <c r="F116" s="118" t="s">
        <v>203</v>
      </c>
      <c r="G116" s="118">
        <v>238</v>
      </c>
      <c r="H116" s="118" t="s">
        <v>203</v>
      </c>
      <c r="I116" s="378">
        <v>245</v>
      </c>
      <c r="J116" s="117">
        <v>45</v>
      </c>
      <c r="K116" s="117" t="s">
        <v>184</v>
      </c>
      <c r="L116" t="str">
        <f t="shared" si="23"/>
        <v>9K33</v>
      </c>
      <c r="M116" t="str">
        <f t="shared" si="33"/>
        <v/>
      </c>
      <c r="N116" t="str">
        <f t="shared" si="34"/>
        <v/>
      </c>
      <c r="O116" t="str">
        <f t="shared" si="35"/>
        <v/>
      </c>
      <c r="P116" s="113" t="str">
        <f t="shared" si="24"/>
        <v>9K33</v>
      </c>
      <c r="Q116" s="114">
        <f t="shared" si="25"/>
        <v>245</v>
      </c>
      <c r="R116" s="114">
        <f t="shared" si="26"/>
        <v>235.33333333333334</v>
      </c>
      <c r="S116" s="113">
        <f t="shared" si="27"/>
        <v>223</v>
      </c>
      <c r="T116" s="111">
        <f t="shared" ca="1" si="28"/>
        <v>4.84</v>
      </c>
      <c r="U116" s="111" t="str">
        <f t="shared" si="29"/>
        <v/>
      </c>
      <c r="V116" t="str">
        <f t="array" ref="V116">INDEX(P:P,MAX(U$3:U116))</f>
        <v>9K#2DTR(A)</v>
      </c>
      <c r="W116" t="str">
        <f t="shared" ca="1" si="30"/>
        <v/>
      </c>
      <c r="X116">
        <f t="shared" si="31"/>
        <v>11.4</v>
      </c>
      <c r="Y116">
        <f t="shared" si="32"/>
        <v>245</v>
      </c>
      <c r="Z116" t="str">
        <f t="shared" si="36"/>
        <v>大霞</v>
      </c>
    </row>
    <row r="117" spans="1:26" x14ac:dyDescent="0.25">
      <c r="A117" s="118" t="s">
        <v>289</v>
      </c>
      <c r="B117" s="119" t="s">
        <v>283</v>
      </c>
      <c r="C117" s="119">
        <v>612</v>
      </c>
      <c r="D117" s="118" t="s">
        <v>177</v>
      </c>
      <c r="E117" s="118">
        <v>562</v>
      </c>
      <c r="F117" s="118" t="s">
        <v>203</v>
      </c>
      <c r="G117" s="118">
        <v>636</v>
      </c>
      <c r="H117" s="118" t="s">
        <v>198</v>
      </c>
      <c r="I117" s="378">
        <v>636</v>
      </c>
      <c r="J117" s="117"/>
      <c r="K117" s="117"/>
      <c r="L117" t="str">
        <f t="shared" si="23"/>
        <v>9K#2DTR(B)</v>
      </c>
      <c r="M117" t="str">
        <f t="shared" si="33"/>
        <v>(B)</v>
      </c>
      <c r="N117" t="str">
        <f t="shared" si="34"/>
        <v>9K#2DTR</v>
      </c>
      <c r="O117" t="str">
        <f t="shared" si="35"/>
        <v>(B)</v>
      </c>
      <c r="P117" s="113" t="str">
        <f t="shared" si="24"/>
        <v>9K#2DTR(B)</v>
      </c>
      <c r="Q117" s="114">
        <f t="shared" si="25"/>
        <v>636</v>
      </c>
      <c r="R117" s="114">
        <f t="shared" si="26"/>
        <v>603.33333333333337</v>
      </c>
      <c r="S117" s="113">
        <f t="shared" si="27"/>
        <v>562</v>
      </c>
      <c r="T117" s="111">
        <f t="shared" ca="1" si="28"/>
        <v>12.56</v>
      </c>
      <c r="U117" s="111">
        <f t="shared" si="29"/>
        <v>117</v>
      </c>
      <c r="V117" t="str">
        <f t="array" ref="V117">INDEX(P:P,MAX(U$3:U117))</f>
        <v>9K#2DTR(B)</v>
      </c>
      <c r="W117">
        <f t="shared" ca="1" si="30"/>
        <v>30</v>
      </c>
      <c r="X117" t="str">
        <f t="shared" si="31"/>
        <v/>
      </c>
      <c r="Y117">
        <f t="shared" si="32"/>
        <v>636</v>
      </c>
      <c r="Z117" t="str">
        <f t="shared" si="36"/>
        <v>大霞</v>
      </c>
    </row>
    <row r="118" spans="1:26" x14ac:dyDescent="0.25">
      <c r="A118" s="118" t="s">
        <v>289</v>
      </c>
      <c r="B118" s="119" t="s">
        <v>308</v>
      </c>
      <c r="C118" s="119">
        <v>66</v>
      </c>
      <c r="D118" s="118" t="s">
        <v>198</v>
      </c>
      <c r="E118" s="118">
        <v>50</v>
      </c>
      <c r="F118" s="118" t="s">
        <v>179</v>
      </c>
      <c r="G118" s="118">
        <v>47</v>
      </c>
      <c r="H118" s="118" t="s">
        <v>198</v>
      </c>
      <c r="I118" s="378">
        <v>66</v>
      </c>
      <c r="J118" s="117">
        <v>45</v>
      </c>
      <c r="K118" s="117" t="s">
        <v>184</v>
      </c>
      <c r="L118" t="str">
        <f t="shared" si="23"/>
        <v>9K36</v>
      </c>
      <c r="M118" t="str">
        <f t="shared" si="33"/>
        <v/>
      </c>
      <c r="N118" t="str">
        <f t="shared" si="34"/>
        <v/>
      </c>
      <c r="O118" t="str">
        <f t="shared" si="35"/>
        <v/>
      </c>
      <c r="P118" s="113" t="str">
        <f t="shared" si="24"/>
        <v>9K36</v>
      </c>
      <c r="Q118" s="114">
        <f t="shared" si="25"/>
        <v>66</v>
      </c>
      <c r="R118" s="114">
        <f t="shared" si="26"/>
        <v>54.333333333333336</v>
      </c>
      <c r="S118" s="113">
        <f t="shared" si="27"/>
        <v>47</v>
      </c>
      <c r="T118" s="111">
        <f t="shared" ca="1" si="28"/>
        <v>1.3</v>
      </c>
      <c r="U118" s="111" t="str">
        <f t="shared" si="29"/>
        <v/>
      </c>
      <c r="V118" t="str">
        <f t="array" ref="V118">INDEX(P:P,MAX(U$3:U118))</f>
        <v>9K#2DTR(B)</v>
      </c>
      <c r="W118" t="str">
        <f t="shared" ca="1" si="30"/>
        <v/>
      </c>
      <c r="X118">
        <f t="shared" si="31"/>
        <v>11.4</v>
      </c>
      <c r="Y118">
        <f t="shared" si="32"/>
        <v>66</v>
      </c>
      <c r="Z118" t="str">
        <f t="shared" si="36"/>
        <v>大霞</v>
      </c>
    </row>
    <row r="119" spans="1:26" x14ac:dyDescent="0.25">
      <c r="A119" s="118" t="s">
        <v>289</v>
      </c>
      <c r="B119" s="119" t="s">
        <v>309</v>
      </c>
      <c r="C119" s="119">
        <v>163</v>
      </c>
      <c r="D119" s="118" t="s">
        <v>188</v>
      </c>
      <c r="E119" s="118">
        <v>179</v>
      </c>
      <c r="F119" s="118" t="s">
        <v>177</v>
      </c>
      <c r="G119" s="118">
        <v>184</v>
      </c>
      <c r="H119" s="118" t="s">
        <v>176</v>
      </c>
      <c r="I119" s="378">
        <v>184</v>
      </c>
      <c r="J119" s="117">
        <v>58</v>
      </c>
      <c r="K119" s="117" t="s">
        <v>196</v>
      </c>
      <c r="L119" t="str">
        <f t="shared" si="23"/>
        <v>9K37</v>
      </c>
      <c r="M119" t="str">
        <f t="shared" si="33"/>
        <v/>
      </c>
      <c r="N119" t="str">
        <f t="shared" si="34"/>
        <v/>
      </c>
      <c r="O119" t="str">
        <f t="shared" si="35"/>
        <v/>
      </c>
      <c r="P119" s="113" t="str">
        <f t="shared" si="24"/>
        <v>9K37</v>
      </c>
      <c r="Q119" s="114">
        <f t="shared" si="25"/>
        <v>184</v>
      </c>
      <c r="R119" s="114">
        <f t="shared" si="26"/>
        <v>175.33333333333334</v>
      </c>
      <c r="S119" s="113">
        <f t="shared" si="27"/>
        <v>163</v>
      </c>
      <c r="T119" s="111">
        <f t="shared" ca="1" si="28"/>
        <v>3.63</v>
      </c>
      <c r="U119" s="111" t="str">
        <f t="shared" si="29"/>
        <v/>
      </c>
      <c r="V119" t="str">
        <f t="array" ref="V119">INDEX(P:P,MAX(U$3:U119))</f>
        <v>9K#2DTR(B)</v>
      </c>
      <c r="W119" t="str">
        <f t="shared" ca="1" si="30"/>
        <v/>
      </c>
      <c r="X119">
        <f t="shared" si="31"/>
        <v>11.4</v>
      </c>
      <c r="Y119">
        <f t="shared" si="32"/>
        <v>184</v>
      </c>
      <c r="Z119" t="str">
        <f t="shared" si="36"/>
        <v>大霞</v>
      </c>
    </row>
    <row r="120" spans="1:26" x14ac:dyDescent="0.25">
      <c r="A120" s="118" t="s">
        <v>289</v>
      </c>
      <c r="B120" s="119" t="s">
        <v>310</v>
      </c>
      <c r="C120" s="119">
        <v>130</v>
      </c>
      <c r="D120" s="118" t="s">
        <v>176</v>
      </c>
      <c r="E120" s="118">
        <v>82</v>
      </c>
      <c r="F120" s="118" t="s">
        <v>203</v>
      </c>
      <c r="G120" s="118">
        <v>139</v>
      </c>
      <c r="H120" s="118" t="s">
        <v>203</v>
      </c>
      <c r="I120" s="378">
        <v>139</v>
      </c>
      <c r="J120" s="117">
        <v>76</v>
      </c>
      <c r="K120" s="117" t="s">
        <v>198</v>
      </c>
      <c r="L120" t="str">
        <f t="shared" si="23"/>
        <v>9K38</v>
      </c>
      <c r="M120" t="str">
        <f t="shared" si="33"/>
        <v/>
      </c>
      <c r="N120" t="str">
        <f t="shared" si="34"/>
        <v/>
      </c>
      <c r="O120" t="str">
        <f t="shared" si="35"/>
        <v/>
      </c>
      <c r="P120" s="113" t="str">
        <f t="shared" si="24"/>
        <v>9K38</v>
      </c>
      <c r="Q120" s="114">
        <f t="shared" si="25"/>
        <v>139</v>
      </c>
      <c r="R120" s="114">
        <f t="shared" si="26"/>
        <v>117</v>
      </c>
      <c r="S120" s="113">
        <f t="shared" si="27"/>
        <v>82</v>
      </c>
      <c r="T120" s="111">
        <f t="shared" ca="1" si="28"/>
        <v>2.74</v>
      </c>
      <c r="U120" s="111" t="str">
        <f t="shared" si="29"/>
        <v/>
      </c>
      <c r="V120" t="str">
        <f t="array" ref="V120">INDEX(P:P,MAX(U$3:U120))</f>
        <v>9K#2DTR(B)</v>
      </c>
      <c r="W120" t="str">
        <f t="shared" ca="1" si="30"/>
        <v/>
      </c>
      <c r="X120">
        <f t="shared" si="31"/>
        <v>11.4</v>
      </c>
      <c r="Y120">
        <f t="shared" si="32"/>
        <v>139</v>
      </c>
      <c r="Z120" t="str">
        <f t="shared" si="36"/>
        <v>大霞</v>
      </c>
    </row>
    <row r="121" spans="1:26" x14ac:dyDescent="0.25">
      <c r="A121" s="118" t="s">
        <v>289</v>
      </c>
      <c r="B121" s="119" t="s">
        <v>311</v>
      </c>
      <c r="C121" s="119">
        <v>82</v>
      </c>
      <c r="D121" s="118" t="s">
        <v>192</v>
      </c>
      <c r="E121" s="118">
        <v>98</v>
      </c>
      <c r="F121" s="118" t="s">
        <v>203</v>
      </c>
      <c r="G121" s="118">
        <v>102</v>
      </c>
      <c r="H121" s="118" t="s">
        <v>198</v>
      </c>
      <c r="I121" s="378">
        <v>102</v>
      </c>
      <c r="J121" s="117">
        <v>46</v>
      </c>
      <c r="K121" s="117" t="s">
        <v>229</v>
      </c>
      <c r="L121" t="str">
        <f t="shared" si="23"/>
        <v>9K39</v>
      </c>
      <c r="M121" t="str">
        <f t="shared" si="33"/>
        <v/>
      </c>
      <c r="N121" t="str">
        <f t="shared" si="34"/>
        <v/>
      </c>
      <c r="O121" t="str">
        <f t="shared" si="35"/>
        <v/>
      </c>
      <c r="P121" s="113" t="str">
        <f t="shared" si="24"/>
        <v>9K39</v>
      </c>
      <c r="Q121" s="114">
        <f t="shared" si="25"/>
        <v>102</v>
      </c>
      <c r="R121" s="114">
        <f t="shared" si="26"/>
        <v>94</v>
      </c>
      <c r="S121" s="113">
        <f t="shared" si="27"/>
        <v>82</v>
      </c>
      <c r="T121" s="111">
        <f t="shared" ca="1" si="28"/>
        <v>2.0099999999999998</v>
      </c>
      <c r="U121" s="111" t="str">
        <f t="shared" si="29"/>
        <v/>
      </c>
      <c r="V121" t="str">
        <f t="array" ref="V121">INDEX(P:P,MAX(U$3:U121))</f>
        <v>9K#2DTR(B)</v>
      </c>
      <c r="W121" t="str">
        <f t="shared" ca="1" si="30"/>
        <v/>
      </c>
      <c r="X121">
        <f t="shared" si="31"/>
        <v>11.4</v>
      </c>
      <c r="Y121">
        <f t="shared" si="32"/>
        <v>102</v>
      </c>
      <c r="Z121" t="str">
        <f t="shared" si="36"/>
        <v>大霞</v>
      </c>
    </row>
    <row r="122" spans="1:26" x14ac:dyDescent="0.25">
      <c r="A122" s="118" t="s">
        <v>289</v>
      </c>
      <c r="B122" s="119" t="s">
        <v>312</v>
      </c>
      <c r="C122" s="119">
        <v>233</v>
      </c>
      <c r="D122" s="118" t="s">
        <v>207</v>
      </c>
      <c r="E122" s="118">
        <v>202</v>
      </c>
      <c r="F122" s="118" t="s">
        <v>203</v>
      </c>
      <c r="G122" s="118">
        <v>231</v>
      </c>
      <c r="H122" s="118" t="s">
        <v>203</v>
      </c>
      <c r="I122" s="378">
        <v>233</v>
      </c>
      <c r="J122" s="117">
        <v>48</v>
      </c>
      <c r="K122" s="117" t="s">
        <v>205</v>
      </c>
      <c r="L122" t="str">
        <f t="shared" si="23"/>
        <v>9K40</v>
      </c>
      <c r="M122" t="str">
        <f t="shared" si="33"/>
        <v/>
      </c>
      <c r="N122" t="str">
        <f t="shared" si="34"/>
        <v/>
      </c>
      <c r="O122" t="str">
        <f t="shared" si="35"/>
        <v/>
      </c>
      <c r="P122" s="113" t="str">
        <f t="shared" si="24"/>
        <v>9K40</v>
      </c>
      <c r="Q122" s="114">
        <f t="shared" si="25"/>
        <v>233</v>
      </c>
      <c r="R122" s="114">
        <f t="shared" si="26"/>
        <v>222</v>
      </c>
      <c r="S122" s="113">
        <f t="shared" si="27"/>
        <v>202</v>
      </c>
      <c r="T122" s="111">
        <f t="shared" ca="1" si="28"/>
        <v>4.5999999999999996</v>
      </c>
      <c r="U122" s="111" t="str">
        <f t="shared" si="29"/>
        <v/>
      </c>
      <c r="V122" t="str">
        <f t="array" ref="V122">INDEX(P:P,MAX(U$3:U122))</f>
        <v>9K#2DTR(B)</v>
      </c>
      <c r="W122" t="str">
        <f t="shared" ca="1" si="30"/>
        <v/>
      </c>
      <c r="X122">
        <f t="shared" si="31"/>
        <v>11.4</v>
      </c>
      <c r="Y122">
        <f t="shared" si="32"/>
        <v>233</v>
      </c>
      <c r="Z122" t="str">
        <f t="shared" si="36"/>
        <v>大霞</v>
      </c>
    </row>
    <row r="123" spans="1:26" x14ac:dyDescent="0.25">
      <c r="A123" s="118" t="s">
        <v>313</v>
      </c>
      <c r="B123" s="119" t="s">
        <v>175</v>
      </c>
      <c r="C123" s="119">
        <v>676</v>
      </c>
      <c r="D123" s="118" t="s">
        <v>177</v>
      </c>
      <c r="E123" s="118">
        <v>736</v>
      </c>
      <c r="F123" s="118" t="s">
        <v>179</v>
      </c>
      <c r="G123" s="118">
        <v>712</v>
      </c>
      <c r="H123" s="118" t="s">
        <v>177</v>
      </c>
      <c r="I123" s="378">
        <v>736</v>
      </c>
      <c r="J123" s="117"/>
      <c r="K123" s="117"/>
      <c r="L123" t="str">
        <f t="shared" si="23"/>
        <v>IX#1MTR</v>
      </c>
      <c r="M123" t="str">
        <f t="shared" si="33"/>
        <v/>
      </c>
      <c r="N123" t="str">
        <f t="shared" si="34"/>
        <v>IX#1MTR</v>
      </c>
      <c r="O123" t="str">
        <f t="shared" si="35"/>
        <v/>
      </c>
      <c r="P123" s="113" t="str">
        <f t="shared" si="24"/>
        <v>IX#1MTR</v>
      </c>
      <c r="Q123" s="114">
        <f t="shared" si="25"/>
        <v>736</v>
      </c>
      <c r="R123" s="114">
        <f t="shared" si="26"/>
        <v>708</v>
      </c>
      <c r="S123" s="113">
        <f t="shared" si="27"/>
        <v>676</v>
      </c>
      <c r="T123" s="111">
        <f t="shared" ca="1" si="28"/>
        <v>14.53</v>
      </c>
      <c r="U123" s="111">
        <f t="shared" si="29"/>
        <v>123</v>
      </c>
      <c r="V123" t="str">
        <f t="array" ref="V123">INDEX(P:P,MAX(U$3:U123))</f>
        <v>IX#1MTR</v>
      </c>
      <c r="W123">
        <f t="shared" ca="1" si="30"/>
        <v>25</v>
      </c>
      <c r="X123" t="str">
        <f t="shared" si="31"/>
        <v/>
      </c>
      <c r="Y123">
        <f t="shared" si="32"/>
        <v>736</v>
      </c>
      <c r="Z123" t="str">
        <f t="shared" si="36"/>
        <v>北斗</v>
      </c>
    </row>
    <row r="124" spans="1:26" x14ac:dyDescent="0.25">
      <c r="A124" s="118" t="s">
        <v>313</v>
      </c>
      <c r="B124" s="119" t="s">
        <v>314</v>
      </c>
      <c r="C124" s="119">
        <v>96</v>
      </c>
      <c r="D124" s="118" t="s">
        <v>207</v>
      </c>
      <c r="E124" s="118">
        <v>99</v>
      </c>
      <c r="F124" s="118" t="s">
        <v>207</v>
      </c>
      <c r="G124" s="118">
        <v>98</v>
      </c>
      <c r="H124" s="118" t="s">
        <v>184</v>
      </c>
      <c r="I124" s="378">
        <v>99</v>
      </c>
      <c r="J124" s="117">
        <v>39</v>
      </c>
      <c r="K124" s="117" t="s">
        <v>214</v>
      </c>
      <c r="L124" t="str">
        <f t="shared" si="23"/>
        <v>IX25</v>
      </c>
      <c r="M124" t="str">
        <f t="shared" si="33"/>
        <v/>
      </c>
      <c r="N124" t="str">
        <f t="shared" si="34"/>
        <v/>
      </c>
      <c r="O124" t="str">
        <f t="shared" si="35"/>
        <v/>
      </c>
      <c r="P124" s="113" t="str">
        <f t="shared" si="24"/>
        <v>IX25</v>
      </c>
      <c r="Q124" s="114">
        <f t="shared" si="25"/>
        <v>99</v>
      </c>
      <c r="R124" s="114">
        <f t="shared" si="26"/>
        <v>97.666666666666671</v>
      </c>
      <c r="S124" s="113">
        <f t="shared" si="27"/>
        <v>96</v>
      </c>
      <c r="T124" s="111">
        <f t="shared" ca="1" si="28"/>
        <v>1.95</v>
      </c>
      <c r="U124" s="111" t="str">
        <f t="shared" si="29"/>
        <v/>
      </c>
      <c r="V124" t="str">
        <f t="array" ref="V124">INDEX(P:P,MAX(U$3:U124))</f>
        <v>IX#1MTR</v>
      </c>
      <c r="W124" t="str">
        <f t="shared" ca="1" si="30"/>
        <v/>
      </c>
      <c r="X124">
        <f t="shared" si="31"/>
        <v>11.4</v>
      </c>
      <c r="Y124">
        <f t="shared" si="32"/>
        <v>99</v>
      </c>
      <c r="Z124" t="str">
        <f t="shared" si="36"/>
        <v>北斗</v>
      </c>
    </row>
    <row r="125" spans="1:26" x14ac:dyDescent="0.25">
      <c r="A125" s="118" t="s">
        <v>313</v>
      </c>
      <c r="B125" s="119" t="s">
        <v>315</v>
      </c>
      <c r="C125" s="119">
        <v>170</v>
      </c>
      <c r="D125" s="118" t="s">
        <v>177</v>
      </c>
      <c r="E125" s="118">
        <v>211</v>
      </c>
      <c r="F125" s="118" t="s">
        <v>188</v>
      </c>
      <c r="G125" s="118">
        <v>143</v>
      </c>
      <c r="H125" s="118" t="s">
        <v>176</v>
      </c>
      <c r="I125" s="378">
        <v>211</v>
      </c>
      <c r="J125" s="117">
        <v>82</v>
      </c>
      <c r="K125" s="117" t="s">
        <v>188</v>
      </c>
      <c r="L125" t="str">
        <f t="shared" si="23"/>
        <v>IX23</v>
      </c>
      <c r="M125" t="str">
        <f t="shared" si="33"/>
        <v/>
      </c>
      <c r="N125" t="str">
        <f t="shared" si="34"/>
        <v/>
      </c>
      <c r="O125" t="str">
        <f t="shared" si="35"/>
        <v/>
      </c>
      <c r="P125" s="113" t="str">
        <f t="shared" si="24"/>
        <v>IX23</v>
      </c>
      <c r="Q125" s="114">
        <f t="shared" si="25"/>
        <v>211</v>
      </c>
      <c r="R125" s="114">
        <f t="shared" si="26"/>
        <v>174.66666666666666</v>
      </c>
      <c r="S125" s="113">
        <f t="shared" si="27"/>
        <v>143</v>
      </c>
      <c r="T125" s="111">
        <f t="shared" ca="1" si="28"/>
        <v>4.17</v>
      </c>
      <c r="U125" s="111" t="str">
        <f t="shared" si="29"/>
        <v/>
      </c>
      <c r="V125" t="str">
        <f t="array" ref="V125">INDEX(P:P,MAX(U$3:U125))</f>
        <v>IX#1MTR</v>
      </c>
      <c r="W125" t="str">
        <f t="shared" ca="1" si="30"/>
        <v/>
      </c>
      <c r="X125">
        <f t="shared" si="31"/>
        <v>11.4</v>
      </c>
      <c r="Y125">
        <f t="shared" si="32"/>
        <v>211</v>
      </c>
      <c r="Z125" t="str">
        <f t="shared" si="36"/>
        <v>北斗</v>
      </c>
    </row>
    <row r="126" spans="1:26" x14ac:dyDescent="0.25">
      <c r="A126" s="118" t="s">
        <v>313</v>
      </c>
      <c r="B126" s="119" t="s">
        <v>316</v>
      </c>
      <c r="C126" s="119">
        <v>257</v>
      </c>
      <c r="D126" s="118" t="s">
        <v>177</v>
      </c>
      <c r="E126" s="118">
        <v>232</v>
      </c>
      <c r="F126" s="118" t="s">
        <v>177</v>
      </c>
      <c r="G126" s="118">
        <v>260</v>
      </c>
      <c r="H126" s="118" t="s">
        <v>177</v>
      </c>
      <c r="I126" s="378">
        <v>260</v>
      </c>
      <c r="J126" s="117">
        <v>53</v>
      </c>
      <c r="K126" s="117" t="s">
        <v>179</v>
      </c>
      <c r="L126" t="str">
        <f t="shared" si="23"/>
        <v>IX26</v>
      </c>
      <c r="M126" t="str">
        <f t="shared" si="33"/>
        <v/>
      </c>
      <c r="N126" t="str">
        <f t="shared" si="34"/>
        <v/>
      </c>
      <c r="O126" t="str">
        <f t="shared" si="35"/>
        <v/>
      </c>
      <c r="P126" s="113" t="str">
        <f t="shared" si="24"/>
        <v>IX26</v>
      </c>
      <c r="Q126" s="114">
        <f t="shared" si="25"/>
        <v>260</v>
      </c>
      <c r="R126" s="114">
        <f t="shared" si="26"/>
        <v>249.66666666666666</v>
      </c>
      <c r="S126" s="113">
        <f t="shared" si="27"/>
        <v>232</v>
      </c>
      <c r="T126" s="111">
        <f t="shared" ca="1" si="28"/>
        <v>5.13</v>
      </c>
      <c r="U126" s="111" t="str">
        <f t="shared" si="29"/>
        <v/>
      </c>
      <c r="V126" t="str">
        <f t="array" ref="V126">INDEX(P:P,MAX(U$3:U126))</f>
        <v>IX#1MTR</v>
      </c>
      <c r="W126" t="str">
        <f t="shared" ca="1" si="30"/>
        <v/>
      </c>
      <c r="X126">
        <f t="shared" si="31"/>
        <v>11.4</v>
      </c>
      <c r="Y126">
        <f t="shared" si="32"/>
        <v>260</v>
      </c>
      <c r="Z126" t="str">
        <f t="shared" si="36"/>
        <v>北斗</v>
      </c>
    </row>
    <row r="127" spans="1:26" x14ac:dyDescent="0.25">
      <c r="A127" s="118" t="s">
        <v>313</v>
      </c>
      <c r="B127" s="119" t="s">
        <v>317</v>
      </c>
      <c r="C127" s="119">
        <v>78</v>
      </c>
      <c r="D127" s="118" t="s">
        <v>184</v>
      </c>
      <c r="E127" s="118">
        <v>69</v>
      </c>
      <c r="F127" s="118" t="s">
        <v>205</v>
      </c>
      <c r="G127" s="118">
        <v>103</v>
      </c>
      <c r="H127" s="118" t="s">
        <v>188</v>
      </c>
      <c r="I127" s="378">
        <v>103</v>
      </c>
      <c r="J127" s="117">
        <v>43</v>
      </c>
      <c r="K127" s="117" t="s">
        <v>188</v>
      </c>
      <c r="L127" t="str">
        <f t="shared" si="23"/>
        <v>IX30</v>
      </c>
      <c r="M127" t="str">
        <f t="shared" si="33"/>
        <v/>
      </c>
      <c r="N127" t="str">
        <f t="shared" si="34"/>
        <v/>
      </c>
      <c r="O127" t="str">
        <f t="shared" si="35"/>
        <v/>
      </c>
      <c r="P127" s="113" t="str">
        <f t="shared" si="24"/>
        <v>IX30</v>
      </c>
      <c r="Q127" s="114">
        <f t="shared" si="25"/>
        <v>103</v>
      </c>
      <c r="R127" s="114">
        <f t="shared" si="26"/>
        <v>83.333333333333329</v>
      </c>
      <c r="S127" s="113">
        <f t="shared" si="27"/>
        <v>69</v>
      </c>
      <c r="T127" s="111">
        <f t="shared" ca="1" si="28"/>
        <v>2.0299999999999998</v>
      </c>
      <c r="U127" s="111" t="str">
        <f t="shared" si="29"/>
        <v/>
      </c>
      <c r="V127" t="str">
        <f t="array" ref="V127">INDEX(P:P,MAX(U$3:U127))</f>
        <v>IX#1MTR</v>
      </c>
      <c r="W127" t="str">
        <f t="shared" ca="1" si="30"/>
        <v/>
      </c>
      <c r="X127">
        <f t="shared" si="31"/>
        <v>11.4</v>
      </c>
      <c r="Y127">
        <f t="shared" si="32"/>
        <v>103</v>
      </c>
      <c r="Z127" t="str">
        <f t="shared" si="36"/>
        <v>北斗</v>
      </c>
    </row>
    <row r="128" spans="1:26" x14ac:dyDescent="0.25">
      <c r="A128" s="118" t="s">
        <v>313</v>
      </c>
      <c r="B128" s="119" t="s">
        <v>318</v>
      </c>
      <c r="C128" s="119">
        <v>120</v>
      </c>
      <c r="D128" s="118" t="s">
        <v>179</v>
      </c>
      <c r="E128" s="118">
        <v>182</v>
      </c>
      <c r="F128" s="118" t="s">
        <v>179</v>
      </c>
      <c r="G128" s="118">
        <v>141</v>
      </c>
      <c r="H128" s="118" t="s">
        <v>177</v>
      </c>
      <c r="I128" s="378">
        <v>182</v>
      </c>
      <c r="J128" s="117">
        <v>75</v>
      </c>
      <c r="K128" s="117" t="s">
        <v>179</v>
      </c>
      <c r="L128" t="str">
        <f t="shared" si="23"/>
        <v>IX24</v>
      </c>
      <c r="M128" t="str">
        <f t="shared" si="33"/>
        <v/>
      </c>
      <c r="N128" t="str">
        <f t="shared" si="34"/>
        <v/>
      </c>
      <c r="O128" t="str">
        <f t="shared" si="35"/>
        <v/>
      </c>
      <c r="P128" s="113" t="str">
        <f t="shared" si="24"/>
        <v>IX24</v>
      </c>
      <c r="Q128" s="114">
        <f t="shared" si="25"/>
        <v>182</v>
      </c>
      <c r="R128" s="114">
        <f t="shared" si="26"/>
        <v>147.66666666666666</v>
      </c>
      <c r="S128" s="113">
        <f t="shared" si="27"/>
        <v>120</v>
      </c>
      <c r="T128" s="111">
        <f t="shared" ca="1" si="28"/>
        <v>3.59</v>
      </c>
      <c r="U128" s="111" t="str">
        <f t="shared" si="29"/>
        <v/>
      </c>
      <c r="V128" t="str">
        <f t="array" ref="V128">INDEX(P:P,MAX(U$3:U128))</f>
        <v>IX#1MTR</v>
      </c>
      <c r="W128" t="str">
        <f t="shared" ca="1" si="30"/>
        <v/>
      </c>
      <c r="X128">
        <f t="shared" si="31"/>
        <v>11.4</v>
      </c>
      <c r="Y128">
        <f t="shared" si="32"/>
        <v>182</v>
      </c>
      <c r="Z128" t="str">
        <f t="shared" si="36"/>
        <v>北斗</v>
      </c>
    </row>
    <row r="129" spans="1:26" x14ac:dyDescent="0.25">
      <c r="A129" s="118" t="s">
        <v>313</v>
      </c>
      <c r="B129" s="119" t="s">
        <v>187</v>
      </c>
      <c r="C129" s="119">
        <v>626</v>
      </c>
      <c r="D129" s="118" t="s">
        <v>179</v>
      </c>
      <c r="E129" s="118">
        <v>574</v>
      </c>
      <c r="F129" s="118" t="s">
        <v>184</v>
      </c>
      <c r="G129" s="118">
        <v>632</v>
      </c>
      <c r="H129" s="118" t="s">
        <v>179</v>
      </c>
      <c r="I129" s="378">
        <v>632</v>
      </c>
      <c r="J129" s="117"/>
      <c r="K129" s="117"/>
      <c r="L129" t="str">
        <f t="shared" si="23"/>
        <v>IX#2MTR</v>
      </c>
      <c r="M129" t="str">
        <f t="shared" si="33"/>
        <v/>
      </c>
      <c r="N129" t="str">
        <f t="shared" si="34"/>
        <v>IX#2MTR</v>
      </c>
      <c r="O129" t="str">
        <f t="shared" si="35"/>
        <v/>
      </c>
      <c r="P129" s="113" t="str">
        <f t="shared" si="24"/>
        <v>IX#2MTR</v>
      </c>
      <c r="Q129" s="114">
        <f t="shared" si="25"/>
        <v>632</v>
      </c>
      <c r="R129" s="114">
        <f t="shared" si="26"/>
        <v>610.66666666666663</v>
      </c>
      <c r="S129" s="113">
        <f t="shared" si="27"/>
        <v>574</v>
      </c>
      <c r="T129" s="111">
        <f t="shared" ca="1" si="28"/>
        <v>12.48</v>
      </c>
      <c r="U129" s="111">
        <f t="shared" si="29"/>
        <v>129</v>
      </c>
      <c r="V129" t="str">
        <f t="array" ref="V129">INDEX(P:P,MAX(U$3:U129))</f>
        <v>IX#2MTR</v>
      </c>
      <c r="W129">
        <f t="shared" ca="1" si="30"/>
        <v>25</v>
      </c>
      <c r="X129" t="str">
        <f t="shared" si="31"/>
        <v/>
      </c>
      <c r="Y129">
        <f t="shared" si="32"/>
        <v>632</v>
      </c>
      <c r="Z129" t="str">
        <f t="shared" si="36"/>
        <v>北斗</v>
      </c>
    </row>
    <row r="130" spans="1:26" x14ac:dyDescent="0.25">
      <c r="A130" s="118" t="s">
        <v>313</v>
      </c>
      <c r="B130" s="119" t="s">
        <v>319</v>
      </c>
      <c r="C130" s="119">
        <v>329</v>
      </c>
      <c r="D130" s="118" t="s">
        <v>207</v>
      </c>
      <c r="E130" s="118">
        <v>324</v>
      </c>
      <c r="F130" s="118" t="s">
        <v>207</v>
      </c>
      <c r="G130" s="118">
        <v>331</v>
      </c>
      <c r="H130" s="118" t="s">
        <v>207</v>
      </c>
      <c r="I130" s="378">
        <v>331</v>
      </c>
      <c r="J130" s="117">
        <v>29</v>
      </c>
      <c r="K130" s="117" t="s">
        <v>183</v>
      </c>
      <c r="L130" t="str">
        <f t="shared" si="23"/>
        <v>IX28</v>
      </c>
      <c r="M130" t="str">
        <f t="shared" si="33"/>
        <v/>
      </c>
      <c r="N130" t="str">
        <f t="shared" si="34"/>
        <v/>
      </c>
      <c r="O130" t="str">
        <f t="shared" si="35"/>
        <v/>
      </c>
      <c r="P130" s="113" t="str">
        <f t="shared" si="24"/>
        <v>IX28</v>
      </c>
      <c r="Q130" s="114">
        <f t="shared" si="25"/>
        <v>331</v>
      </c>
      <c r="R130" s="114">
        <f t="shared" si="26"/>
        <v>328</v>
      </c>
      <c r="S130" s="113">
        <f t="shared" si="27"/>
        <v>324</v>
      </c>
      <c r="T130" s="111">
        <f t="shared" ca="1" si="28"/>
        <v>6.54</v>
      </c>
      <c r="U130" s="111" t="str">
        <f t="shared" si="29"/>
        <v/>
      </c>
      <c r="V130" t="str">
        <f t="array" ref="V130">INDEX(P:P,MAX(U$3:U130))</f>
        <v>IX#2MTR</v>
      </c>
      <c r="W130" t="str">
        <f t="shared" ca="1" si="30"/>
        <v/>
      </c>
      <c r="X130">
        <f t="shared" si="31"/>
        <v>11.4</v>
      </c>
      <c r="Y130">
        <f t="shared" si="32"/>
        <v>331</v>
      </c>
      <c r="Z130" t="str">
        <f t="shared" si="36"/>
        <v>北斗</v>
      </c>
    </row>
    <row r="131" spans="1:26" x14ac:dyDescent="0.25">
      <c r="A131" s="118" t="s">
        <v>313</v>
      </c>
      <c r="B131" s="119" t="s">
        <v>320</v>
      </c>
      <c r="C131" s="119">
        <v>170</v>
      </c>
      <c r="D131" s="118" t="s">
        <v>176</v>
      </c>
      <c r="E131" s="118">
        <v>169</v>
      </c>
      <c r="F131" s="118" t="s">
        <v>198</v>
      </c>
      <c r="G131" s="118">
        <v>149</v>
      </c>
      <c r="H131" s="118" t="s">
        <v>188</v>
      </c>
      <c r="I131" s="378">
        <v>170</v>
      </c>
      <c r="J131" s="117">
        <v>63</v>
      </c>
      <c r="K131" s="117" t="s">
        <v>203</v>
      </c>
      <c r="L131" t="str">
        <f t="shared" ref="L131:L194" si="37">IF(COUNTIF(B131,"*TR*")&gt;0,SUBSTITUTE(RIGHT(TRIM(A131),2) &amp; B131," ",""),MID(B131,FIND("(",B131)+1,4))</f>
        <v>IX34</v>
      </c>
      <c r="M131" t="str">
        <f t="shared" si="33"/>
        <v/>
      </c>
      <c r="N131" t="str">
        <f t="shared" si="34"/>
        <v/>
      </c>
      <c r="O131" t="str">
        <f t="shared" si="35"/>
        <v/>
      </c>
      <c r="P131" s="113" t="str">
        <f t="shared" ref="P131:P194" si="38">IF(COUNTIF(B131,"*TR*")&gt;0,SUBSTITUTE(RIGHT(TRIM(A131),2) &amp; B131," ",""),MID(B131,FIND("(",B131)+1,4))</f>
        <v>IX34</v>
      </c>
      <c r="Q131" s="114">
        <f t="shared" ref="Q131:Q194" si="39">VALUE(I131)</f>
        <v>170</v>
      </c>
      <c r="R131" s="114">
        <f t="shared" ref="R131:R194" si="40">AVERAGE(C131*1,E131*1,G131*1)</f>
        <v>162.66666666666666</v>
      </c>
      <c r="S131" s="113">
        <f t="shared" ref="S131:S194" si="41">MIN(C131*1,E131*1,G131*1)</f>
        <v>149</v>
      </c>
      <c r="T131" s="111">
        <f t="shared" ref="T131:T194" ca="1" si="42">IF(LEFT(TRIM(B131),1)="#",ROUND(OFFSET(X131,1,0,1,1)*Y131*SQRT(3)/1000,2),ROUND(Q131*X131*SQRT(3)/1000,2))</f>
        <v>3.36</v>
      </c>
      <c r="U131" s="111" t="str">
        <f t="shared" ref="U131:U194" si="43">IF(ISNUMBER(FIND("#",B131)),ROW(),"")</f>
        <v/>
      </c>
      <c r="V131" t="str">
        <f t="array" ref="V131">INDEX(P:P,MAX(U$3:U131))</f>
        <v>IX#2MTR</v>
      </c>
      <c r="W131" t="str">
        <f t="shared" ref="W131:W194" ca="1" si="44">IF(LEFT(TRIM(B131),1)="#",IF(ISNUMBER(FIND("DTR",B131)),IF(MID(OFFSET(P131,1,0,1,1),3,1)*1&lt;5,30,60),25),"")</f>
        <v/>
      </c>
      <c r="X131">
        <f t="shared" ref="X131:X194" si="45">IF(LEFT(TRIM(B131),1)= "#","",IF(MID(P131,3,1)*1&lt;5,11.4,22.8))</f>
        <v>11.4</v>
      </c>
      <c r="Y131">
        <f t="shared" ref="Y131:Y194" si="46">SUMIF(L:L,L131,I:I)</f>
        <v>170</v>
      </c>
      <c r="Z131" t="str">
        <f t="shared" si="36"/>
        <v>北斗</v>
      </c>
    </row>
    <row r="132" spans="1:26" x14ac:dyDescent="0.25">
      <c r="A132" s="118" t="s">
        <v>313</v>
      </c>
      <c r="B132" s="119" t="s">
        <v>321</v>
      </c>
      <c r="C132" s="119">
        <v>98</v>
      </c>
      <c r="D132" s="118" t="s">
        <v>203</v>
      </c>
      <c r="E132" s="118">
        <v>102</v>
      </c>
      <c r="F132" s="118" t="s">
        <v>203</v>
      </c>
      <c r="G132" s="118">
        <v>115</v>
      </c>
      <c r="H132" s="118" t="s">
        <v>183</v>
      </c>
      <c r="I132" s="378">
        <v>115</v>
      </c>
      <c r="J132" s="117">
        <v>38</v>
      </c>
      <c r="K132" s="117" t="s">
        <v>183</v>
      </c>
      <c r="L132" t="str">
        <f t="shared" si="37"/>
        <v>IX31</v>
      </c>
      <c r="M132" t="str">
        <f t="shared" ref="M132:M195" si="47">IF(LEFT(B132,1)="#",IF(LEN(B132)&lt;&gt;5,MID(B132,6,3),""),"")</f>
        <v/>
      </c>
      <c r="N132" t="str">
        <f t="shared" ref="N132:N195" si="48">IF(LEFT(B132,1)="#",IF(LEN(B132)=5,RIGHT(A132,2)&amp;B132,RIGHT(A132,2)&amp;LEFT(B132,2)&amp;"DTR"),"")</f>
        <v/>
      </c>
      <c r="O132" t="str">
        <f t="shared" ref="O132:O195" si="49">IF(LEFT(B132,1)="#",IF(LEN(B132)&lt;&gt;5,IF(LEN(B132)&lt;&gt;7,MID(B132,6,3),"("&amp;MID(B132,3,2)&amp;")"),""),"")</f>
        <v/>
      </c>
      <c r="P132" s="113" t="str">
        <f t="shared" si="38"/>
        <v>IX31</v>
      </c>
      <c r="Q132" s="114">
        <f t="shared" si="39"/>
        <v>115</v>
      </c>
      <c r="R132" s="114">
        <f t="shared" si="40"/>
        <v>105</v>
      </c>
      <c r="S132" s="113">
        <f t="shared" si="41"/>
        <v>98</v>
      </c>
      <c r="T132" s="111">
        <f t="shared" ca="1" si="42"/>
        <v>2.27</v>
      </c>
      <c r="U132" s="111" t="str">
        <f t="shared" si="43"/>
        <v/>
      </c>
      <c r="V132" t="str">
        <f t="array" ref="V132">INDEX(P:P,MAX(U$3:U132))</f>
        <v>IX#2MTR</v>
      </c>
      <c r="W132" t="str">
        <f t="shared" ca="1" si="44"/>
        <v/>
      </c>
      <c r="X132">
        <f t="shared" si="45"/>
        <v>11.4</v>
      </c>
      <c r="Y132">
        <f t="shared" si="46"/>
        <v>115</v>
      </c>
      <c r="Z132" t="str">
        <f t="shared" ref="Z132:Z195" si="50">LEFT(A132,2)</f>
        <v>北斗</v>
      </c>
    </row>
    <row r="133" spans="1:26" x14ac:dyDescent="0.25">
      <c r="A133" s="118" t="s">
        <v>313</v>
      </c>
      <c r="B133" s="119" t="s">
        <v>322</v>
      </c>
      <c r="C133" s="119">
        <v>115</v>
      </c>
      <c r="D133" s="118" t="s">
        <v>179</v>
      </c>
      <c r="E133" s="118">
        <v>98</v>
      </c>
      <c r="F133" s="118" t="s">
        <v>188</v>
      </c>
      <c r="G133" s="118">
        <v>147</v>
      </c>
      <c r="H133" s="118" t="s">
        <v>196</v>
      </c>
      <c r="I133" s="378">
        <v>147</v>
      </c>
      <c r="J133" s="117">
        <v>56</v>
      </c>
      <c r="K133" s="117" t="s">
        <v>176</v>
      </c>
      <c r="L133" t="str">
        <f t="shared" si="37"/>
        <v>IX33</v>
      </c>
      <c r="M133" t="str">
        <f t="shared" si="47"/>
        <v/>
      </c>
      <c r="N133" t="str">
        <f t="shared" si="48"/>
        <v/>
      </c>
      <c r="O133" t="str">
        <f t="shared" si="49"/>
        <v/>
      </c>
      <c r="P133" s="113" t="str">
        <f t="shared" si="38"/>
        <v>IX33</v>
      </c>
      <c r="Q133" s="114">
        <f t="shared" si="39"/>
        <v>147</v>
      </c>
      <c r="R133" s="114">
        <f t="shared" si="40"/>
        <v>120</v>
      </c>
      <c r="S133" s="113">
        <f t="shared" si="41"/>
        <v>98</v>
      </c>
      <c r="T133" s="111">
        <f t="shared" ca="1" si="42"/>
        <v>2.9</v>
      </c>
      <c r="U133" s="111" t="str">
        <f t="shared" si="43"/>
        <v/>
      </c>
      <c r="V133" t="str">
        <f t="array" ref="V133">INDEX(P:P,MAX(U$3:U133))</f>
        <v>IX#2MTR</v>
      </c>
      <c r="W133" t="str">
        <f t="shared" ca="1" si="44"/>
        <v/>
      </c>
      <c r="X133">
        <f t="shared" si="45"/>
        <v>11.4</v>
      </c>
      <c r="Y133">
        <f t="shared" si="46"/>
        <v>147</v>
      </c>
      <c r="Z133" t="str">
        <f t="shared" si="50"/>
        <v>北斗</v>
      </c>
    </row>
    <row r="134" spans="1:26" x14ac:dyDescent="0.25">
      <c r="A134" s="118" t="s">
        <v>313</v>
      </c>
      <c r="B134" s="119" t="s">
        <v>323</v>
      </c>
      <c r="C134" s="119">
        <v>58</v>
      </c>
      <c r="D134" s="118" t="s">
        <v>180</v>
      </c>
      <c r="E134" s="118">
        <v>62</v>
      </c>
      <c r="F134" s="118" t="s">
        <v>180</v>
      </c>
      <c r="G134" s="118">
        <v>53</v>
      </c>
      <c r="H134" s="118" t="s">
        <v>180</v>
      </c>
      <c r="I134" s="378">
        <v>62</v>
      </c>
      <c r="J134" s="117">
        <v>38</v>
      </c>
      <c r="K134" s="117" t="s">
        <v>179</v>
      </c>
      <c r="L134" t="str">
        <f t="shared" si="37"/>
        <v>IX32</v>
      </c>
      <c r="M134" t="str">
        <f t="shared" si="47"/>
        <v/>
      </c>
      <c r="N134" t="str">
        <f t="shared" si="48"/>
        <v/>
      </c>
      <c r="O134" t="str">
        <f t="shared" si="49"/>
        <v/>
      </c>
      <c r="P134" s="113" t="str">
        <f t="shared" si="38"/>
        <v>IX32</v>
      </c>
      <c r="Q134" s="114">
        <f t="shared" si="39"/>
        <v>62</v>
      </c>
      <c r="R134" s="114">
        <f t="shared" si="40"/>
        <v>57.666666666666664</v>
      </c>
      <c r="S134" s="113">
        <f t="shared" si="41"/>
        <v>53</v>
      </c>
      <c r="T134" s="111">
        <f t="shared" ca="1" si="42"/>
        <v>1.22</v>
      </c>
      <c r="U134" s="111" t="str">
        <f t="shared" si="43"/>
        <v/>
      </c>
      <c r="V134" t="str">
        <f t="array" ref="V134">INDEX(P:P,MAX(U$3:U134))</f>
        <v>IX#2MTR</v>
      </c>
      <c r="W134" t="str">
        <f t="shared" ca="1" si="44"/>
        <v/>
      </c>
      <c r="X134">
        <f t="shared" si="45"/>
        <v>11.4</v>
      </c>
      <c r="Y134">
        <f t="shared" si="46"/>
        <v>62</v>
      </c>
      <c r="Z134" t="str">
        <f t="shared" si="50"/>
        <v>北斗</v>
      </c>
    </row>
    <row r="135" spans="1:26" x14ac:dyDescent="0.25">
      <c r="A135" s="118" t="s">
        <v>313</v>
      </c>
      <c r="B135" s="119" t="s">
        <v>197</v>
      </c>
      <c r="C135" s="119">
        <v>952</v>
      </c>
      <c r="D135" s="118" t="s">
        <v>176</v>
      </c>
      <c r="E135" s="118">
        <v>982</v>
      </c>
      <c r="F135" s="118" t="s">
        <v>188</v>
      </c>
      <c r="G135" s="118">
        <v>960</v>
      </c>
      <c r="H135" s="118" t="s">
        <v>177</v>
      </c>
      <c r="I135" s="378">
        <v>982</v>
      </c>
      <c r="J135" s="117"/>
      <c r="K135" s="117"/>
      <c r="L135" t="str">
        <f t="shared" si="37"/>
        <v>IX#3MTR</v>
      </c>
      <c r="M135" t="str">
        <f t="shared" si="47"/>
        <v/>
      </c>
      <c r="N135" t="str">
        <f t="shared" si="48"/>
        <v>IX#3MTR</v>
      </c>
      <c r="O135" t="str">
        <f t="shared" si="49"/>
        <v/>
      </c>
      <c r="P135" s="113" t="str">
        <f t="shared" si="38"/>
        <v>IX#3MTR</v>
      </c>
      <c r="Q135" s="114">
        <f t="shared" si="39"/>
        <v>982</v>
      </c>
      <c r="R135" s="114">
        <f t="shared" si="40"/>
        <v>964.66666666666663</v>
      </c>
      <c r="S135" s="113">
        <f t="shared" si="41"/>
        <v>952</v>
      </c>
      <c r="T135" s="111">
        <f t="shared" ca="1" si="42"/>
        <v>19.39</v>
      </c>
      <c r="U135" s="111">
        <f t="shared" si="43"/>
        <v>135</v>
      </c>
      <c r="V135" t="str">
        <f t="array" ref="V135">INDEX(P:P,MAX(U$3:U135))</f>
        <v>IX#3MTR</v>
      </c>
      <c r="W135">
        <f t="shared" ca="1" si="44"/>
        <v>25</v>
      </c>
      <c r="X135" t="str">
        <f t="shared" si="45"/>
        <v/>
      </c>
      <c r="Y135">
        <f t="shared" si="46"/>
        <v>982</v>
      </c>
      <c r="Z135" t="str">
        <f t="shared" si="50"/>
        <v>北斗</v>
      </c>
    </row>
    <row r="136" spans="1:26" x14ac:dyDescent="0.25">
      <c r="A136" s="118" t="s">
        <v>313</v>
      </c>
      <c r="B136" s="119" t="s">
        <v>324</v>
      </c>
      <c r="C136" s="119">
        <v>169</v>
      </c>
      <c r="D136" s="118" t="s">
        <v>188</v>
      </c>
      <c r="E136" s="118">
        <v>157</v>
      </c>
      <c r="F136" s="118" t="s">
        <v>188</v>
      </c>
      <c r="G136" s="118">
        <v>148</v>
      </c>
      <c r="H136" s="118" t="s">
        <v>196</v>
      </c>
      <c r="I136" s="378">
        <v>169</v>
      </c>
      <c r="J136" s="117">
        <v>50</v>
      </c>
      <c r="K136" s="117" t="s">
        <v>183</v>
      </c>
      <c r="L136" t="str">
        <f t="shared" si="37"/>
        <v>IX22</v>
      </c>
      <c r="M136" t="str">
        <f t="shared" si="47"/>
        <v/>
      </c>
      <c r="N136" t="str">
        <f t="shared" si="48"/>
        <v/>
      </c>
      <c r="O136" t="str">
        <f t="shared" si="49"/>
        <v/>
      </c>
      <c r="P136" s="113" t="str">
        <f t="shared" si="38"/>
        <v>IX22</v>
      </c>
      <c r="Q136" s="114">
        <f t="shared" si="39"/>
        <v>169</v>
      </c>
      <c r="R136" s="114">
        <f t="shared" si="40"/>
        <v>158</v>
      </c>
      <c r="S136" s="113">
        <f t="shared" si="41"/>
        <v>148</v>
      </c>
      <c r="T136" s="111">
        <f t="shared" ca="1" si="42"/>
        <v>3.34</v>
      </c>
      <c r="U136" s="111" t="str">
        <f t="shared" si="43"/>
        <v/>
      </c>
      <c r="V136" t="str">
        <f t="array" ref="V136">INDEX(P:P,MAX(U$3:U136))</f>
        <v>IX#3MTR</v>
      </c>
      <c r="W136" t="str">
        <f t="shared" ca="1" si="44"/>
        <v/>
      </c>
      <c r="X136">
        <f t="shared" si="45"/>
        <v>11.4</v>
      </c>
      <c r="Y136">
        <f t="shared" si="46"/>
        <v>169</v>
      </c>
      <c r="Z136" t="str">
        <f t="shared" si="50"/>
        <v>北斗</v>
      </c>
    </row>
    <row r="137" spans="1:26" x14ac:dyDescent="0.25">
      <c r="A137" s="118" t="s">
        <v>313</v>
      </c>
      <c r="B137" s="119" t="s">
        <v>325</v>
      </c>
      <c r="C137" s="119">
        <v>335</v>
      </c>
      <c r="D137" s="118" t="s">
        <v>176</v>
      </c>
      <c r="E137" s="118">
        <v>263</v>
      </c>
      <c r="F137" s="118" t="s">
        <v>176</v>
      </c>
      <c r="G137" s="118">
        <v>291</v>
      </c>
      <c r="H137" s="118" t="s">
        <v>176</v>
      </c>
      <c r="I137" s="378">
        <v>335</v>
      </c>
      <c r="J137" s="117">
        <v>95</v>
      </c>
      <c r="K137" s="117" t="s">
        <v>188</v>
      </c>
      <c r="L137" t="str">
        <f t="shared" si="37"/>
        <v>IX20</v>
      </c>
      <c r="M137" t="str">
        <f t="shared" si="47"/>
        <v/>
      </c>
      <c r="N137" t="str">
        <f t="shared" si="48"/>
        <v/>
      </c>
      <c r="O137" t="str">
        <f t="shared" si="49"/>
        <v/>
      </c>
      <c r="P137" s="113" t="str">
        <f t="shared" si="38"/>
        <v>IX20</v>
      </c>
      <c r="Q137" s="114">
        <f t="shared" si="39"/>
        <v>335</v>
      </c>
      <c r="R137" s="114">
        <f t="shared" si="40"/>
        <v>296.33333333333331</v>
      </c>
      <c r="S137" s="113">
        <f t="shared" si="41"/>
        <v>263</v>
      </c>
      <c r="T137" s="111">
        <f t="shared" ca="1" si="42"/>
        <v>6.61</v>
      </c>
      <c r="U137" s="111" t="str">
        <f t="shared" si="43"/>
        <v/>
      </c>
      <c r="V137" t="str">
        <f t="array" ref="V137">INDEX(P:P,MAX(U$3:U137))</f>
        <v>IX#3MTR</v>
      </c>
      <c r="W137" t="str">
        <f t="shared" ca="1" si="44"/>
        <v/>
      </c>
      <c r="X137">
        <f t="shared" si="45"/>
        <v>11.4</v>
      </c>
      <c r="Y137">
        <f t="shared" si="46"/>
        <v>335</v>
      </c>
      <c r="Z137" t="str">
        <f t="shared" si="50"/>
        <v>北斗</v>
      </c>
    </row>
    <row r="138" spans="1:26" x14ac:dyDescent="0.25">
      <c r="A138" s="118" t="s">
        <v>313</v>
      </c>
      <c r="B138" s="119" t="s">
        <v>326</v>
      </c>
      <c r="C138" s="119">
        <v>149</v>
      </c>
      <c r="D138" s="118" t="s">
        <v>176</v>
      </c>
      <c r="E138" s="118">
        <v>166</v>
      </c>
      <c r="F138" s="118" t="s">
        <v>188</v>
      </c>
      <c r="G138" s="118">
        <v>129</v>
      </c>
      <c r="H138" s="118" t="s">
        <v>177</v>
      </c>
      <c r="I138" s="378">
        <v>166</v>
      </c>
      <c r="J138" s="117">
        <v>66</v>
      </c>
      <c r="K138" s="117" t="s">
        <v>196</v>
      </c>
      <c r="L138" t="str">
        <f t="shared" si="37"/>
        <v>IX21</v>
      </c>
      <c r="M138" t="str">
        <f t="shared" si="47"/>
        <v/>
      </c>
      <c r="N138" t="str">
        <f t="shared" si="48"/>
        <v/>
      </c>
      <c r="O138" t="str">
        <f t="shared" si="49"/>
        <v/>
      </c>
      <c r="P138" s="113" t="str">
        <f t="shared" si="38"/>
        <v>IX21</v>
      </c>
      <c r="Q138" s="114">
        <f t="shared" si="39"/>
        <v>166</v>
      </c>
      <c r="R138" s="114">
        <f t="shared" si="40"/>
        <v>148</v>
      </c>
      <c r="S138" s="113">
        <f t="shared" si="41"/>
        <v>129</v>
      </c>
      <c r="T138" s="111">
        <f t="shared" ca="1" si="42"/>
        <v>3.28</v>
      </c>
      <c r="U138" s="111" t="str">
        <f t="shared" si="43"/>
        <v/>
      </c>
      <c r="V138" t="str">
        <f t="array" ref="V138">INDEX(P:P,MAX(U$3:U138))</f>
        <v>IX#3MTR</v>
      </c>
      <c r="W138" t="str">
        <f t="shared" ca="1" si="44"/>
        <v/>
      </c>
      <c r="X138">
        <f t="shared" si="45"/>
        <v>11.4</v>
      </c>
      <c r="Y138">
        <f t="shared" si="46"/>
        <v>166</v>
      </c>
      <c r="Z138" t="str">
        <f t="shared" si="50"/>
        <v>北斗</v>
      </c>
    </row>
    <row r="139" spans="1:26" x14ac:dyDescent="0.25">
      <c r="A139" s="118" t="s">
        <v>313</v>
      </c>
      <c r="B139" s="119" t="s">
        <v>327</v>
      </c>
      <c r="C139" s="119">
        <v>155</v>
      </c>
      <c r="D139" s="118" t="s">
        <v>188</v>
      </c>
      <c r="E139" s="118">
        <v>206</v>
      </c>
      <c r="F139" s="118" t="s">
        <v>188</v>
      </c>
      <c r="G139" s="118">
        <v>174</v>
      </c>
      <c r="H139" s="118" t="s">
        <v>188</v>
      </c>
      <c r="I139" s="378">
        <v>206</v>
      </c>
      <c r="J139" s="117">
        <v>52</v>
      </c>
      <c r="K139" s="117" t="s">
        <v>183</v>
      </c>
      <c r="L139" t="str">
        <f t="shared" si="37"/>
        <v>IX29</v>
      </c>
      <c r="M139" t="str">
        <f t="shared" si="47"/>
        <v/>
      </c>
      <c r="N139" t="str">
        <f t="shared" si="48"/>
        <v/>
      </c>
      <c r="O139" t="str">
        <f t="shared" si="49"/>
        <v/>
      </c>
      <c r="P139" s="113" t="str">
        <f t="shared" si="38"/>
        <v>IX29</v>
      </c>
      <c r="Q139" s="114">
        <f t="shared" si="39"/>
        <v>206</v>
      </c>
      <c r="R139" s="114">
        <f t="shared" si="40"/>
        <v>178.33333333333334</v>
      </c>
      <c r="S139" s="113">
        <f t="shared" si="41"/>
        <v>155</v>
      </c>
      <c r="T139" s="111">
        <f t="shared" ca="1" si="42"/>
        <v>4.07</v>
      </c>
      <c r="U139" s="111" t="str">
        <f t="shared" si="43"/>
        <v/>
      </c>
      <c r="V139" t="str">
        <f t="array" ref="V139">INDEX(P:P,MAX(U$3:U139))</f>
        <v>IX#3MTR</v>
      </c>
      <c r="W139" t="str">
        <f t="shared" ca="1" si="44"/>
        <v/>
      </c>
      <c r="X139">
        <f t="shared" si="45"/>
        <v>11.4</v>
      </c>
      <c r="Y139">
        <f t="shared" si="46"/>
        <v>206</v>
      </c>
      <c r="Z139" t="str">
        <f t="shared" si="50"/>
        <v>北斗</v>
      </c>
    </row>
    <row r="140" spans="1:26" x14ac:dyDescent="0.25">
      <c r="A140" s="118" t="s">
        <v>313</v>
      </c>
      <c r="B140" s="119" t="s">
        <v>328</v>
      </c>
      <c r="C140" s="119">
        <v>166</v>
      </c>
      <c r="D140" s="118" t="s">
        <v>179</v>
      </c>
      <c r="E140" s="118">
        <v>205</v>
      </c>
      <c r="F140" s="118" t="s">
        <v>177</v>
      </c>
      <c r="G140" s="118">
        <v>243</v>
      </c>
      <c r="H140" s="118" t="s">
        <v>184</v>
      </c>
      <c r="I140" s="378">
        <v>243</v>
      </c>
      <c r="J140" s="117">
        <v>87</v>
      </c>
      <c r="K140" s="117" t="s">
        <v>196</v>
      </c>
      <c r="L140" t="str">
        <f t="shared" si="37"/>
        <v>IX27</v>
      </c>
      <c r="M140" t="str">
        <f t="shared" si="47"/>
        <v/>
      </c>
      <c r="N140" t="str">
        <f t="shared" si="48"/>
        <v/>
      </c>
      <c r="O140" t="str">
        <f t="shared" si="49"/>
        <v/>
      </c>
      <c r="P140" s="113" t="str">
        <f t="shared" si="38"/>
        <v>IX27</v>
      </c>
      <c r="Q140" s="114">
        <f t="shared" si="39"/>
        <v>243</v>
      </c>
      <c r="R140" s="114">
        <f t="shared" si="40"/>
        <v>204.66666666666666</v>
      </c>
      <c r="S140" s="113">
        <f t="shared" si="41"/>
        <v>166</v>
      </c>
      <c r="T140" s="111">
        <f t="shared" ca="1" si="42"/>
        <v>4.8</v>
      </c>
      <c r="U140" s="111" t="str">
        <f t="shared" si="43"/>
        <v/>
      </c>
      <c r="V140" t="str">
        <f t="array" ref="V140">INDEX(P:P,MAX(U$3:U140))</f>
        <v>IX#3MTR</v>
      </c>
      <c r="W140" t="str">
        <f t="shared" ca="1" si="44"/>
        <v/>
      </c>
      <c r="X140">
        <f t="shared" si="45"/>
        <v>11.4</v>
      </c>
      <c r="Y140">
        <f t="shared" si="46"/>
        <v>243</v>
      </c>
      <c r="Z140" t="str">
        <f t="shared" si="50"/>
        <v>北斗</v>
      </c>
    </row>
    <row r="141" spans="1:26" x14ac:dyDescent="0.25">
      <c r="A141" s="118" t="s">
        <v>329</v>
      </c>
      <c r="B141" s="119" t="s">
        <v>254</v>
      </c>
      <c r="C141" s="119">
        <v>706</v>
      </c>
      <c r="D141" s="118" t="s">
        <v>207</v>
      </c>
      <c r="E141" s="118">
        <v>684</v>
      </c>
      <c r="F141" s="118" t="s">
        <v>207</v>
      </c>
      <c r="G141" s="118">
        <v>651</v>
      </c>
      <c r="H141" s="118" t="s">
        <v>198</v>
      </c>
      <c r="I141" s="378">
        <v>706</v>
      </c>
      <c r="J141" s="117"/>
      <c r="K141" s="117"/>
      <c r="L141" t="str">
        <f t="shared" si="37"/>
        <v>IG#1DTR(A)</v>
      </c>
      <c r="M141" t="str">
        <f t="shared" si="47"/>
        <v>(A)</v>
      </c>
      <c r="N141" t="str">
        <f t="shared" si="48"/>
        <v>IG#1DTR</v>
      </c>
      <c r="O141" t="str">
        <f t="shared" si="49"/>
        <v>(A)</v>
      </c>
      <c r="P141" s="113" t="str">
        <f t="shared" si="38"/>
        <v>IG#1DTR(A)</v>
      </c>
      <c r="Q141" s="114">
        <f t="shared" si="39"/>
        <v>706</v>
      </c>
      <c r="R141" s="114">
        <f t="shared" si="40"/>
        <v>680.33333333333337</v>
      </c>
      <c r="S141" s="113">
        <f t="shared" si="41"/>
        <v>651</v>
      </c>
      <c r="T141" s="111">
        <f t="shared" ca="1" si="42"/>
        <v>13.94</v>
      </c>
      <c r="U141" s="111">
        <f t="shared" si="43"/>
        <v>141</v>
      </c>
      <c r="V141" t="str">
        <f t="array" ref="V141">INDEX(P:P,MAX(U$3:U141))</f>
        <v>IG#1DTR(A)</v>
      </c>
      <c r="W141">
        <f t="shared" ca="1" si="44"/>
        <v>30</v>
      </c>
      <c r="X141" t="str">
        <f t="shared" si="45"/>
        <v/>
      </c>
      <c r="Y141">
        <f t="shared" si="46"/>
        <v>706</v>
      </c>
      <c r="Z141" t="str">
        <f t="shared" si="50"/>
        <v>田中</v>
      </c>
    </row>
    <row r="142" spans="1:26" x14ac:dyDescent="0.25">
      <c r="A142" s="118" t="s">
        <v>329</v>
      </c>
      <c r="B142" s="119" t="s">
        <v>330</v>
      </c>
      <c r="C142" s="119">
        <v>46</v>
      </c>
      <c r="D142" s="118" t="s">
        <v>205</v>
      </c>
      <c r="E142" s="118">
        <v>30</v>
      </c>
      <c r="F142" s="118" t="s">
        <v>205</v>
      </c>
      <c r="G142" s="118">
        <v>36</v>
      </c>
      <c r="H142" s="118" t="s">
        <v>205</v>
      </c>
      <c r="I142" s="378">
        <v>46</v>
      </c>
      <c r="J142" s="117">
        <v>29</v>
      </c>
      <c r="K142" s="117" t="s">
        <v>192</v>
      </c>
      <c r="L142" t="str">
        <f t="shared" si="37"/>
        <v>IG30</v>
      </c>
      <c r="M142" t="str">
        <f t="shared" si="47"/>
        <v/>
      </c>
      <c r="N142" t="str">
        <f t="shared" si="48"/>
        <v/>
      </c>
      <c r="O142" t="str">
        <f t="shared" si="49"/>
        <v/>
      </c>
      <c r="P142" s="113" t="str">
        <f t="shared" si="38"/>
        <v>IG30</v>
      </c>
      <c r="Q142" s="114">
        <f t="shared" si="39"/>
        <v>46</v>
      </c>
      <c r="R142" s="114">
        <f t="shared" si="40"/>
        <v>37.333333333333336</v>
      </c>
      <c r="S142" s="113">
        <f t="shared" si="41"/>
        <v>30</v>
      </c>
      <c r="T142" s="111">
        <f t="shared" ca="1" si="42"/>
        <v>0.91</v>
      </c>
      <c r="U142" s="111" t="str">
        <f t="shared" si="43"/>
        <v/>
      </c>
      <c r="V142" t="str">
        <f t="array" ref="V142">INDEX(P:P,MAX(U$3:U142))</f>
        <v>IG#1DTR(A)</v>
      </c>
      <c r="W142" t="str">
        <f t="shared" ca="1" si="44"/>
        <v/>
      </c>
      <c r="X142">
        <f t="shared" si="45"/>
        <v>11.4</v>
      </c>
      <c r="Y142">
        <f t="shared" si="46"/>
        <v>46</v>
      </c>
      <c r="Z142" t="str">
        <f t="shared" si="50"/>
        <v>田中</v>
      </c>
    </row>
    <row r="143" spans="1:26" x14ac:dyDescent="0.25">
      <c r="A143" s="118" t="s">
        <v>329</v>
      </c>
      <c r="B143" s="119" t="s">
        <v>331</v>
      </c>
      <c r="C143" s="119">
        <v>234</v>
      </c>
      <c r="D143" s="118" t="s">
        <v>198</v>
      </c>
      <c r="E143" s="118">
        <v>237</v>
      </c>
      <c r="F143" s="118" t="s">
        <v>198</v>
      </c>
      <c r="G143" s="118">
        <v>230</v>
      </c>
      <c r="H143" s="118" t="s">
        <v>198</v>
      </c>
      <c r="I143" s="378">
        <v>237</v>
      </c>
      <c r="J143" s="117">
        <v>20</v>
      </c>
      <c r="K143" s="117" t="s">
        <v>180</v>
      </c>
      <c r="L143" t="str">
        <f t="shared" si="37"/>
        <v>IG31</v>
      </c>
      <c r="M143" t="str">
        <f t="shared" si="47"/>
        <v/>
      </c>
      <c r="N143" t="str">
        <f t="shared" si="48"/>
        <v/>
      </c>
      <c r="O143" t="str">
        <f t="shared" si="49"/>
        <v/>
      </c>
      <c r="P143" s="113" t="str">
        <f t="shared" si="38"/>
        <v>IG31</v>
      </c>
      <c r="Q143" s="114">
        <f t="shared" si="39"/>
        <v>237</v>
      </c>
      <c r="R143" s="114">
        <f t="shared" si="40"/>
        <v>233.66666666666666</v>
      </c>
      <c r="S143" s="113">
        <f t="shared" si="41"/>
        <v>230</v>
      </c>
      <c r="T143" s="111">
        <f t="shared" ca="1" si="42"/>
        <v>4.68</v>
      </c>
      <c r="U143" s="111" t="str">
        <f t="shared" si="43"/>
        <v/>
      </c>
      <c r="V143" t="str">
        <f t="array" ref="V143">INDEX(P:P,MAX(U$3:U143))</f>
        <v>IG#1DTR(A)</v>
      </c>
      <c r="W143" t="str">
        <f t="shared" ca="1" si="44"/>
        <v/>
      </c>
      <c r="X143">
        <f t="shared" si="45"/>
        <v>11.4</v>
      </c>
      <c r="Y143">
        <f t="shared" si="46"/>
        <v>237</v>
      </c>
      <c r="Z143" t="str">
        <f t="shared" si="50"/>
        <v>田中</v>
      </c>
    </row>
    <row r="144" spans="1:26" x14ac:dyDescent="0.25">
      <c r="A144" s="118" t="s">
        <v>329</v>
      </c>
      <c r="B144" s="119" t="s">
        <v>332</v>
      </c>
      <c r="C144" s="119">
        <v>139</v>
      </c>
      <c r="D144" s="118" t="s">
        <v>207</v>
      </c>
      <c r="E144" s="118">
        <v>135</v>
      </c>
      <c r="F144" s="118" t="s">
        <v>207</v>
      </c>
      <c r="G144" s="118">
        <v>128</v>
      </c>
      <c r="H144" s="118" t="s">
        <v>207</v>
      </c>
      <c r="I144" s="378">
        <v>139</v>
      </c>
      <c r="J144" s="117">
        <v>16</v>
      </c>
      <c r="K144" s="117" t="s">
        <v>207</v>
      </c>
      <c r="L144" t="str">
        <f t="shared" si="37"/>
        <v>IG32</v>
      </c>
      <c r="M144" t="str">
        <f t="shared" si="47"/>
        <v/>
      </c>
      <c r="N144" t="str">
        <f t="shared" si="48"/>
        <v/>
      </c>
      <c r="O144" t="str">
        <f t="shared" si="49"/>
        <v/>
      </c>
      <c r="P144" s="113" t="str">
        <f t="shared" si="38"/>
        <v>IG32</v>
      </c>
      <c r="Q144" s="114">
        <f t="shared" si="39"/>
        <v>139</v>
      </c>
      <c r="R144" s="114">
        <f t="shared" si="40"/>
        <v>134</v>
      </c>
      <c r="S144" s="113">
        <f t="shared" si="41"/>
        <v>128</v>
      </c>
      <c r="T144" s="111">
        <f t="shared" ca="1" si="42"/>
        <v>2.74</v>
      </c>
      <c r="U144" s="111" t="str">
        <f t="shared" si="43"/>
        <v/>
      </c>
      <c r="V144" t="str">
        <f t="array" ref="V144">INDEX(P:P,MAX(U$3:U144))</f>
        <v>IG#1DTR(A)</v>
      </c>
      <c r="W144" t="str">
        <f t="shared" ca="1" si="44"/>
        <v/>
      </c>
      <c r="X144">
        <f t="shared" si="45"/>
        <v>11.4</v>
      </c>
      <c r="Y144">
        <f t="shared" si="46"/>
        <v>139</v>
      </c>
      <c r="Z144" t="str">
        <f t="shared" si="50"/>
        <v>田中</v>
      </c>
    </row>
    <row r="145" spans="1:26" x14ac:dyDescent="0.25">
      <c r="A145" s="118" t="s">
        <v>329</v>
      </c>
      <c r="B145" s="119" t="s">
        <v>333</v>
      </c>
      <c r="C145" s="119">
        <v>268</v>
      </c>
      <c r="D145" s="118" t="s">
        <v>177</v>
      </c>
      <c r="E145" s="118">
        <v>262</v>
      </c>
      <c r="F145" s="118" t="s">
        <v>183</v>
      </c>
      <c r="G145" s="118">
        <v>270</v>
      </c>
      <c r="H145" s="118" t="s">
        <v>188</v>
      </c>
      <c r="I145" s="378">
        <v>270</v>
      </c>
      <c r="J145" s="117">
        <v>16</v>
      </c>
      <c r="K145" s="117" t="s">
        <v>183</v>
      </c>
      <c r="L145" t="str">
        <f t="shared" si="37"/>
        <v>IG33</v>
      </c>
      <c r="M145" t="str">
        <f t="shared" si="47"/>
        <v/>
      </c>
      <c r="N145" t="str">
        <f t="shared" si="48"/>
        <v/>
      </c>
      <c r="O145" t="str">
        <f t="shared" si="49"/>
        <v/>
      </c>
      <c r="P145" s="113" t="str">
        <f t="shared" si="38"/>
        <v>IG33</v>
      </c>
      <c r="Q145" s="114">
        <f t="shared" si="39"/>
        <v>270</v>
      </c>
      <c r="R145" s="114">
        <f t="shared" si="40"/>
        <v>266.66666666666669</v>
      </c>
      <c r="S145" s="113">
        <f t="shared" si="41"/>
        <v>262</v>
      </c>
      <c r="T145" s="111">
        <f t="shared" ca="1" si="42"/>
        <v>5.33</v>
      </c>
      <c r="U145" s="111" t="str">
        <f t="shared" si="43"/>
        <v/>
      </c>
      <c r="V145" t="str">
        <f t="array" ref="V145">INDEX(P:P,MAX(U$3:U145))</f>
        <v>IG#1DTR(A)</v>
      </c>
      <c r="W145" t="str">
        <f t="shared" ca="1" si="44"/>
        <v/>
      </c>
      <c r="X145">
        <f t="shared" si="45"/>
        <v>11.4</v>
      </c>
      <c r="Y145">
        <f t="shared" si="46"/>
        <v>270</v>
      </c>
      <c r="Z145" t="str">
        <f t="shared" si="50"/>
        <v>田中</v>
      </c>
    </row>
    <row r="146" spans="1:26" x14ac:dyDescent="0.25">
      <c r="A146" s="118" t="s">
        <v>329</v>
      </c>
      <c r="B146" s="119" t="s">
        <v>334</v>
      </c>
      <c r="C146" s="119">
        <v>102</v>
      </c>
      <c r="D146" s="118" t="s">
        <v>192</v>
      </c>
      <c r="E146" s="118">
        <v>94</v>
      </c>
      <c r="F146" s="118" t="s">
        <v>192</v>
      </c>
      <c r="G146" s="118">
        <v>66</v>
      </c>
      <c r="H146" s="118" t="s">
        <v>177</v>
      </c>
      <c r="I146" s="378">
        <v>102</v>
      </c>
      <c r="J146" s="117">
        <v>43</v>
      </c>
      <c r="K146" s="117" t="s">
        <v>207</v>
      </c>
      <c r="L146" t="str">
        <f t="shared" si="37"/>
        <v>IG34</v>
      </c>
      <c r="M146" t="str">
        <f t="shared" si="47"/>
        <v/>
      </c>
      <c r="N146" t="str">
        <f t="shared" si="48"/>
        <v/>
      </c>
      <c r="O146" t="str">
        <f t="shared" si="49"/>
        <v/>
      </c>
      <c r="P146" s="113" t="str">
        <f t="shared" si="38"/>
        <v>IG34</v>
      </c>
      <c r="Q146" s="114">
        <f t="shared" si="39"/>
        <v>102</v>
      </c>
      <c r="R146" s="114">
        <f t="shared" si="40"/>
        <v>87.333333333333329</v>
      </c>
      <c r="S146" s="113">
        <f t="shared" si="41"/>
        <v>66</v>
      </c>
      <c r="T146" s="111">
        <f t="shared" ca="1" si="42"/>
        <v>2.0099999999999998</v>
      </c>
      <c r="U146" s="111" t="str">
        <f t="shared" si="43"/>
        <v/>
      </c>
      <c r="V146" t="str">
        <f t="array" ref="V146">INDEX(P:P,MAX(U$3:U146))</f>
        <v>IG#1DTR(A)</v>
      </c>
      <c r="W146" t="str">
        <f t="shared" ca="1" si="44"/>
        <v/>
      </c>
      <c r="X146">
        <f t="shared" si="45"/>
        <v>11.4</v>
      </c>
      <c r="Y146">
        <f t="shared" si="46"/>
        <v>102</v>
      </c>
      <c r="Z146" t="str">
        <f t="shared" si="50"/>
        <v>田中</v>
      </c>
    </row>
    <row r="147" spans="1:26" x14ac:dyDescent="0.25">
      <c r="A147" s="118" t="s">
        <v>329</v>
      </c>
      <c r="B147" s="119" t="s">
        <v>295</v>
      </c>
      <c r="C147" s="119">
        <v>690</v>
      </c>
      <c r="D147" s="118" t="s">
        <v>177</v>
      </c>
      <c r="E147" s="118">
        <v>688</v>
      </c>
      <c r="F147" s="118" t="s">
        <v>176</v>
      </c>
      <c r="G147" s="118">
        <v>624</v>
      </c>
      <c r="H147" s="118" t="s">
        <v>188</v>
      </c>
      <c r="I147" s="378">
        <v>690</v>
      </c>
      <c r="J147" s="117"/>
      <c r="K147" s="117"/>
      <c r="L147" t="str">
        <f t="shared" si="37"/>
        <v>IG#1DTR(B)</v>
      </c>
      <c r="M147" t="str">
        <f t="shared" si="47"/>
        <v>(B)</v>
      </c>
      <c r="N147" t="str">
        <f t="shared" si="48"/>
        <v>IG#1DTR</v>
      </c>
      <c r="O147" t="str">
        <f t="shared" si="49"/>
        <v>(B)</v>
      </c>
      <c r="P147" s="113" t="str">
        <f t="shared" si="38"/>
        <v>IG#1DTR(B)</v>
      </c>
      <c r="Q147" s="114">
        <f t="shared" si="39"/>
        <v>690</v>
      </c>
      <c r="R147" s="114">
        <f t="shared" si="40"/>
        <v>667.33333333333337</v>
      </c>
      <c r="S147" s="113">
        <f t="shared" si="41"/>
        <v>624</v>
      </c>
      <c r="T147" s="111">
        <f t="shared" ca="1" si="42"/>
        <v>13.62</v>
      </c>
      <c r="U147" s="111">
        <f t="shared" si="43"/>
        <v>147</v>
      </c>
      <c r="V147" t="str">
        <f t="array" ref="V147">INDEX(P:P,MAX(U$3:U147))</f>
        <v>IG#1DTR(B)</v>
      </c>
      <c r="W147">
        <f t="shared" ca="1" si="44"/>
        <v>30</v>
      </c>
      <c r="X147" t="str">
        <f t="shared" si="45"/>
        <v/>
      </c>
      <c r="Y147">
        <f t="shared" si="46"/>
        <v>690</v>
      </c>
      <c r="Z147" t="str">
        <f t="shared" si="50"/>
        <v>田中</v>
      </c>
    </row>
    <row r="148" spans="1:26" x14ac:dyDescent="0.25">
      <c r="A148" s="118" t="s">
        <v>329</v>
      </c>
      <c r="B148" s="119" t="s">
        <v>335</v>
      </c>
      <c r="C148" s="119">
        <v>84</v>
      </c>
      <c r="D148" s="118" t="s">
        <v>192</v>
      </c>
      <c r="E148" s="118">
        <v>82</v>
      </c>
      <c r="F148" s="118" t="s">
        <v>192</v>
      </c>
      <c r="G148" s="118">
        <v>72</v>
      </c>
      <c r="H148" s="118" t="s">
        <v>192</v>
      </c>
      <c r="I148" s="378">
        <v>84</v>
      </c>
      <c r="J148" s="117">
        <v>29</v>
      </c>
      <c r="K148" s="117" t="s">
        <v>229</v>
      </c>
      <c r="L148" t="str">
        <f t="shared" si="37"/>
        <v>IG35</v>
      </c>
      <c r="M148" t="str">
        <f t="shared" si="47"/>
        <v/>
      </c>
      <c r="N148" t="str">
        <f t="shared" si="48"/>
        <v/>
      </c>
      <c r="O148" t="str">
        <f t="shared" si="49"/>
        <v/>
      </c>
      <c r="P148" s="113" t="str">
        <f t="shared" si="38"/>
        <v>IG35</v>
      </c>
      <c r="Q148" s="114">
        <f t="shared" si="39"/>
        <v>84</v>
      </c>
      <c r="R148" s="114">
        <f t="shared" si="40"/>
        <v>79.333333333333329</v>
      </c>
      <c r="S148" s="113">
        <f t="shared" si="41"/>
        <v>72</v>
      </c>
      <c r="T148" s="111">
        <f t="shared" ca="1" si="42"/>
        <v>1.66</v>
      </c>
      <c r="U148" s="111" t="str">
        <f t="shared" si="43"/>
        <v/>
      </c>
      <c r="V148" t="str">
        <f t="array" ref="V148">INDEX(P:P,MAX(U$3:U148))</f>
        <v>IG#1DTR(B)</v>
      </c>
      <c r="W148" t="str">
        <f t="shared" ca="1" si="44"/>
        <v/>
      </c>
      <c r="X148">
        <f t="shared" si="45"/>
        <v>11.4</v>
      </c>
      <c r="Y148">
        <f t="shared" si="46"/>
        <v>84</v>
      </c>
      <c r="Z148" t="str">
        <f t="shared" si="50"/>
        <v>田中</v>
      </c>
    </row>
    <row r="149" spans="1:26" x14ac:dyDescent="0.25">
      <c r="A149" s="118" t="s">
        <v>329</v>
      </c>
      <c r="B149" s="119" t="s">
        <v>336</v>
      </c>
      <c r="C149" s="119">
        <v>153</v>
      </c>
      <c r="D149" s="118" t="s">
        <v>188</v>
      </c>
      <c r="E149" s="118">
        <v>117</v>
      </c>
      <c r="F149" s="118" t="s">
        <v>188</v>
      </c>
      <c r="G149" s="118">
        <v>124</v>
      </c>
      <c r="H149" s="118" t="s">
        <v>188</v>
      </c>
      <c r="I149" s="378">
        <v>153</v>
      </c>
      <c r="J149" s="117">
        <v>33</v>
      </c>
      <c r="K149" s="117" t="s">
        <v>176</v>
      </c>
      <c r="L149" t="str">
        <f t="shared" si="37"/>
        <v>IG36</v>
      </c>
      <c r="M149" t="str">
        <f t="shared" si="47"/>
        <v/>
      </c>
      <c r="N149" t="str">
        <f t="shared" si="48"/>
        <v/>
      </c>
      <c r="O149" t="str">
        <f t="shared" si="49"/>
        <v/>
      </c>
      <c r="P149" s="113" t="str">
        <f t="shared" si="38"/>
        <v>IG36</v>
      </c>
      <c r="Q149" s="114">
        <f t="shared" si="39"/>
        <v>153</v>
      </c>
      <c r="R149" s="114">
        <f t="shared" si="40"/>
        <v>131.33333333333334</v>
      </c>
      <c r="S149" s="113">
        <f t="shared" si="41"/>
        <v>117</v>
      </c>
      <c r="T149" s="111">
        <f t="shared" ca="1" si="42"/>
        <v>3.02</v>
      </c>
      <c r="U149" s="111" t="str">
        <f t="shared" si="43"/>
        <v/>
      </c>
      <c r="V149" t="str">
        <f t="array" ref="V149">INDEX(P:P,MAX(U$3:U149))</f>
        <v>IG#1DTR(B)</v>
      </c>
      <c r="W149" t="str">
        <f t="shared" ca="1" si="44"/>
        <v/>
      </c>
      <c r="X149">
        <f t="shared" si="45"/>
        <v>11.4</v>
      </c>
      <c r="Y149">
        <f t="shared" si="46"/>
        <v>153</v>
      </c>
      <c r="Z149" t="str">
        <f t="shared" si="50"/>
        <v>田中</v>
      </c>
    </row>
    <row r="150" spans="1:26" x14ac:dyDescent="0.25">
      <c r="A150" s="118" t="s">
        <v>329</v>
      </c>
      <c r="B150" s="119" t="s">
        <v>337</v>
      </c>
      <c r="C150" s="119">
        <v>163</v>
      </c>
      <c r="D150" s="118" t="s">
        <v>198</v>
      </c>
      <c r="E150" s="118">
        <v>170</v>
      </c>
      <c r="F150" s="118" t="s">
        <v>179</v>
      </c>
      <c r="G150" s="118">
        <v>176</v>
      </c>
      <c r="H150" s="118" t="s">
        <v>198</v>
      </c>
      <c r="I150" s="378">
        <v>176</v>
      </c>
      <c r="J150" s="117">
        <v>41</v>
      </c>
      <c r="K150" s="117" t="s">
        <v>176</v>
      </c>
      <c r="L150" t="str">
        <f t="shared" si="37"/>
        <v>IG37</v>
      </c>
      <c r="M150" t="str">
        <f t="shared" si="47"/>
        <v/>
      </c>
      <c r="N150" t="str">
        <f t="shared" si="48"/>
        <v/>
      </c>
      <c r="O150" t="str">
        <f t="shared" si="49"/>
        <v/>
      </c>
      <c r="P150" s="113" t="str">
        <f t="shared" si="38"/>
        <v>IG37</v>
      </c>
      <c r="Q150" s="114">
        <f t="shared" si="39"/>
        <v>176</v>
      </c>
      <c r="R150" s="114">
        <f t="shared" si="40"/>
        <v>169.66666666666666</v>
      </c>
      <c r="S150" s="113">
        <f t="shared" si="41"/>
        <v>163</v>
      </c>
      <c r="T150" s="111">
        <f t="shared" ca="1" si="42"/>
        <v>3.48</v>
      </c>
      <c r="U150" s="111" t="str">
        <f t="shared" si="43"/>
        <v/>
      </c>
      <c r="V150" t="str">
        <f t="array" ref="V150">INDEX(P:P,MAX(U$3:U150))</f>
        <v>IG#1DTR(B)</v>
      </c>
      <c r="W150" t="str">
        <f t="shared" ca="1" si="44"/>
        <v/>
      </c>
      <c r="X150">
        <f t="shared" si="45"/>
        <v>11.4</v>
      </c>
      <c r="Y150">
        <f t="shared" si="46"/>
        <v>176</v>
      </c>
      <c r="Z150" t="str">
        <f t="shared" si="50"/>
        <v>田中</v>
      </c>
    </row>
    <row r="151" spans="1:26" x14ac:dyDescent="0.25">
      <c r="A151" s="118" t="s">
        <v>329</v>
      </c>
      <c r="B151" s="119" t="s">
        <v>338</v>
      </c>
      <c r="C151" s="119">
        <v>228</v>
      </c>
      <c r="D151" s="118" t="s">
        <v>176</v>
      </c>
      <c r="E151" s="118">
        <v>212</v>
      </c>
      <c r="F151" s="118" t="s">
        <v>177</v>
      </c>
      <c r="G151" s="118">
        <v>170</v>
      </c>
      <c r="H151" s="118" t="s">
        <v>176</v>
      </c>
      <c r="I151" s="378">
        <v>228</v>
      </c>
      <c r="J151" s="117">
        <v>69</v>
      </c>
      <c r="K151" s="117" t="s">
        <v>229</v>
      </c>
      <c r="L151" t="str">
        <f t="shared" si="37"/>
        <v>IG38</v>
      </c>
      <c r="M151" t="str">
        <f t="shared" si="47"/>
        <v/>
      </c>
      <c r="N151" t="str">
        <f t="shared" si="48"/>
        <v/>
      </c>
      <c r="O151" t="str">
        <f t="shared" si="49"/>
        <v/>
      </c>
      <c r="P151" s="113" t="str">
        <f t="shared" si="38"/>
        <v>IG38</v>
      </c>
      <c r="Q151" s="114">
        <f t="shared" si="39"/>
        <v>228</v>
      </c>
      <c r="R151" s="114">
        <f t="shared" si="40"/>
        <v>203.33333333333334</v>
      </c>
      <c r="S151" s="113">
        <f t="shared" si="41"/>
        <v>170</v>
      </c>
      <c r="T151" s="111">
        <f t="shared" ca="1" si="42"/>
        <v>4.5</v>
      </c>
      <c r="U151" s="111" t="str">
        <f t="shared" si="43"/>
        <v/>
      </c>
      <c r="V151" t="str">
        <f t="array" ref="V151">INDEX(P:P,MAX(U$3:U151))</f>
        <v>IG#1DTR(B)</v>
      </c>
      <c r="W151" t="str">
        <f t="shared" ca="1" si="44"/>
        <v/>
      </c>
      <c r="X151">
        <f t="shared" si="45"/>
        <v>11.4</v>
      </c>
      <c r="Y151">
        <f t="shared" si="46"/>
        <v>228</v>
      </c>
      <c r="Z151" t="str">
        <f t="shared" si="50"/>
        <v>田中</v>
      </c>
    </row>
    <row r="152" spans="1:26" x14ac:dyDescent="0.25">
      <c r="A152" s="118" t="s">
        <v>329</v>
      </c>
      <c r="B152" s="119" t="s">
        <v>339</v>
      </c>
      <c r="C152" s="119">
        <v>138</v>
      </c>
      <c r="D152" s="118" t="s">
        <v>177</v>
      </c>
      <c r="E152" s="118">
        <v>152</v>
      </c>
      <c r="F152" s="118" t="s">
        <v>188</v>
      </c>
      <c r="G152" s="118">
        <v>127</v>
      </c>
      <c r="H152" s="118" t="s">
        <v>176</v>
      </c>
      <c r="I152" s="378">
        <v>152</v>
      </c>
      <c r="J152" s="117">
        <v>44</v>
      </c>
      <c r="K152" s="117" t="s">
        <v>183</v>
      </c>
      <c r="L152" t="str">
        <f t="shared" si="37"/>
        <v>IG39</v>
      </c>
      <c r="M152" t="str">
        <f t="shared" si="47"/>
        <v/>
      </c>
      <c r="N152" t="str">
        <f t="shared" si="48"/>
        <v/>
      </c>
      <c r="O152" t="str">
        <f t="shared" si="49"/>
        <v/>
      </c>
      <c r="P152" s="113" t="str">
        <f t="shared" si="38"/>
        <v>IG39</v>
      </c>
      <c r="Q152" s="114">
        <f t="shared" si="39"/>
        <v>152</v>
      </c>
      <c r="R152" s="114">
        <f t="shared" si="40"/>
        <v>139</v>
      </c>
      <c r="S152" s="113">
        <f t="shared" si="41"/>
        <v>127</v>
      </c>
      <c r="T152" s="111">
        <f t="shared" ca="1" si="42"/>
        <v>3</v>
      </c>
      <c r="U152" s="111" t="str">
        <f t="shared" si="43"/>
        <v/>
      </c>
      <c r="V152" t="str">
        <f t="array" ref="V152">INDEX(P:P,MAX(U$3:U152))</f>
        <v>IG#1DTR(B)</v>
      </c>
      <c r="W152" t="str">
        <f t="shared" ca="1" si="44"/>
        <v/>
      </c>
      <c r="X152">
        <f t="shared" si="45"/>
        <v>11.4</v>
      </c>
      <c r="Y152">
        <f t="shared" si="46"/>
        <v>152</v>
      </c>
      <c r="Z152" t="str">
        <f t="shared" si="50"/>
        <v>田中</v>
      </c>
    </row>
    <row r="153" spans="1:26" x14ac:dyDescent="0.25">
      <c r="A153" s="118" t="s">
        <v>329</v>
      </c>
      <c r="B153" s="119" t="s">
        <v>301</v>
      </c>
      <c r="C153" s="119">
        <v>345</v>
      </c>
      <c r="D153" s="118" t="s">
        <v>188</v>
      </c>
      <c r="E153" s="118">
        <v>372</v>
      </c>
      <c r="F153" s="118" t="s">
        <v>188</v>
      </c>
      <c r="G153" s="118">
        <v>379</v>
      </c>
      <c r="H153" s="118" t="s">
        <v>188</v>
      </c>
      <c r="I153" s="378">
        <v>379</v>
      </c>
      <c r="J153" s="117"/>
      <c r="K153" s="117"/>
      <c r="L153" t="str">
        <f t="shared" si="37"/>
        <v>IG#2DTR(A)</v>
      </c>
      <c r="M153" t="str">
        <f t="shared" si="47"/>
        <v>(A)</v>
      </c>
      <c r="N153" t="str">
        <f t="shared" si="48"/>
        <v>IG#2DTR</v>
      </c>
      <c r="O153" t="str">
        <f t="shared" si="49"/>
        <v>(A)</v>
      </c>
      <c r="P153" s="113" t="str">
        <f t="shared" si="38"/>
        <v>IG#2DTR(A)</v>
      </c>
      <c r="Q153" s="114">
        <f t="shared" si="39"/>
        <v>379</v>
      </c>
      <c r="R153" s="114">
        <f t="shared" si="40"/>
        <v>365.33333333333331</v>
      </c>
      <c r="S153" s="113">
        <f t="shared" si="41"/>
        <v>345</v>
      </c>
      <c r="T153" s="111">
        <f t="shared" ca="1" si="42"/>
        <v>7.48</v>
      </c>
      <c r="U153" s="111">
        <f t="shared" si="43"/>
        <v>153</v>
      </c>
      <c r="V153" t="str">
        <f t="array" ref="V153">INDEX(P:P,MAX(U$3:U153))</f>
        <v>IG#2DTR(A)</v>
      </c>
      <c r="W153">
        <f t="shared" ca="1" si="44"/>
        <v>30</v>
      </c>
      <c r="X153" t="str">
        <f t="shared" si="45"/>
        <v/>
      </c>
      <c r="Y153">
        <f t="shared" si="46"/>
        <v>379</v>
      </c>
      <c r="Z153" t="str">
        <f t="shared" si="50"/>
        <v>田中</v>
      </c>
    </row>
    <row r="154" spans="1:26" x14ac:dyDescent="0.25">
      <c r="A154" s="118" t="s">
        <v>329</v>
      </c>
      <c r="B154" s="119" t="s">
        <v>340</v>
      </c>
      <c r="C154" s="119">
        <v>261</v>
      </c>
      <c r="D154" s="118" t="s">
        <v>207</v>
      </c>
      <c r="E154" s="118">
        <v>247</v>
      </c>
      <c r="F154" s="118" t="s">
        <v>207</v>
      </c>
      <c r="G154" s="118">
        <v>261</v>
      </c>
      <c r="H154" s="118" t="s">
        <v>207</v>
      </c>
      <c r="I154" s="378">
        <v>261</v>
      </c>
      <c r="J154" s="117">
        <v>23</v>
      </c>
      <c r="K154" s="117" t="s">
        <v>183</v>
      </c>
      <c r="L154" t="str">
        <f t="shared" si="37"/>
        <v>IG40</v>
      </c>
      <c r="M154" t="str">
        <f t="shared" si="47"/>
        <v/>
      </c>
      <c r="N154" t="str">
        <f t="shared" si="48"/>
        <v/>
      </c>
      <c r="O154" t="str">
        <f t="shared" si="49"/>
        <v/>
      </c>
      <c r="P154" s="113" t="str">
        <f t="shared" si="38"/>
        <v>IG40</v>
      </c>
      <c r="Q154" s="114">
        <f t="shared" si="39"/>
        <v>261</v>
      </c>
      <c r="R154" s="114">
        <f t="shared" si="40"/>
        <v>256.33333333333331</v>
      </c>
      <c r="S154" s="113">
        <f t="shared" si="41"/>
        <v>247</v>
      </c>
      <c r="T154" s="111">
        <f t="shared" ca="1" si="42"/>
        <v>5.15</v>
      </c>
      <c r="U154" s="111" t="str">
        <f t="shared" si="43"/>
        <v/>
      </c>
      <c r="V154" t="str">
        <f t="array" ref="V154">INDEX(P:P,MAX(U$3:U154))</f>
        <v>IG#2DTR(A)</v>
      </c>
      <c r="W154" t="str">
        <f t="shared" ca="1" si="44"/>
        <v/>
      </c>
      <c r="X154">
        <f t="shared" si="45"/>
        <v>11.4</v>
      </c>
      <c r="Y154">
        <f t="shared" si="46"/>
        <v>261</v>
      </c>
      <c r="Z154" t="str">
        <f t="shared" si="50"/>
        <v>田中</v>
      </c>
    </row>
    <row r="155" spans="1:26" x14ac:dyDescent="0.25">
      <c r="A155" s="118" t="s">
        <v>329</v>
      </c>
      <c r="B155" s="119" t="s">
        <v>341</v>
      </c>
      <c r="C155" s="119">
        <v>252</v>
      </c>
      <c r="D155" s="118" t="s">
        <v>176</v>
      </c>
      <c r="E155" s="118">
        <v>249</v>
      </c>
      <c r="F155" s="118" t="s">
        <v>176</v>
      </c>
      <c r="G155" s="118">
        <v>270</v>
      </c>
      <c r="H155" s="118" t="s">
        <v>176</v>
      </c>
      <c r="I155" s="378">
        <v>270</v>
      </c>
      <c r="J155" s="117">
        <v>58</v>
      </c>
      <c r="K155" s="117" t="s">
        <v>207</v>
      </c>
      <c r="L155" t="str">
        <f t="shared" si="37"/>
        <v>IG41</v>
      </c>
      <c r="M155" t="str">
        <f t="shared" si="47"/>
        <v/>
      </c>
      <c r="N155" t="str">
        <f t="shared" si="48"/>
        <v/>
      </c>
      <c r="O155" t="str">
        <f t="shared" si="49"/>
        <v/>
      </c>
      <c r="P155" s="113" t="str">
        <f t="shared" si="38"/>
        <v>IG41</v>
      </c>
      <c r="Q155" s="114">
        <f t="shared" si="39"/>
        <v>270</v>
      </c>
      <c r="R155" s="114">
        <f t="shared" si="40"/>
        <v>257</v>
      </c>
      <c r="S155" s="113">
        <f t="shared" si="41"/>
        <v>249</v>
      </c>
      <c r="T155" s="111">
        <f t="shared" ca="1" si="42"/>
        <v>5.33</v>
      </c>
      <c r="U155" s="111" t="str">
        <f t="shared" si="43"/>
        <v/>
      </c>
      <c r="V155" t="str">
        <f t="array" ref="V155">INDEX(P:P,MAX(U$3:U155))</f>
        <v>IG#2DTR(A)</v>
      </c>
      <c r="W155" t="str">
        <f t="shared" ca="1" si="44"/>
        <v/>
      </c>
      <c r="X155">
        <f t="shared" si="45"/>
        <v>11.4</v>
      </c>
      <c r="Y155">
        <f t="shared" si="46"/>
        <v>270</v>
      </c>
      <c r="Z155" t="str">
        <f t="shared" si="50"/>
        <v>田中</v>
      </c>
    </row>
    <row r="156" spans="1:26" x14ac:dyDescent="0.25">
      <c r="A156" s="118" t="s">
        <v>329</v>
      </c>
      <c r="B156" s="119" t="s">
        <v>342</v>
      </c>
      <c r="C156" s="119">
        <v>205</v>
      </c>
      <c r="D156" s="118" t="s">
        <v>184</v>
      </c>
      <c r="E156" s="118">
        <v>207</v>
      </c>
      <c r="F156" s="118" t="s">
        <v>184</v>
      </c>
      <c r="G156" s="118">
        <v>194</v>
      </c>
      <c r="H156" s="118" t="s">
        <v>184</v>
      </c>
      <c r="I156" s="378">
        <v>207</v>
      </c>
      <c r="J156" s="117">
        <v>27</v>
      </c>
      <c r="K156" s="117" t="s">
        <v>176</v>
      </c>
      <c r="L156" t="str">
        <f t="shared" si="37"/>
        <v>IG43</v>
      </c>
      <c r="M156" t="str">
        <f t="shared" si="47"/>
        <v/>
      </c>
      <c r="N156" t="str">
        <f t="shared" si="48"/>
        <v/>
      </c>
      <c r="O156" t="str">
        <f t="shared" si="49"/>
        <v/>
      </c>
      <c r="P156" s="113" t="str">
        <f t="shared" si="38"/>
        <v>IG43</v>
      </c>
      <c r="Q156" s="114">
        <f t="shared" si="39"/>
        <v>207</v>
      </c>
      <c r="R156" s="114">
        <f t="shared" si="40"/>
        <v>202</v>
      </c>
      <c r="S156" s="113">
        <f t="shared" si="41"/>
        <v>194</v>
      </c>
      <c r="T156" s="111">
        <f t="shared" ca="1" si="42"/>
        <v>4.09</v>
      </c>
      <c r="U156" s="111" t="str">
        <f t="shared" si="43"/>
        <v/>
      </c>
      <c r="V156" t="str">
        <f t="array" ref="V156">INDEX(P:P,MAX(U$3:U156))</f>
        <v>IG#2DTR(A)</v>
      </c>
      <c r="W156" t="str">
        <f t="shared" ca="1" si="44"/>
        <v/>
      </c>
      <c r="X156">
        <f t="shared" si="45"/>
        <v>11.4</v>
      </c>
      <c r="Y156">
        <f t="shared" si="46"/>
        <v>207</v>
      </c>
      <c r="Z156" t="str">
        <f t="shared" si="50"/>
        <v>田中</v>
      </c>
    </row>
    <row r="157" spans="1:26" x14ac:dyDescent="0.25">
      <c r="A157" s="118" t="s">
        <v>329</v>
      </c>
      <c r="B157" s="119" t="s">
        <v>343</v>
      </c>
      <c r="C157" s="119">
        <v>150</v>
      </c>
      <c r="D157" s="118" t="s">
        <v>188</v>
      </c>
      <c r="E157" s="118">
        <v>170</v>
      </c>
      <c r="F157" s="118" t="s">
        <v>176</v>
      </c>
      <c r="G157" s="118">
        <v>202</v>
      </c>
      <c r="H157" s="118" t="s">
        <v>188</v>
      </c>
      <c r="I157" s="378">
        <v>202</v>
      </c>
      <c r="J157" s="117">
        <v>70</v>
      </c>
      <c r="K157" s="117" t="s">
        <v>176</v>
      </c>
      <c r="L157" t="str">
        <f t="shared" si="37"/>
        <v>IG44</v>
      </c>
      <c r="M157" t="str">
        <f t="shared" si="47"/>
        <v/>
      </c>
      <c r="N157" t="str">
        <f t="shared" si="48"/>
        <v/>
      </c>
      <c r="O157" t="str">
        <f t="shared" si="49"/>
        <v/>
      </c>
      <c r="P157" s="113" t="str">
        <f t="shared" si="38"/>
        <v>IG44</v>
      </c>
      <c r="Q157" s="114">
        <f t="shared" si="39"/>
        <v>202</v>
      </c>
      <c r="R157" s="114">
        <f t="shared" si="40"/>
        <v>174</v>
      </c>
      <c r="S157" s="113">
        <f t="shared" si="41"/>
        <v>150</v>
      </c>
      <c r="T157" s="111">
        <f t="shared" ca="1" si="42"/>
        <v>3.99</v>
      </c>
      <c r="U157" s="111" t="str">
        <f t="shared" si="43"/>
        <v/>
      </c>
      <c r="V157" t="str">
        <f t="array" ref="V157">INDEX(P:P,MAX(U$3:U157))</f>
        <v>IG#2DTR(A)</v>
      </c>
      <c r="W157" t="str">
        <f t="shared" ca="1" si="44"/>
        <v/>
      </c>
      <c r="X157">
        <f t="shared" si="45"/>
        <v>11.4</v>
      </c>
      <c r="Y157">
        <f t="shared" si="46"/>
        <v>202</v>
      </c>
      <c r="Z157" t="str">
        <f t="shared" si="50"/>
        <v>田中</v>
      </c>
    </row>
    <row r="158" spans="1:26" x14ac:dyDescent="0.25">
      <c r="A158" s="118" t="s">
        <v>329</v>
      </c>
      <c r="B158" s="119" t="s">
        <v>344</v>
      </c>
      <c r="C158" s="119">
        <v>80</v>
      </c>
      <c r="D158" s="118" t="s">
        <v>179</v>
      </c>
      <c r="E158" s="118">
        <v>89</v>
      </c>
      <c r="F158" s="118" t="s">
        <v>179</v>
      </c>
      <c r="G158" s="118">
        <v>73</v>
      </c>
      <c r="H158" s="118" t="s">
        <v>203</v>
      </c>
      <c r="I158" s="378">
        <v>89</v>
      </c>
      <c r="J158" s="117">
        <v>22</v>
      </c>
      <c r="K158" s="117" t="s">
        <v>205</v>
      </c>
      <c r="L158" t="str">
        <f t="shared" si="37"/>
        <v>IG42</v>
      </c>
      <c r="M158" t="str">
        <f t="shared" si="47"/>
        <v/>
      </c>
      <c r="N158" t="str">
        <f t="shared" si="48"/>
        <v/>
      </c>
      <c r="O158" t="str">
        <f t="shared" si="49"/>
        <v/>
      </c>
      <c r="P158" s="113" t="str">
        <f t="shared" si="38"/>
        <v>IG42</v>
      </c>
      <c r="Q158" s="114">
        <f t="shared" si="39"/>
        <v>89</v>
      </c>
      <c r="R158" s="114">
        <f t="shared" si="40"/>
        <v>80.666666666666671</v>
      </c>
      <c r="S158" s="113">
        <f t="shared" si="41"/>
        <v>73</v>
      </c>
      <c r="T158" s="111">
        <f t="shared" ca="1" si="42"/>
        <v>1.76</v>
      </c>
      <c r="U158" s="111" t="str">
        <f t="shared" si="43"/>
        <v/>
      </c>
      <c r="V158" t="str">
        <f t="array" ref="V158">INDEX(P:P,MAX(U$3:U158))</f>
        <v>IG#2DTR(A)</v>
      </c>
      <c r="W158" t="str">
        <f t="shared" ca="1" si="44"/>
        <v/>
      </c>
      <c r="X158">
        <f t="shared" si="45"/>
        <v>11.4</v>
      </c>
      <c r="Y158">
        <f t="shared" si="46"/>
        <v>89</v>
      </c>
      <c r="Z158" t="str">
        <f t="shared" si="50"/>
        <v>田中</v>
      </c>
    </row>
    <row r="159" spans="1:26" x14ac:dyDescent="0.25">
      <c r="A159" s="118" t="s">
        <v>329</v>
      </c>
      <c r="B159" s="119" t="s">
        <v>283</v>
      </c>
      <c r="C159" s="119">
        <v>553</v>
      </c>
      <c r="D159" s="118" t="s">
        <v>229</v>
      </c>
      <c r="E159" s="118">
        <v>547</v>
      </c>
      <c r="F159" s="118" t="s">
        <v>229</v>
      </c>
      <c r="G159" s="118">
        <v>565</v>
      </c>
      <c r="H159" s="118" t="s">
        <v>229</v>
      </c>
      <c r="I159" s="378">
        <v>565</v>
      </c>
      <c r="J159" s="117"/>
      <c r="K159" s="117"/>
      <c r="L159" t="str">
        <f t="shared" si="37"/>
        <v>IG#2DTR(B)</v>
      </c>
      <c r="M159" t="str">
        <f t="shared" si="47"/>
        <v>(B)</v>
      </c>
      <c r="N159" t="str">
        <f t="shared" si="48"/>
        <v>IG#2DTR</v>
      </c>
      <c r="O159" t="str">
        <f t="shared" si="49"/>
        <v>(B)</v>
      </c>
      <c r="P159" s="113" t="str">
        <f t="shared" si="38"/>
        <v>IG#2DTR(B)</v>
      </c>
      <c r="Q159" s="114">
        <f t="shared" si="39"/>
        <v>565</v>
      </c>
      <c r="R159" s="114">
        <f t="shared" si="40"/>
        <v>555</v>
      </c>
      <c r="S159" s="113">
        <f t="shared" si="41"/>
        <v>547</v>
      </c>
      <c r="T159" s="111">
        <f t="shared" ca="1" si="42"/>
        <v>11.16</v>
      </c>
      <c r="U159" s="111">
        <f t="shared" si="43"/>
        <v>159</v>
      </c>
      <c r="V159" t="str">
        <f t="array" ref="V159">INDEX(P:P,MAX(U$3:U159))</f>
        <v>IG#2DTR(B)</v>
      </c>
      <c r="W159">
        <f t="shared" ca="1" si="44"/>
        <v>30</v>
      </c>
      <c r="X159" t="str">
        <f t="shared" si="45"/>
        <v/>
      </c>
      <c r="Y159">
        <f t="shared" si="46"/>
        <v>565</v>
      </c>
      <c r="Z159" t="str">
        <f t="shared" si="50"/>
        <v>田中</v>
      </c>
    </row>
    <row r="160" spans="1:26" x14ac:dyDescent="0.25">
      <c r="A160" s="118" t="s">
        <v>329</v>
      </c>
      <c r="B160" s="119" t="s">
        <v>345</v>
      </c>
      <c r="C160" s="119">
        <v>229</v>
      </c>
      <c r="D160" s="118" t="s">
        <v>203</v>
      </c>
      <c r="E160" s="118">
        <v>213</v>
      </c>
      <c r="F160" s="118" t="s">
        <v>203</v>
      </c>
      <c r="G160" s="118">
        <v>216</v>
      </c>
      <c r="H160" s="118" t="s">
        <v>203</v>
      </c>
      <c r="I160" s="378">
        <v>229</v>
      </c>
      <c r="J160" s="117">
        <v>33</v>
      </c>
      <c r="K160" s="117" t="s">
        <v>188</v>
      </c>
      <c r="L160" t="str">
        <f t="shared" si="37"/>
        <v>IG45</v>
      </c>
      <c r="M160" t="str">
        <f t="shared" si="47"/>
        <v/>
      </c>
      <c r="N160" t="str">
        <f t="shared" si="48"/>
        <v/>
      </c>
      <c r="O160" t="str">
        <f t="shared" si="49"/>
        <v/>
      </c>
      <c r="P160" s="113" t="str">
        <f t="shared" si="38"/>
        <v>IG45</v>
      </c>
      <c r="Q160" s="114">
        <f t="shared" si="39"/>
        <v>229</v>
      </c>
      <c r="R160" s="114">
        <f t="shared" si="40"/>
        <v>219.33333333333334</v>
      </c>
      <c r="S160" s="113">
        <f t="shared" si="41"/>
        <v>213</v>
      </c>
      <c r="T160" s="111">
        <f t="shared" ca="1" si="42"/>
        <v>4.5199999999999996</v>
      </c>
      <c r="U160" s="111" t="str">
        <f t="shared" si="43"/>
        <v/>
      </c>
      <c r="V160" t="str">
        <f t="array" ref="V160">INDEX(P:P,MAX(U$3:U160))</f>
        <v>IG#2DTR(B)</v>
      </c>
      <c r="W160" t="str">
        <f t="shared" ca="1" si="44"/>
        <v/>
      </c>
      <c r="X160">
        <f t="shared" si="45"/>
        <v>11.4</v>
      </c>
      <c r="Y160">
        <f t="shared" si="46"/>
        <v>229</v>
      </c>
      <c r="Z160" t="str">
        <f t="shared" si="50"/>
        <v>田中</v>
      </c>
    </row>
    <row r="161" spans="1:26" x14ac:dyDescent="0.25">
      <c r="A161" s="118" t="s">
        <v>329</v>
      </c>
      <c r="B161" s="119" t="s">
        <v>346</v>
      </c>
      <c r="C161" s="119">
        <v>55</v>
      </c>
      <c r="D161" s="118" t="s">
        <v>177</v>
      </c>
      <c r="E161" s="118">
        <v>45</v>
      </c>
      <c r="F161" s="118" t="s">
        <v>177</v>
      </c>
      <c r="G161" s="118">
        <v>69</v>
      </c>
      <c r="H161" s="118" t="s">
        <v>203</v>
      </c>
      <c r="I161" s="378">
        <v>69</v>
      </c>
      <c r="J161" s="117">
        <v>42</v>
      </c>
      <c r="K161" s="117" t="s">
        <v>180</v>
      </c>
      <c r="L161" t="str">
        <f t="shared" si="37"/>
        <v>IG46</v>
      </c>
      <c r="M161" t="str">
        <f t="shared" si="47"/>
        <v/>
      </c>
      <c r="N161" t="str">
        <f t="shared" si="48"/>
        <v/>
      </c>
      <c r="O161" t="str">
        <f t="shared" si="49"/>
        <v/>
      </c>
      <c r="P161" s="113" t="str">
        <f t="shared" si="38"/>
        <v>IG46</v>
      </c>
      <c r="Q161" s="114">
        <f t="shared" si="39"/>
        <v>69</v>
      </c>
      <c r="R161" s="114">
        <f t="shared" si="40"/>
        <v>56.333333333333336</v>
      </c>
      <c r="S161" s="113">
        <f t="shared" si="41"/>
        <v>45</v>
      </c>
      <c r="T161" s="111">
        <f t="shared" ca="1" si="42"/>
        <v>1.36</v>
      </c>
      <c r="U161" s="111" t="str">
        <f t="shared" si="43"/>
        <v/>
      </c>
      <c r="V161" t="str">
        <f t="array" ref="V161">INDEX(P:P,MAX(U$3:U161))</f>
        <v>IG#2DTR(B)</v>
      </c>
      <c r="W161" t="str">
        <f t="shared" ca="1" si="44"/>
        <v/>
      </c>
      <c r="X161">
        <f t="shared" si="45"/>
        <v>11.4</v>
      </c>
      <c r="Y161">
        <f t="shared" si="46"/>
        <v>69</v>
      </c>
      <c r="Z161" t="str">
        <f t="shared" si="50"/>
        <v>田中</v>
      </c>
    </row>
    <row r="162" spans="1:26" x14ac:dyDescent="0.25">
      <c r="A162" s="118" t="s">
        <v>329</v>
      </c>
      <c r="B162" s="119" t="s">
        <v>347</v>
      </c>
      <c r="C162" s="119">
        <v>293</v>
      </c>
      <c r="D162" s="118" t="s">
        <v>229</v>
      </c>
      <c r="E162" s="118">
        <v>291</v>
      </c>
      <c r="F162" s="118" t="s">
        <v>229</v>
      </c>
      <c r="G162" s="118">
        <v>283</v>
      </c>
      <c r="H162" s="118" t="s">
        <v>229</v>
      </c>
      <c r="I162" s="378">
        <v>293</v>
      </c>
      <c r="J162" s="117">
        <v>24</v>
      </c>
      <c r="K162" s="117" t="s">
        <v>198</v>
      </c>
      <c r="L162" t="str">
        <f t="shared" si="37"/>
        <v>IG47</v>
      </c>
      <c r="M162" t="str">
        <f t="shared" si="47"/>
        <v/>
      </c>
      <c r="N162" t="str">
        <f t="shared" si="48"/>
        <v/>
      </c>
      <c r="O162" t="str">
        <f t="shared" si="49"/>
        <v/>
      </c>
      <c r="P162" s="113" t="str">
        <f t="shared" si="38"/>
        <v>IG47</v>
      </c>
      <c r="Q162" s="114">
        <f t="shared" si="39"/>
        <v>293</v>
      </c>
      <c r="R162" s="114">
        <f t="shared" si="40"/>
        <v>289</v>
      </c>
      <c r="S162" s="113">
        <f t="shared" si="41"/>
        <v>283</v>
      </c>
      <c r="T162" s="111">
        <f t="shared" ca="1" si="42"/>
        <v>5.79</v>
      </c>
      <c r="U162" s="111" t="str">
        <f t="shared" si="43"/>
        <v/>
      </c>
      <c r="V162" t="str">
        <f t="array" ref="V162">INDEX(P:P,MAX(U$3:U162))</f>
        <v>IG#2DTR(B)</v>
      </c>
      <c r="W162" t="str">
        <f t="shared" ca="1" si="44"/>
        <v/>
      </c>
      <c r="X162">
        <f t="shared" si="45"/>
        <v>11.4</v>
      </c>
      <c r="Y162">
        <f t="shared" si="46"/>
        <v>293</v>
      </c>
      <c r="Z162" t="str">
        <f t="shared" si="50"/>
        <v>田中</v>
      </c>
    </row>
    <row r="163" spans="1:26" x14ac:dyDescent="0.25">
      <c r="A163" s="118" t="s">
        <v>329</v>
      </c>
      <c r="B163" s="119" t="s">
        <v>348</v>
      </c>
      <c r="C163" s="119">
        <v>143</v>
      </c>
      <c r="D163" s="118" t="s">
        <v>198</v>
      </c>
      <c r="E163" s="118">
        <v>151</v>
      </c>
      <c r="F163" s="118" t="s">
        <v>198</v>
      </c>
      <c r="G163" s="118">
        <v>149</v>
      </c>
      <c r="H163" s="118" t="s">
        <v>198</v>
      </c>
      <c r="I163" s="378">
        <v>151</v>
      </c>
      <c r="J163" s="117">
        <v>25</v>
      </c>
      <c r="K163" s="117" t="s">
        <v>192</v>
      </c>
      <c r="L163" t="str">
        <f t="shared" si="37"/>
        <v>IG48</v>
      </c>
      <c r="M163" t="str">
        <f t="shared" si="47"/>
        <v/>
      </c>
      <c r="N163" t="str">
        <f t="shared" si="48"/>
        <v/>
      </c>
      <c r="O163" t="str">
        <f t="shared" si="49"/>
        <v/>
      </c>
      <c r="P163" s="113" t="str">
        <f t="shared" si="38"/>
        <v>IG48</v>
      </c>
      <c r="Q163" s="114">
        <f t="shared" si="39"/>
        <v>151</v>
      </c>
      <c r="R163" s="114">
        <f t="shared" si="40"/>
        <v>147.66666666666666</v>
      </c>
      <c r="S163" s="113">
        <f t="shared" si="41"/>
        <v>143</v>
      </c>
      <c r="T163" s="111">
        <f t="shared" ca="1" si="42"/>
        <v>2.98</v>
      </c>
      <c r="U163" s="111" t="str">
        <f t="shared" si="43"/>
        <v/>
      </c>
      <c r="V163" t="str">
        <f t="array" ref="V163">INDEX(P:P,MAX(U$3:U163))</f>
        <v>IG#2DTR(B)</v>
      </c>
      <c r="W163" t="str">
        <f t="shared" ca="1" si="44"/>
        <v/>
      </c>
      <c r="X163">
        <f t="shared" si="45"/>
        <v>11.4</v>
      </c>
      <c r="Y163">
        <f t="shared" si="46"/>
        <v>151</v>
      </c>
      <c r="Z163" t="str">
        <f t="shared" si="50"/>
        <v>田中</v>
      </c>
    </row>
    <row r="164" spans="1:26" x14ac:dyDescent="0.25">
      <c r="A164" s="118" t="s">
        <v>329</v>
      </c>
      <c r="B164" s="119" t="s">
        <v>349</v>
      </c>
      <c r="C164" s="119">
        <v>210</v>
      </c>
      <c r="D164" s="118" t="s">
        <v>207</v>
      </c>
      <c r="E164" s="118">
        <v>189</v>
      </c>
      <c r="F164" s="118" t="s">
        <v>198</v>
      </c>
      <c r="G164" s="118">
        <v>210</v>
      </c>
      <c r="H164" s="118" t="s">
        <v>207</v>
      </c>
      <c r="I164" s="378">
        <v>210</v>
      </c>
      <c r="J164" s="117">
        <v>39</v>
      </c>
      <c r="K164" s="117" t="s">
        <v>207</v>
      </c>
      <c r="L164" t="str">
        <f t="shared" si="37"/>
        <v>IG49</v>
      </c>
      <c r="M164" t="str">
        <f t="shared" si="47"/>
        <v/>
      </c>
      <c r="N164" t="str">
        <f t="shared" si="48"/>
        <v/>
      </c>
      <c r="O164" t="str">
        <f t="shared" si="49"/>
        <v/>
      </c>
      <c r="P164" s="113" t="str">
        <f t="shared" si="38"/>
        <v>IG49</v>
      </c>
      <c r="Q164" s="114">
        <f t="shared" si="39"/>
        <v>210</v>
      </c>
      <c r="R164" s="114">
        <f t="shared" si="40"/>
        <v>203</v>
      </c>
      <c r="S164" s="113">
        <f t="shared" si="41"/>
        <v>189</v>
      </c>
      <c r="T164" s="111">
        <f t="shared" ca="1" si="42"/>
        <v>4.1500000000000004</v>
      </c>
      <c r="U164" s="111" t="str">
        <f t="shared" si="43"/>
        <v/>
      </c>
      <c r="V164" t="str">
        <f t="array" ref="V164">INDEX(P:P,MAX(U$3:U164))</f>
        <v>IG#2DTR(B)</v>
      </c>
      <c r="W164" t="str">
        <f t="shared" ca="1" si="44"/>
        <v/>
      </c>
      <c r="X164">
        <f t="shared" si="45"/>
        <v>11.4</v>
      </c>
      <c r="Y164">
        <f t="shared" si="46"/>
        <v>210</v>
      </c>
      <c r="Z164" t="str">
        <f t="shared" si="50"/>
        <v>田中</v>
      </c>
    </row>
    <row r="165" spans="1:26" x14ac:dyDescent="0.25">
      <c r="A165" s="118" t="s">
        <v>350</v>
      </c>
      <c r="B165" s="119" t="s">
        <v>351</v>
      </c>
      <c r="C165" s="119">
        <v>646</v>
      </c>
      <c r="D165" s="118" t="s">
        <v>250</v>
      </c>
      <c r="E165" s="118">
        <v>636</v>
      </c>
      <c r="F165" s="118" t="s">
        <v>250</v>
      </c>
      <c r="G165" s="118">
        <v>648</v>
      </c>
      <c r="H165" s="118" t="s">
        <v>237</v>
      </c>
      <c r="I165" s="378">
        <v>648</v>
      </c>
      <c r="J165" s="117"/>
      <c r="K165" s="117"/>
      <c r="L165" t="str">
        <f t="shared" si="37"/>
        <v>IZ#1DTR</v>
      </c>
      <c r="M165" t="str">
        <f t="shared" si="47"/>
        <v/>
      </c>
      <c r="N165" t="str">
        <f t="shared" si="48"/>
        <v>IZ#1DTR</v>
      </c>
      <c r="O165" t="str">
        <f t="shared" si="49"/>
        <v/>
      </c>
      <c r="P165" s="113" t="str">
        <f t="shared" si="38"/>
        <v>IZ#1DTR</v>
      </c>
      <c r="Q165" s="114">
        <f t="shared" si="39"/>
        <v>648</v>
      </c>
      <c r="R165" s="114">
        <f t="shared" si="40"/>
        <v>643.33333333333337</v>
      </c>
      <c r="S165" s="113">
        <f t="shared" si="41"/>
        <v>636</v>
      </c>
      <c r="T165" s="111">
        <f t="shared" ca="1" si="42"/>
        <v>25.59</v>
      </c>
      <c r="U165" s="111">
        <f t="shared" si="43"/>
        <v>165</v>
      </c>
      <c r="V165" t="str">
        <f t="array" ref="V165">INDEX(P:P,MAX(U$3:U165))</f>
        <v>IZ#1DTR</v>
      </c>
      <c r="W165">
        <f t="shared" ca="1" si="44"/>
        <v>60</v>
      </c>
      <c r="X165" t="str">
        <f t="shared" si="45"/>
        <v/>
      </c>
      <c r="Y165">
        <f t="shared" si="46"/>
        <v>648</v>
      </c>
      <c r="Z165" t="str">
        <f t="shared" si="50"/>
        <v>全興</v>
      </c>
    </row>
    <row r="166" spans="1:26" x14ac:dyDescent="0.25">
      <c r="A166" s="118" t="s">
        <v>350</v>
      </c>
      <c r="B166" s="119" t="s">
        <v>352</v>
      </c>
      <c r="C166" s="119">
        <v>198</v>
      </c>
      <c r="D166" s="118" t="s">
        <v>229</v>
      </c>
      <c r="E166" s="118">
        <v>193</v>
      </c>
      <c r="F166" s="118" t="s">
        <v>263</v>
      </c>
      <c r="G166" s="118">
        <v>199</v>
      </c>
      <c r="H166" s="118" t="s">
        <v>263</v>
      </c>
      <c r="I166" s="378">
        <v>199</v>
      </c>
      <c r="J166" s="117">
        <v>0</v>
      </c>
      <c r="K166" s="117" t="s">
        <v>194</v>
      </c>
      <c r="L166" t="str">
        <f t="shared" si="37"/>
        <v>IZ51</v>
      </c>
      <c r="M166" t="str">
        <f t="shared" si="47"/>
        <v/>
      </c>
      <c r="N166" t="str">
        <f t="shared" si="48"/>
        <v/>
      </c>
      <c r="O166" t="str">
        <f t="shared" si="49"/>
        <v/>
      </c>
      <c r="P166" s="113" t="str">
        <f t="shared" si="38"/>
        <v>IZ51</v>
      </c>
      <c r="Q166" s="114">
        <f t="shared" si="39"/>
        <v>199</v>
      </c>
      <c r="R166" s="114">
        <f t="shared" si="40"/>
        <v>196.66666666666666</v>
      </c>
      <c r="S166" s="113">
        <f t="shared" si="41"/>
        <v>193</v>
      </c>
      <c r="T166" s="111">
        <f t="shared" ca="1" si="42"/>
        <v>7.86</v>
      </c>
      <c r="U166" s="111" t="str">
        <f t="shared" si="43"/>
        <v/>
      </c>
      <c r="V166" t="str">
        <f t="array" ref="V166">INDEX(P:P,MAX(U$3:U166))</f>
        <v>IZ#1DTR</v>
      </c>
      <c r="W166" t="str">
        <f t="shared" ca="1" si="44"/>
        <v/>
      </c>
      <c r="X166">
        <f t="shared" si="45"/>
        <v>22.8</v>
      </c>
      <c r="Y166">
        <f t="shared" si="46"/>
        <v>199</v>
      </c>
      <c r="Z166" t="str">
        <f t="shared" si="50"/>
        <v>全興</v>
      </c>
    </row>
    <row r="167" spans="1:26" x14ac:dyDescent="0.25">
      <c r="A167" s="118" t="s">
        <v>350</v>
      </c>
      <c r="B167" s="119" t="s">
        <v>353</v>
      </c>
      <c r="C167" s="119">
        <v>29</v>
      </c>
      <c r="D167" s="118" t="s">
        <v>198</v>
      </c>
      <c r="E167" s="118">
        <v>28</v>
      </c>
      <c r="F167" s="118" t="s">
        <v>198</v>
      </c>
      <c r="G167" s="118">
        <v>27</v>
      </c>
      <c r="H167" s="118" t="s">
        <v>198</v>
      </c>
      <c r="I167" s="378">
        <v>29</v>
      </c>
      <c r="J167" s="117">
        <v>0</v>
      </c>
      <c r="K167" s="117" t="s">
        <v>194</v>
      </c>
      <c r="L167" t="str">
        <f t="shared" si="37"/>
        <v>IZ52</v>
      </c>
      <c r="M167" t="str">
        <f t="shared" si="47"/>
        <v/>
      </c>
      <c r="N167" t="str">
        <f t="shared" si="48"/>
        <v/>
      </c>
      <c r="O167" t="str">
        <f t="shared" si="49"/>
        <v/>
      </c>
      <c r="P167" s="113" t="str">
        <f t="shared" si="38"/>
        <v>IZ52</v>
      </c>
      <c r="Q167" s="114">
        <f t="shared" si="39"/>
        <v>29</v>
      </c>
      <c r="R167" s="114">
        <f t="shared" si="40"/>
        <v>28</v>
      </c>
      <c r="S167" s="113">
        <f t="shared" si="41"/>
        <v>27</v>
      </c>
      <c r="T167" s="111">
        <f t="shared" ca="1" si="42"/>
        <v>1.1499999999999999</v>
      </c>
      <c r="U167" s="111" t="str">
        <f t="shared" si="43"/>
        <v/>
      </c>
      <c r="V167" t="str">
        <f t="array" ref="V167">INDEX(P:P,MAX(U$3:U167))</f>
        <v>IZ#1DTR</v>
      </c>
      <c r="W167" t="str">
        <f t="shared" ca="1" si="44"/>
        <v/>
      </c>
      <c r="X167">
        <f t="shared" si="45"/>
        <v>22.8</v>
      </c>
      <c r="Y167">
        <f t="shared" si="46"/>
        <v>29</v>
      </c>
      <c r="Z167" t="str">
        <f t="shared" si="50"/>
        <v>全興</v>
      </c>
    </row>
    <row r="168" spans="1:26" x14ac:dyDescent="0.25">
      <c r="A168" s="118" t="s">
        <v>350</v>
      </c>
      <c r="B168" s="119" t="s">
        <v>354</v>
      </c>
      <c r="C168" s="119">
        <v>19</v>
      </c>
      <c r="D168" s="118" t="s">
        <v>179</v>
      </c>
      <c r="E168" s="118">
        <v>17</v>
      </c>
      <c r="F168" s="118" t="s">
        <v>250</v>
      </c>
      <c r="G168" s="118">
        <v>18</v>
      </c>
      <c r="H168" s="118" t="s">
        <v>179</v>
      </c>
      <c r="I168" s="378">
        <v>19</v>
      </c>
      <c r="J168" s="117">
        <v>0</v>
      </c>
      <c r="K168" s="117" t="s">
        <v>194</v>
      </c>
      <c r="L168" t="str">
        <f t="shared" si="37"/>
        <v>IZ53</v>
      </c>
      <c r="M168" t="str">
        <f t="shared" si="47"/>
        <v/>
      </c>
      <c r="N168" t="str">
        <f t="shared" si="48"/>
        <v/>
      </c>
      <c r="O168" t="str">
        <f t="shared" si="49"/>
        <v/>
      </c>
      <c r="P168" s="113" t="str">
        <f t="shared" si="38"/>
        <v>IZ53</v>
      </c>
      <c r="Q168" s="114">
        <f t="shared" si="39"/>
        <v>19</v>
      </c>
      <c r="R168" s="114">
        <f t="shared" si="40"/>
        <v>18</v>
      </c>
      <c r="S168" s="113">
        <f t="shared" si="41"/>
        <v>17</v>
      </c>
      <c r="T168" s="111">
        <f t="shared" ca="1" si="42"/>
        <v>0.75</v>
      </c>
      <c r="U168" s="111" t="str">
        <f t="shared" si="43"/>
        <v/>
      </c>
      <c r="V168" t="str">
        <f t="array" ref="V168">INDEX(P:P,MAX(U$3:U168))</f>
        <v>IZ#1DTR</v>
      </c>
      <c r="W168" t="str">
        <f t="shared" ca="1" si="44"/>
        <v/>
      </c>
      <c r="X168">
        <f t="shared" si="45"/>
        <v>22.8</v>
      </c>
      <c r="Y168">
        <f t="shared" si="46"/>
        <v>19</v>
      </c>
      <c r="Z168" t="str">
        <f t="shared" si="50"/>
        <v>全興</v>
      </c>
    </row>
    <row r="169" spans="1:26" x14ac:dyDescent="0.25">
      <c r="A169" s="118" t="s">
        <v>350</v>
      </c>
      <c r="B169" s="119" t="s">
        <v>355</v>
      </c>
      <c r="C169" s="119">
        <v>144</v>
      </c>
      <c r="D169" s="118" t="s">
        <v>229</v>
      </c>
      <c r="E169" s="118">
        <v>143</v>
      </c>
      <c r="F169" s="118" t="s">
        <v>229</v>
      </c>
      <c r="G169" s="118">
        <v>144</v>
      </c>
      <c r="H169" s="118" t="s">
        <v>229</v>
      </c>
      <c r="I169" s="378">
        <v>144</v>
      </c>
      <c r="J169" s="117">
        <v>0</v>
      </c>
      <c r="K169" s="117" t="s">
        <v>194</v>
      </c>
      <c r="L169" t="str">
        <f t="shared" si="37"/>
        <v>IZ54</v>
      </c>
      <c r="M169" t="str">
        <f t="shared" si="47"/>
        <v/>
      </c>
      <c r="N169" t="str">
        <f t="shared" si="48"/>
        <v/>
      </c>
      <c r="O169" t="str">
        <f t="shared" si="49"/>
        <v/>
      </c>
      <c r="P169" s="113" t="str">
        <f t="shared" si="38"/>
        <v>IZ54</v>
      </c>
      <c r="Q169" s="114">
        <f t="shared" si="39"/>
        <v>144</v>
      </c>
      <c r="R169" s="114">
        <f t="shared" si="40"/>
        <v>143.66666666666666</v>
      </c>
      <c r="S169" s="113">
        <f t="shared" si="41"/>
        <v>143</v>
      </c>
      <c r="T169" s="111">
        <f t="shared" ca="1" si="42"/>
        <v>5.69</v>
      </c>
      <c r="U169" s="111" t="str">
        <f t="shared" si="43"/>
        <v/>
      </c>
      <c r="V169" t="str">
        <f t="array" ref="V169">INDEX(P:P,MAX(U$3:U169))</f>
        <v>IZ#1DTR</v>
      </c>
      <c r="W169" t="str">
        <f t="shared" ca="1" si="44"/>
        <v/>
      </c>
      <c r="X169">
        <f t="shared" si="45"/>
        <v>22.8</v>
      </c>
      <c r="Y169">
        <f t="shared" si="46"/>
        <v>144</v>
      </c>
      <c r="Z169" t="str">
        <f t="shared" si="50"/>
        <v>全興</v>
      </c>
    </row>
    <row r="170" spans="1:26" x14ac:dyDescent="0.25">
      <c r="A170" s="118" t="s">
        <v>350</v>
      </c>
      <c r="B170" s="119" t="s">
        <v>356</v>
      </c>
      <c r="C170" s="119">
        <v>60</v>
      </c>
      <c r="D170" s="118" t="s">
        <v>179</v>
      </c>
      <c r="E170" s="118">
        <v>59</v>
      </c>
      <c r="F170" s="118" t="s">
        <v>179</v>
      </c>
      <c r="G170" s="118">
        <v>60</v>
      </c>
      <c r="H170" s="118" t="s">
        <v>179</v>
      </c>
      <c r="I170" s="378">
        <v>60</v>
      </c>
      <c r="J170" s="117">
        <v>0</v>
      </c>
      <c r="K170" s="117" t="s">
        <v>194</v>
      </c>
      <c r="L170" t="str">
        <f t="shared" si="37"/>
        <v>IZ55</v>
      </c>
      <c r="M170" t="str">
        <f t="shared" si="47"/>
        <v/>
      </c>
      <c r="N170" t="str">
        <f t="shared" si="48"/>
        <v/>
      </c>
      <c r="O170" t="str">
        <f t="shared" si="49"/>
        <v/>
      </c>
      <c r="P170" s="113" t="str">
        <f t="shared" si="38"/>
        <v>IZ55</v>
      </c>
      <c r="Q170" s="114">
        <f t="shared" si="39"/>
        <v>60</v>
      </c>
      <c r="R170" s="114">
        <f t="shared" si="40"/>
        <v>59.666666666666664</v>
      </c>
      <c r="S170" s="113">
        <f t="shared" si="41"/>
        <v>59</v>
      </c>
      <c r="T170" s="111">
        <f t="shared" ca="1" si="42"/>
        <v>2.37</v>
      </c>
      <c r="U170" s="111" t="str">
        <f t="shared" si="43"/>
        <v/>
      </c>
      <c r="V170" t="str">
        <f t="array" ref="V170">INDEX(P:P,MAX(U$3:U170))</f>
        <v>IZ#1DTR</v>
      </c>
      <c r="W170" t="str">
        <f t="shared" ca="1" si="44"/>
        <v/>
      </c>
      <c r="X170">
        <f t="shared" si="45"/>
        <v>22.8</v>
      </c>
      <c r="Y170">
        <f t="shared" si="46"/>
        <v>60</v>
      </c>
      <c r="Z170" t="str">
        <f t="shared" si="50"/>
        <v>全興</v>
      </c>
    </row>
    <row r="171" spans="1:26" x14ac:dyDescent="0.25">
      <c r="A171" s="118" t="s">
        <v>350</v>
      </c>
      <c r="B171" s="119" t="s">
        <v>357</v>
      </c>
      <c r="C171" s="119">
        <v>120</v>
      </c>
      <c r="D171" s="118" t="s">
        <v>177</v>
      </c>
      <c r="E171" s="118">
        <v>116</v>
      </c>
      <c r="F171" s="118" t="s">
        <v>177</v>
      </c>
      <c r="G171" s="118">
        <v>117</v>
      </c>
      <c r="H171" s="118" t="s">
        <v>177</v>
      </c>
      <c r="I171" s="378">
        <v>120</v>
      </c>
      <c r="J171" s="117">
        <v>0</v>
      </c>
      <c r="K171" s="117" t="s">
        <v>194</v>
      </c>
      <c r="L171" t="str">
        <f t="shared" si="37"/>
        <v>IZ56</v>
      </c>
      <c r="M171" t="str">
        <f t="shared" si="47"/>
        <v/>
      </c>
      <c r="N171" t="str">
        <f t="shared" si="48"/>
        <v/>
      </c>
      <c r="O171" t="str">
        <f t="shared" si="49"/>
        <v/>
      </c>
      <c r="P171" s="113" t="str">
        <f t="shared" si="38"/>
        <v>IZ56</v>
      </c>
      <c r="Q171" s="114">
        <f t="shared" si="39"/>
        <v>120</v>
      </c>
      <c r="R171" s="114">
        <f t="shared" si="40"/>
        <v>117.66666666666667</v>
      </c>
      <c r="S171" s="113">
        <f t="shared" si="41"/>
        <v>116</v>
      </c>
      <c r="T171" s="111">
        <f t="shared" ca="1" si="42"/>
        <v>4.74</v>
      </c>
      <c r="U171" s="111" t="str">
        <f t="shared" si="43"/>
        <v/>
      </c>
      <c r="V171" t="str">
        <f t="array" ref="V171">INDEX(P:P,MAX(U$3:U171))</f>
        <v>IZ#1DTR</v>
      </c>
      <c r="W171" t="str">
        <f t="shared" ca="1" si="44"/>
        <v/>
      </c>
      <c r="X171">
        <f t="shared" si="45"/>
        <v>22.8</v>
      </c>
      <c r="Y171">
        <f t="shared" si="46"/>
        <v>120</v>
      </c>
      <c r="Z171" t="str">
        <f t="shared" si="50"/>
        <v>全興</v>
      </c>
    </row>
    <row r="172" spans="1:26" x14ac:dyDescent="0.25">
      <c r="A172" s="118" t="s">
        <v>350</v>
      </c>
      <c r="B172" s="119" t="s">
        <v>358</v>
      </c>
      <c r="C172" s="119">
        <v>236</v>
      </c>
      <c r="D172" s="118" t="s">
        <v>237</v>
      </c>
      <c r="E172" s="118">
        <v>236</v>
      </c>
      <c r="F172" s="118" t="s">
        <v>237</v>
      </c>
      <c r="G172" s="118">
        <v>237</v>
      </c>
      <c r="H172" s="118" t="s">
        <v>237</v>
      </c>
      <c r="I172" s="378">
        <v>237</v>
      </c>
      <c r="J172" s="117">
        <v>0</v>
      </c>
      <c r="K172" s="117" t="s">
        <v>194</v>
      </c>
      <c r="L172" t="str">
        <f t="shared" si="37"/>
        <v>IZ57</v>
      </c>
      <c r="M172" t="str">
        <f t="shared" si="47"/>
        <v/>
      </c>
      <c r="N172" t="str">
        <f t="shared" si="48"/>
        <v/>
      </c>
      <c r="O172" t="str">
        <f t="shared" si="49"/>
        <v/>
      </c>
      <c r="P172" s="113" t="str">
        <f t="shared" si="38"/>
        <v>IZ57</v>
      </c>
      <c r="Q172" s="114">
        <f t="shared" si="39"/>
        <v>237</v>
      </c>
      <c r="R172" s="114">
        <f t="shared" si="40"/>
        <v>236.33333333333334</v>
      </c>
      <c r="S172" s="113">
        <f t="shared" si="41"/>
        <v>236</v>
      </c>
      <c r="T172" s="111">
        <f t="shared" ca="1" si="42"/>
        <v>9.36</v>
      </c>
      <c r="U172" s="111" t="str">
        <f t="shared" si="43"/>
        <v/>
      </c>
      <c r="V172" t="str">
        <f t="array" ref="V172">INDEX(P:P,MAX(U$3:U172))</f>
        <v>IZ#1DTR</v>
      </c>
      <c r="W172" t="str">
        <f t="shared" ca="1" si="44"/>
        <v/>
      </c>
      <c r="X172">
        <f t="shared" si="45"/>
        <v>22.8</v>
      </c>
      <c r="Y172">
        <f t="shared" si="46"/>
        <v>237</v>
      </c>
      <c r="Z172" t="str">
        <f t="shared" si="50"/>
        <v>全興</v>
      </c>
    </row>
    <row r="173" spans="1:26" x14ac:dyDescent="0.25">
      <c r="A173" s="118" t="s">
        <v>350</v>
      </c>
      <c r="B173" s="119" t="s">
        <v>359</v>
      </c>
      <c r="C173" s="119">
        <v>49</v>
      </c>
      <c r="D173" s="118" t="s">
        <v>306</v>
      </c>
      <c r="E173" s="118">
        <v>49</v>
      </c>
      <c r="F173" s="118" t="s">
        <v>306</v>
      </c>
      <c r="G173" s="118">
        <v>50</v>
      </c>
      <c r="H173" s="118" t="s">
        <v>306</v>
      </c>
      <c r="I173" s="378">
        <v>50</v>
      </c>
      <c r="J173" s="117">
        <v>0</v>
      </c>
      <c r="K173" s="117" t="s">
        <v>194</v>
      </c>
      <c r="L173" t="str">
        <f t="shared" si="37"/>
        <v>IZ58</v>
      </c>
      <c r="M173" t="str">
        <f t="shared" si="47"/>
        <v/>
      </c>
      <c r="N173" t="str">
        <f t="shared" si="48"/>
        <v/>
      </c>
      <c r="O173" t="str">
        <f t="shared" si="49"/>
        <v/>
      </c>
      <c r="P173" s="113" t="str">
        <f t="shared" si="38"/>
        <v>IZ58</v>
      </c>
      <c r="Q173" s="114">
        <f t="shared" si="39"/>
        <v>50</v>
      </c>
      <c r="R173" s="114">
        <f t="shared" si="40"/>
        <v>49.333333333333336</v>
      </c>
      <c r="S173" s="113">
        <f t="shared" si="41"/>
        <v>49</v>
      </c>
      <c r="T173" s="111">
        <f t="shared" ca="1" si="42"/>
        <v>1.97</v>
      </c>
      <c r="U173" s="111" t="str">
        <f t="shared" si="43"/>
        <v/>
      </c>
      <c r="V173" t="str">
        <f t="array" ref="V173">INDEX(P:P,MAX(U$3:U173))</f>
        <v>IZ#1DTR</v>
      </c>
      <c r="W173" t="str">
        <f t="shared" ca="1" si="44"/>
        <v/>
      </c>
      <c r="X173">
        <f t="shared" si="45"/>
        <v>22.8</v>
      </c>
      <c r="Y173">
        <f t="shared" si="46"/>
        <v>50</v>
      </c>
      <c r="Z173" t="str">
        <f t="shared" si="50"/>
        <v>全興</v>
      </c>
    </row>
    <row r="174" spans="1:26" x14ac:dyDescent="0.25">
      <c r="A174" s="118" t="s">
        <v>350</v>
      </c>
      <c r="B174" s="119" t="s">
        <v>360</v>
      </c>
      <c r="C174" s="119">
        <v>277</v>
      </c>
      <c r="D174" s="118" t="s">
        <v>200</v>
      </c>
      <c r="E174" s="118">
        <v>272</v>
      </c>
      <c r="F174" s="118" t="s">
        <v>200</v>
      </c>
      <c r="G174" s="118">
        <v>280</v>
      </c>
      <c r="H174" s="118" t="s">
        <v>200</v>
      </c>
      <c r="I174" s="378">
        <v>280</v>
      </c>
      <c r="J174" s="117"/>
      <c r="K174" s="117"/>
      <c r="L174" t="str">
        <f t="shared" si="37"/>
        <v>IZ#2DTR</v>
      </c>
      <c r="M174" t="str">
        <f t="shared" si="47"/>
        <v/>
      </c>
      <c r="N174" t="str">
        <f t="shared" si="48"/>
        <v>IZ#2DTR</v>
      </c>
      <c r="O174" t="str">
        <f t="shared" si="49"/>
        <v/>
      </c>
      <c r="P174" s="113" t="str">
        <f t="shared" si="38"/>
        <v>IZ#2DTR</v>
      </c>
      <c r="Q174" s="114">
        <f t="shared" si="39"/>
        <v>280</v>
      </c>
      <c r="R174" s="114">
        <f t="shared" si="40"/>
        <v>276.33333333333331</v>
      </c>
      <c r="S174" s="113">
        <f t="shared" si="41"/>
        <v>272</v>
      </c>
      <c r="T174" s="111">
        <f t="shared" ca="1" si="42"/>
        <v>11.06</v>
      </c>
      <c r="U174" s="111">
        <f t="shared" si="43"/>
        <v>174</v>
      </c>
      <c r="V174" t="str">
        <f t="array" ref="V174">INDEX(P:P,MAX(U$3:U174))</f>
        <v>IZ#2DTR</v>
      </c>
      <c r="W174">
        <f t="shared" ca="1" si="44"/>
        <v>60</v>
      </c>
      <c r="X174" t="str">
        <f t="shared" si="45"/>
        <v/>
      </c>
      <c r="Y174">
        <f t="shared" si="46"/>
        <v>280</v>
      </c>
      <c r="Z174" t="str">
        <f t="shared" si="50"/>
        <v>全興</v>
      </c>
    </row>
    <row r="175" spans="1:26" x14ac:dyDescent="0.25">
      <c r="A175" s="118" t="s">
        <v>350</v>
      </c>
      <c r="B175" s="119" t="s">
        <v>361</v>
      </c>
      <c r="C175" s="119">
        <v>121</v>
      </c>
      <c r="D175" s="118" t="s">
        <v>200</v>
      </c>
      <c r="E175" s="118">
        <v>119</v>
      </c>
      <c r="F175" s="118" t="s">
        <v>200</v>
      </c>
      <c r="G175" s="118">
        <v>121</v>
      </c>
      <c r="H175" s="118" t="s">
        <v>200</v>
      </c>
      <c r="I175" s="378">
        <v>121</v>
      </c>
      <c r="J175" s="117">
        <v>0</v>
      </c>
      <c r="K175" s="117" t="s">
        <v>194</v>
      </c>
      <c r="L175" t="str">
        <f t="shared" si="37"/>
        <v>IZ61</v>
      </c>
      <c r="M175" t="str">
        <f t="shared" si="47"/>
        <v/>
      </c>
      <c r="N175" t="str">
        <f t="shared" si="48"/>
        <v/>
      </c>
      <c r="O175" t="str">
        <f t="shared" si="49"/>
        <v/>
      </c>
      <c r="P175" s="113" t="str">
        <f t="shared" si="38"/>
        <v>IZ61</v>
      </c>
      <c r="Q175" s="114">
        <f t="shared" si="39"/>
        <v>121</v>
      </c>
      <c r="R175" s="114">
        <f t="shared" si="40"/>
        <v>120.33333333333333</v>
      </c>
      <c r="S175" s="113">
        <f t="shared" si="41"/>
        <v>119</v>
      </c>
      <c r="T175" s="111">
        <f t="shared" ca="1" si="42"/>
        <v>4.78</v>
      </c>
      <c r="U175" s="111" t="str">
        <f t="shared" si="43"/>
        <v/>
      </c>
      <c r="V175" t="str">
        <f t="array" ref="V175">INDEX(P:P,MAX(U$3:U175))</f>
        <v>IZ#2DTR</v>
      </c>
      <c r="W175" t="str">
        <f t="shared" ca="1" si="44"/>
        <v/>
      </c>
      <c r="X175">
        <f t="shared" si="45"/>
        <v>22.8</v>
      </c>
      <c r="Y175">
        <f t="shared" si="46"/>
        <v>121</v>
      </c>
      <c r="Z175" t="str">
        <f t="shared" si="50"/>
        <v>全興</v>
      </c>
    </row>
    <row r="176" spans="1:26" x14ac:dyDescent="0.25">
      <c r="A176" s="118" t="s">
        <v>350</v>
      </c>
      <c r="B176" s="119" t="s">
        <v>362</v>
      </c>
      <c r="C176" s="119">
        <v>78</v>
      </c>
      <c r="D176" s="118" t="s">
        <v>179</v>
      </c>
      <c r="E176" s="118">
        <v>77</v>
      </c>
      <c r="F176" s="118" t="s">
        <v>179</v>
      </c>
      <c r="G176" s="118">
        <v>80</v>
      </c>
      <c r="H176" s="118" t="s">
        <v>179</v>
      </c>
      <c r="I176" s="378">
        <v>80</v>
      </c>
      <c r="J176" s="117">
        <v>0</v>
      </c>
      <c r="K176" s="117" t="s">
        <v>194</v>
      </c>
      <c r="L176" t="str">
        <f t="shared" si="37"/>
        <v>IZ62</v>
      </c>
      <c r="M176" t="str">
        <f t="shared" si="47"/>
        <v/>
      </c>
      <c r="N176" t="str">
        <f t="shared" si="48"/>
        <v/>
      </c>
      <c r="O176" t="str">
        <f t="shared" si="49"/>
        <v/>
      </c>
      <c r="P176" s="113" t="str">
        <f t="shared" si="38"/>
        <v>IZ62</v>
      </c>
      <c r="Q176" s="114">
        <f t="shared" si="39"/>
        <v>80</v>
      </c>
      <c r="R176" s="114">
        <f t="shared" si="40"/>
        <v>78.333333333333329</v>
      </c>
      <c r="S176" s="113">
        <f t="shared" si="41"/>
        <v>77</v>
      </c>
      <c r="T176" s="111">
        <f t="shared" ca="1" si="42"/>
        <v>3.16</v>
      </c>
      <c r="U176" s="111" t="str">
        <f t="shared" si="43"/>
        <v/>
      </c>
      <c r="V176" t="str">
        <f t="array" ref="V176">INDEX(P:P,MAX(U$3:U176))</f>
        <v>IZ#2DTR</v>
      </c>
      <c r="W176" t="str">
        <f t="shared" ca="1" si="44"/>
        <v/>
      </c>
      <c r="X176">
        <f t="shared" si="45"/>
        <v>22.8</v>
      </c>
      <c r="Y176">
        <f t="shared" si="46"/>
        <v>80</v>
      </c>
      <c r="Z176" t="str">
        <f t="shared" si="50"/>
        <v>全興</v>
      </c>
    </row>
    <row r="177" spans="1:26" x14ac:dyDescent="0.25">
      <c r="A177" s="118" t="s">
        <v>350</v>
      </c>
      <c r="B177" s="119" t="s">
        <v>363</v>
      </c>
      <c r="C177" s="119">
        <v>111</v>
      </c>
      <c r="D177" s="118" t="s">
        <v>200</v>
      </c>
      <c r="E177" s="118">
        <v>114</v>
      </c>
      <c r="F177" s="118" t="s">
        <v>200</v>
      </c>
      <c r="G177" s="118">
        <v>116</v>
      </c>
      <c r="H177" s="118" t="s">
        <v>200</v>
      </c>
      <c r="I177" s="378">
        <v>116</v>
      </c>
      <c r="J177" s="117">
        <v>5</v>
      </c>
      <c r="K177" s="117" t="s">
        <v>180</v>
      </c>
      <c r="L177" t="str">
        <f t="shared" si="37"/>
        <v>IZ63</v>
      </c>
      <c r="M177" t="str">
        <f t="shared" si="47"/>
        <v/>
      </c>
      <c r="N177" t="str">
        <f t="shared" si="48"/>
        <v/>
      </c>
      <c r="O177" t="str">
        <f t="shared" si="49"/>
        <v/>
      </c>
      <c r="P177" s="113" t="str">
        <f t="shared" si="38"/>
        <v>IZ63</v>
      </c>
      <c r="Q177" s="114">
        <f t="shared" si="39"/>
        <v>116</v>
      </c>
      <c r="R177" s="114">
        <f t="shared" si="40"/>
        <v>113.66666666666667</v>
      </c>
      <c r="S177" s="113">
        <f t="shared" si="41"/>
        <v>111</v>
      </c>
      <c r="T177" s="111">
        <f t="shared" ca="1" si="42"/>
        <v>4.58</v>
      </c>
      <c r="U177" s="111" t="str">
        <f t="shared" si="43"/>
        <v/>
      </c>
      <c r="V177" t="str">
        <f t="array" ref="V177">INDEX(P:P,MAX(U$3:U177))</f>
        <v>IZ#2DTR</v>
      </c>
      <c r="W177" t="str">
        <f t="shared" ca="1" si="44"/>
        <v/>
      </c>
      <c r="X177">
        <f t="shared" si="45"/>
        <v>22.8</v>
      </c>
      <c r="Y177">
        <f t="shared" si="46"/>
        <v>116</v>
      </c>
      <c r="Z177" t="str">
        <f t="shared" si="50"/>
        <v>全興</v>
      </c>
    </row>
    <row r="178" spans="1:26" x14ac:dyDescent="0.25">
      <c r="A178" s="118" t="s">
        <v>350</v>
      </c>
      <c r="B178" s="119" t="s">
        <v>364</v>
      </c>
      <c r="C178" s="119">
        <v>27</v>
      </c>
      <c r="D178" s="118" t="s">
        <v>200</v>
      </c>
      <c r="E178" s="118">
        <v>25</v>
      </c>
      <c r="F178" s="118" t="s">
        <v>200</v>
      </c>
      <c r="G178" s="118">
        <v>27</v>
      </c>
      <c r="H178" s="118" t="s">
        <v>200</v>
      </c>
      <c r="I178" s="378">
        <v>27</v>
      </c>
      <c r="J178" s="117">
        <v>3</v>
      </c>
      <c r="K178" s="117" t="s">
        <v>180</v>
      </c>
      <c r="L178" t="str">
        <f t="shared" si="37"/>
        <v>IZ64</v>
      </c>
      <c r="M178" t="str">
        <f t="shared" si="47"/>
        <v/>
      </c>
      <c r="N178" t="str">
        <f t="shared" si="48"/>
        <v/>
      </c>
      <c r="O178" t="str">
        <f t="shared" si="49"/>
        <v/>
      </c>
      <c r="P178" s="113" t="str">
        <f t="shared" si="38"/>
        <v>IZ64</v>
      </c>
      <c r="Q178" s="114">
        <f t="shared" si="39"/>
        <v>27</v>
      </c>
      <c r="R178" s="114">
        <f t="shared" si="40"/>
        <v>26.333333333333332</v>
      </c>
      <c r="S178" s="113">
        <f t="shared" si="41"/>
        <v>25</v>
      </c>
      <c r="T178" s="111">
        <f t="shared" ca="1" si="42"/>
        <v>1.07</v>
      </c>
      <c r="U178" s="111" t="str">
        <f t="shared" si="43"/>
        <v/>
      </c>
      <c r="V178" t="str">
        <f t="array" ref="V178">INDEX(P:P,MAX(U$3:U178))</f>
        <v>IZ#2DTR</v>
      </c>
      <c r="W178" t="str">
        <f t="shared" ca="1" si="44"/>
        <v/>
      </c>
      <c r="X178">
        <f t="shared" si="45"/>
        <v>22.8</v>
      </c>
      <c r="Y178">
        <f t="shared" si="46"/>
        <v>27</v>
      </c>
      <c r="Z178" t="str">
        <f t="shared" si="50"/>
        <v>全興</v>
      </c>
    </row>
    <row r="179" spans="1:26" x14ac:dyDescent="0.25">
      <c r="A179" s="118" t="s">
        <v>350</v>
      </c>
      <c r="B179" s="119" t="s">
        <v>365</v>
      </c>
      <c r="C179" s="119">
        <v>48</v>
      </c>
      <c r="D179" s="118" t="s">
        <v>179</v>
      </c>
      <c r="E179" s="118">
        <v>48</v>
      </c>
      <c r="F179" s="118" t="s">
        <v>179</v>
      </c>
      <c r="G179" s="118">
        <v>48</v>
      </c>
      <c r="H179" s="118" t="s">
        <v>179</v>
      </c>
      <c r="I179" s="378">
        <v>48</v>
      </c>
      <c r="J179" s="117">
        <v>0</v>
      </c>
      <c r="K179" s="117" t="s">
        <v>194</v>
      </c>
      <c r="L179" t="str">
        <f t="shared" si="37"/>
        <v>IZ65</v>
      </c>
      <c r="M179" t="str">
        <f t="shared" si="47"/>
        <v/>
      </c>
      <c r="N179" t="str">
        <f t="shared" si="48"/>
        <v/>
      </c>
      <c r="O179" t="str">
        <f t="shared" si="49"/>
        <v/>
      </c>
      <c r="P179" s="113" t="str">
        <f t="shared" si="38"/>
        <v>IZ65</v>
      </c>
      <c r="Q179" s="114">
        <f t="shared" si="39"/>
        <v>48</v>
      </c>
      <c r="R179" s="114">
        <f t="shared" si="40"/>
        <v>48</v>
      </c>
      <c r="S179" s="113">
        <f t="shared" si="41"/>
        <v>48</v>
      </c>
      <c r="T179" s="111">
        <f t="shared" ca="1" si="42"/>
        <v>1.9</v>
      </c>
      <c r="U179" s="111" t="str">
        <f t="shared" si="43"/>
        <v/>
      </c>
      <c r="V179" t="str">
        <f t="array" ref="V179">INDEX(P:P,MAX(U$3:U179))</f>
        <v>IZ#2DTR</v>
      </c>
      <c r="W179" t="str">
        <f t="shared" ca="1" si="44"/>
        <v/>
      </c>
      <c r="X179">
        <f t="shared" si="45"/>
        <v>22.8</v>
      </c>
      <c r="Y179">
        <f t="shared" si="46"/>
        <v>48</v>
      </c>
      <c r="Z179" t="str">
        <f t="shared" si="50"/>
        <v>全興</v>
      </c>
    </row>
    <row r="180" spans="1:26" x14ac:dyDescent="0.25">
      <c r="A180" s="118" t="s">
        <v>350</v>
      </c>
      <c r="B180" s="119" t="s">
        <v>366</v>
      </c>
      <c r="C180" s="119">
        <v>98</v>
      </c>
      <c r="D180" s="118" t="s">
        <v>198</v>
      </c>
      <c r="E180" s="118">
        <v>94</v>
      </c>
      <c r="F180" s="118" t="s">
        <v>198</v>
      </c>
      <c r="G180" s="118">
        <v>97</v>
      </c>
      <c r="H180" s="118" t="s">
        <v>198</v>
      </c>
      <c r="I180" s="378">
        <v>98</v>
      </c>
      <c r="J180" s="117">
        <v>4</v>
      </c>
      <c r="K180" s="117" t="s">
        <v>205</v>
      </c>
      <c r="L180" t="str">
        <f t="shared" si="37"/>
        <v>IZ66</v>
      </c>
      <c r="M180" t="str">
        <f t="shared" si="47"/>
        <v/>
      </c>
      <c r="N180" t="str">
        <f t="shared" si="48"/>
        <v/>
      </c>
      <c r="O180" t="str">
        <f t="shared" si="49"/>
        <v/>
      </c>
      <c r="P180" s="113" t="str">
        <f t="shared" si="38"/>
        <v>IZ66</v>
      </c>
      <c r="Q180" s="114">
        <f t="shared" si="39"/>
        <v>98</v>
      </c>
      <c r="R180" s="114">
        <f t="shared" si="40"/>
        <v>96.333333333333329</v>
      </c>
      <c r="S180" s="113">
        <f t="shared" si="41"/>
        <v>94</v>
      </c>
      <c r="T180" s="111">
        <f t="shared" ca="1" si="42"/>
        <v>3.87</v>
      </c>
      <c r="U180" s="111" t="str">
        <f t="shared" si="43"/>
        <v/>
      </c>
      <c r="V180" t="str">
        <f t="array" ref="V180">INDEX(P:P,MAX(U$3:U180))</f>
        <v>IZ#2DTR</v>
      </c>
      <c r="W180" t="str">
        <f t="shared" ca="1" si="44"/>
        <v/>
      </c>
      <c r="X180">
        <f t="shared" si="45"/>
        <v>22.8</v>
      </c>
      <c r="Y180">
        <f t="shared" si="46"/>
        <v>98</v>
      </c>
      <c r="Z180" t="str">
        <f t="shared" si="50"/>
        <v>全興</v>
      </c>
    </row>
    <row r="181" spans="1:26" x14ac:dyDescent="0.25">
      <c r="A181" s="118" t="s">
        <v>350</v>
      </c>
      <c r="B181" s="119" t="s">
        <v>367</v>
      </c>
      <c r="C181" s="119">
        <v>0</v>
      </c>
      <c r="D181" s="118" t="s">
        <v>194</v>
      </c>
      <c r="E181" s="118">
        <v>0</v>
      </c>
      <c r="F181" s="118" t="s">
        <v>194</v>
      </c>
      <c r="G181" s="118">
        <v>0</v>
      </c>
      <c r="H181" s="118" t="s">
        <v>194</v>
      </c>
      <c r="I181" s="378">
        <v>0</v>
      </c>
      <c r="J181" s="117">
        <v>0</v>
      </c>
      <c r="K181" s="117" t="s">
        <v>194</v>
      </c>
      <c r="L181" t="str">
        <f t="shared" si="37"/>
        <v>IZ67</v>
      </c>
      <c r="M181" t="str">
        <f t="shared" si="47"/>
        <v/>
      </c>
      <c r="N181" t="str">
        <f t="shared" si="48"/>
        <v/>
      </c>
      <c r="O181" t="str">
        <f t="shared" si="49"/>
        <v/>
      </c>
      <c r="P181" s="113" t="str">
        <f t="shared" si="38"/>
        <v>IZ67</v>
      </c>
      <c r="Q181" s="114">
        <f t="shared" si="39"/>
        <v>0</v>
      </c>
      <c r="R181" s="114">
        <f t="shared" si="40"/>
        <v>0</v>
      </c>
      <c r="S181" s="113">
        <f t="shared" si="41"/>
        <v>0</v>
      </c>
      <c r="T181" s="111">
        <f t="shared" ca="1" si="42"/>
        <v>0</v>
      </c>
      <c r="U181" s="111" t="str">
        <f t="shared" si="43"/>
        <v/>
      </c>
      <c r="V181" t="str">
        <f t="array" ref="V181">INDEX(P:P,MAX(U$3:U181))</f>
        <v>IZ#2DTR</v>
      </c>
      <c r="W181" t="str">
        <f t="shared" ca="1" si="44"/>
        <v/>
      </c>
      <c r="X181">
        <f t="shared" si="45"/>
        <v>22.8</v>
      </c>
      <c r="Y181">
        <f t="shared" si="46"/>
        <v>0</v>
      </c>
      <c r="Z181" t="str">
        <f t="shared" si="50"/>
        <v>全興</v>
      </c>
    </row>
    <row r="182" spans="1:26" x14ac:dyDescent="0.25">
      <c r="A182" s="118" t="s">
        <v>350</v>
      </c>
      <c r="B182" s="119" t="s">
        <v>368</v>
      </c>
      <c r="C182" s="119">
        <v>0</v>
      </c>
      <c r="D182" s="118" t="s">
        <v>194</v>
      </c>
      <c r="E182" s="118">
        <v>0</v>
      </c>
      <c r="F182" s="118" t="s">
        <v>194</v>
      </c>
      <c r="G182" s="118">
        <v>0</v>
      </c>
      <c r="H182" s="118" t="s">
        <v>194</v>
      </c>
      <c r="I182" s="378">
        <v>0</v>
      </c>
      <c r="J182" s="117">
        <v>0</v>
      </c>
      <c r="K182" s="117" t="s">
        <v>194</v>
      </c>
      <c r="L182" t="str">
        <f t="shared" si="37"/>
        <v>IZ68</v>
      </c>
      <c r="M182" t="str">
        <f t="shared" si="47"/>
        <v/>
      </c>
      <c r="N182" t="str">
        <f t="shared" si="48"/>
        <v/>
      </c>
      <c r="O182" t="str">
        <f t="shared" si="49"/>
        <v/>
      </c>
      <c r="P182" s="113" t="str">
        <f t="shared" si="38"/>
        <v>IZ68</v>
      </c>
      <c r="Q182" s="114">
        <f t="shared" si="39"/>
        <v>0</v>
      </c>
      <c r="R182" s="114">
        <f t="shared" si="40"/>
        <v>0</v>
      </c>
      <c r="S182" s="113">
        <f t="shared" si="41"/>
        <v>0</v>
      </c>
      <c r="T182" s="111">
        <f t="shared" ca="1" si="42"/>
        <v>0</v>
      </c>
      <c r="U182" s="111" t="str">
        <f t="shared" si="43"/>
        <v/>
      </c>
      <c r="V182" t="str">
        <f t="array" ref="V182">INDEX(P:P,MAX(U$3:U182))</f>
        <v>IZ#2DTR</v>
      </c>
      <c r="W182" t="str">
        <f t="shared" ca="1" si="44"/>
        <v/>
      </c>
      <c r="X182">
        <f t="shared" si="45"/>
        <v>22.8</v>
      </c>
      <c r="Y182">
        <f t="shared" si="46"/>
        <v>0</v>
      </c>
      <c r="Z182" t="str">
        <f t="shared" si="50"/>
        <v>全興</v>
      </c>
    </row>
    <row r="183" spans="1:26" x14ac:dyDescent="0.25">
      <c r="A183" s="118" t="s">
        <v>350</v>
      </c>
      <c r="B183" s="119" t="s">
        <v>369</v>
      </c>
      <c r="C183" s="119">
        <v>281</v>
      </c>
      <c r="D183" s="118" t="s">
        <v>177</v>
      </c>
      <c r="E183" s="118">
        <v>291</v>
      </c>
      <c r="F183" s="118" t="s">
        <v>179</v>
      </c>
      <c r="G183" s="118">
        <v>304</v>
      </c>
      <c r="H183" s="118" t="s">
        <v>179</v>
      </c>
      <c r="I183" s="378">
        <v>304</v>
      </c>
      <c r="J183" s="117"/>
      <c r="K183" s="117"/>
      <c r="L183" t="str">
        <f t="shared" si="37"/>
        <v>IZ#3DTR(A)</v>
      </c>
      <c r="M183" t="str">
        <f t="shared" si="47"/>
        <v>(A)</v>
      </c>
      <c r="N183" t="str">
        <f t="shared" si="48"/>
        <v>IZ#3DTR</v>
      </c>
      <c r="O183" t="str">
        <f t="shared" si="49"/>
        <v>(A)</v>
      </c>
      <c r="P183" s="113" t="str">
        <f t="shared" si="38"/>
        <v>IZ#3DTR(A)</v>
      </c>
      <c r="Q183" s="114">
        <f t="shared" si="39"/>
        <v>304</v>
      </c>
      <c r="R183" s="114">
        <f t="shared" si="40"/>
        <v>292</v>
      </c>
      <c r="S183" s="113">
        <f t="shared" si="41"/>
        <v>281</v>
      </c>
      <c r="T183" s="111">
        <f t="shared" ca="1" si="42"/>
        <v>6</v>
      </c>
      <c r="U183" s="111">
        <f t="shared" si="43"/>
        <v>183</v>
      </c>
      <c r="V183" t="str">
        <f t="array" ref="V183">INDEX(P:P,MAX(U$3:U183))</f>
        <v>IZ#3DTR(A)</v>
      </c>
      <c r="W183">
        <f t="shared" ca="1" si="44"/>
        <v>30</v>
      </c>
      <c r="X183" t="str">
        <f t="shared" si="45"/>
        <v/>
      </c>
      <c r="Y183">
        <f t="shared" si="46"/>
        <v>304</v>
      </c>
      <c r="Z183" t="str">
        <f t="shared" si="50"/>
        <v>全興</v>
      </c>
    </row>
    <row r="184" spans="1:26" x14ac:dyDescent="0.25">
      <c r="A184" s="118" t="s">
        <v>350</v>
      </c>
      <c r="B184" s="119" t="s">
        <v>370</v>
      </c>
      <c r="C184" s="119">
        <v>17</v>
      </c>
      <c r="D184" s="118" t="s">
        <v>192</v>
      </c>
      <c r="E184" s="118">
        <v>15</v>
      </c>
      <c r="F184" s="118" t="s">
        <v>180</v>
      </c>
      <c r="G184" s="118">
        <v>20</v>
      </c>
      <c r="H184" s="118" t="s">
        <v>196</v>
      </c>
      <c r="I184" s="378">
        <v>20</v>
      </c>
      <c r="J184" s="117">
        <v>15</v>
      </c>
      <c r="K184" s="117" t="s">
        <v>229</v>
      </c>
      <c r="L184" t="str">
        <f t="shared" si="37"/>
        <v>IZ23</v>
      </c>
      <c r="M184" t="str">
        <f t="shared" si="47"/>
        <v/>
      </c>
      <c r="N184" t="str">
        <f t="shared" si="48"/>
        <v/>
      </c>
      <c r="O184" t="str">
        <f t="shared" si="49"/>
        <v/>
      </c>
      <c r="P184" s="113" t="str">
        <f t="shared" si="38"/>
        <v>IZ23</v>
      </c>
      <c r="Q184" s="114">
        <f t="shared" si="39"/>
        <v>20</v>
      </c>
      <c r="R184" s="114">
        <f t="shared" si="40"/>
        <v>17.333333333333332</v>
      </c>
      <c r="S184" s="113">
        <f t="shared" si="41"/>
        <v>15</v>
      </c>
      <c r="T184" s="111">
        <f t="shared" ca="1" si="42"/>
        <v>0.39</v>
      </c>
      <c r="U184" s="111" t="str">
        <f t="shared" si="43"/>
        <v/>
      </c>
      <c r="V184" t="str">
        <f t="array" ref="V184">INDEX(P:P,MAX(U$3:U184))</f>
        <v>IZ#3DTR(A)</v>
      </c>
      <c r="W184" t="str">
        <f t="shared" ca="1" si="44"/>
        <v/>
      </c>
      <c r="X184">
        <f t="shared" si="45"/>
        <v>11.4</v>
      </c>
      <c r="Y184">
        <f t="shared" si="46"/>
        <v>20</v>
      </c>
      <c r="Z184" t="str">
        <f t="shared" si="50"/>
        <v>全興</v>
      </c>
    </row>
    <row r="185" spans="1:26" x14ac:dyDescent="0.25">
      <c r="A185" s="118" t="s">
        <v>350</v>
      </c>
      <c r="B185" s="119" t="s">
        <v>371</v>
      </c>
      <c r="C185" s="119">
        <v>213</v>
      </c>
      <c r="D185" s="118" t="s">
        <v>179</v>
      </c>
      <c r="E185" s="118">
        <v>196</v>
      </c>
      <c r="F185" s="118" t="s">
        <v>177</v>
      </c>
      <c r="G185" s="118">
        <v>196</v>
      </c>
      <c r="H185" s="118" t="s">
        <v>179</v>
      </c>
      <c r="I185" s="378">
        <v>213</v>
      </c>
      <c r="J185" s="117">
        <v>42</v>
      </c>
      <c r="K185" s="117" t="s">
        <v>184</v>
      </c>
      <c r="L185" t="str">
        <f t="shared" si="37"/>
        <v>IZ22</v>
      </c>
      <c r="M185" t="str">
        <f t="shared" si="47"/>
        <v/>
      </c>
      <c r="N185" t="str">
        <f t="shared" si="48"/>
        <v/>
      </c>
      <c r="O185" t="str">
        <f t="shared" si="49"/>
        <v/>
      </c>
      <c r="P185" s="113" t="str">
        <f t="shared" si="38"/>
        <v>IZ22</v>
      </c>
      <c r="Q185" s="114">
        <f t="shared" si="39"/>
        <v>213</v>
      </c>
      <c r="R185" s="114">
        <f t="shared" si="40"/>
        <v>201.66666666666666</v>
      </c>
      <c r="S185" s="113">
        <f t="shared" si="41"/>
        <v>196</v>
      </c>
      <c r="T185" s="111">
        <f t="shared" ca="1" si="42"/>
        <v>4.21</v>
      </c>
      <c r="U185" s="111" t="str">
        <f t="shared" si="43"/>
        <v/>
      </c>
      <c r="V185" t="str">
        <f t="array" ref="V185">INDEX(P:P,MAX(U$3:U185))</f>
        <v>IZ#3DTR(A)</v>
      </c>
      <c r="W185" t="str">
        <f t="shared" ca="1" si="44"/>
        <v/>
      </c>
      <c r="X185">
        <f t="shared" si="45"/>
        <v>11.4</v>
      </c>
      <c r="Y185">
        <f t="shared" si="46"/>
        <v>213</v>
      </c>
      <c r="Z185" t="str">
        <f t="shared" si="50"/>
        <v>全興</v>
      </c>
    </row>
    <row r="186" spans="1:26" x14ac:dyDescent="0.25">
      <c r="A186" s="118" t="s">
        <v>350</v>
      </c>
      <c r="B186" s="119" t="s">
        <v>372</v>
      </c>
      <c r="C186" s="119">
        <v>72</v>
      </c>
      <c r="D186" s="118" t="s">
        <v>177</v>
      </c>
      <c r="E186" s="118">
        <v>70</v>
      </c>
      <c r="F186" s="118" t="s">
        <v>196</v>
      </c>
      <c r="G186" s="118">
        <v>101</v>
      </c>
      <c r="H186" s="118" t="s">
        <v>188</v>
      </c>
      <c r="I186" s="378">
        <v>101</v>
      </c>
      <c r="J186" s="117">
        <v>41</v>
      </c>
      <c r="K186" s="117" t="s">
        <v>188</v>
      </c>
      <c r="L186" t="str">
        <f t="shared" si="37"/>
        <v>IZ21</v>
      </c>
      <c r="M186" t="str">
        <f t="shared" si="47"/>
        <v/>
      </c>
      <c r="N186" t="str">
        <f t="shared" si="48"/>
        <v/>
      </c>
      <c r="O186" t="str">
        <f t="shared" si="49"/>
        <v/>
      </c>
      <c r="P186" s="113" t="str">
        <f t="shared" si="38"/>
        <v>IZ21</v>
      </c>
      <c r="Q186" s="114">
        <f t="shared" si="39"/>
        <v>101</v>
      </c>
      <c r="R186" s="114">
        <f t="shared" si="40"/>
        <v>81</v>
      </c>
      <c r="S186" s="113">
        <f t="shared" si="41"/>
        <v>70</v>
      </c>
      <c r="T186" s="111">
        <f t="shared" ca="1" si="42"/>
        <v>1.99</v>
      </c>
      <c r="U186" s="111" t="str">
        <f t="shared" si="43"/>
        <v/>
      </c>
      <c r="V186" t="str">
        <f t="array" ref="V186">INDEX(P:P,MAX(U$3:U186))</f>
        <v>IZ#3DTR(A)</v>
      </c>
      <c r="W186" t="str">
        <f t="shared" ca="1" si="44"/>
        <v/>
      </c>
      <c r="X186">
        <f t="shared" si="45"/>
        <v>11.4</v>
      </c>
      <c r="Y186">
        <f t="shared" si="46"/>
        <v>101</v>
      </c>
      <c r="Z186" t="str">
        <f t="shared" si="50"/>
        <v>全興</v>
      </c>
    </row>
    <row r="187" spans="1:26" x14ac:dyDescent="0.25">
      <c r="A187" s="118" t="s">
        <v>350</v>
      </c>
      <c r="B187" s="119" t="s">
        <v>373</v>
      </c>
      <c r="C187" s="119">
        <v>414</v>
      </c>
      <c r="D187" s="118" t="s">
        <v>179</v>
      </c>
      <c r="E187" s="118">
        <v>371</v>
      </c>
      <c r="F187" s="118" t="s">
        <v>198</v>
      </c>
      <c r="G187" s="118">
        <v>417</v>
      </c>
      <c r="H187" s="118" t="s">
        <v>198</v>
      </c>
      <c r="I187" s="378">
        <v>417</v>
      </c>
      <c r="J187" s="117"/>
      <c r="K187" s="117"/>
      <c r="L187" t="str">
        <f t="shared" si="37"/>
        <v>IZ#3DTR(B)</v>
      </c>
      <c r="M187" t="str">
        <f t="shared" si="47"/>
        <v>(B)</v>
      </c>
      <c r="N187" t="str">
        <f t="shared" si="48"/>
        <v>IZ#3DTR</v>
      </c>
      <c r="O187" t="str">
        <f t="shared" si="49"/>
        <v>(B)</v>
      </c>
      <c r="P187" s="113" t="str">
        <f t="shared" si="38"/>
        <v>IZ#3DTR(B)</v>
      </c>
      <c r="Q187" s="114">
        <f t="shared" si="39"/>
        <v>417</v>
      </c>
      <c r="R187" s="114">
        <f t="shared" si="40"/>
        <v>400.66666666666669</v>
      </c>
      <c r="S187" s="113">
        <f t="shared" si="41"/>
        <v>371</v>
      </c>
      <c r="T187" s="111">
        <f t="shared" ca="1" si="42"/>
        <v>8.23</v>
      </c>
      <c r="U187" s="111">
        <f t="shared" si="43"/>
        <v>187</v>
      </c>
      <c r="V187" t="str">
        <f t="array" ref="V187">INDEX(P:P,MAX(U$3:U187))</f>
        <v>IZ#3DTR(B)</v>
      </c>
      <c r="W187">
        <f t="shared" ca="1" si="44"/>
        <v>30</v>
      </c>
      <c r="X187" t="str">
        <f t="shared" si="45"/>
        <v/>
      </c>
      <c r="Y187">
        <f t="shared" si="46"/>
        <v>417</v>
      </c>
      <c r="Z187" t="str">
        <f t="shared" si="50"/>
        <v>全興</v>
      </c>
    </row>
    <row r="188" spans="1:26" x14ac:dyDescent="0.25">
      <c r="A188" s="118" t="s">
        <v>350</v>
      </c>
      <c r="B188" s="119" t="s">
        <v>374</v>
      </c>
      <c r="C188" s="119">
        <v>181</v>
      </c>
      <c r="D188" s="118" t="s">
        <v>176</v>
      </c>
      <c r="E188" s="118">
        <v>137</v>
      </c>
      <c r="F188" s="118" t="s">
        <v>177</v>
      </c>
      <c r="G188" s="118">
        <v>176</v>
      </c>
      <c r="H188" s="118" t="s">
        <v>198</v>
      </c>
      <c r="I188" s="378">
        <v>181</v>
      </c>
      <c r="J188" s="117">
        <v>87</v>
      </c>
      <c r="K188" s="117" t="s">
        <v>183</v>
      </c>
      <c r="L188" t="str">
        <f t="shared" si="37"/>
        <v>IZ26</v>
      </c>
      <c r="M188" t="str">
        <f t="shared" si="47"/>
        <v/>
      </c>
      <c r="N188" t="str">
        <f t="shared" si="48"/>
        <v/>
      </c>
      <c r="O188" t="str">
        <f t="shared" si="49"/>
        <v/>
      </c>
      <c r="P188" s="113" t="str">
        <f t="shared" si="38"/>
        <v>IZ26</v>
      </c>
      <c r="Q188" s="114">
        <f t="shared" si="39"/>
        <v>181</v>
      </c>
      <c r="R188" s="114">
        <f t="shared" si="40"/>
        <v>164.66666666666666</v>
      </c>
      <c r="S188" s="113">
        <f t="shared" si="41"/>
        <v>137</v>
      </c>
      <c r="T188" s="111">
        <f t="shared" ca="1" si="42"/>
        <v>3.57</v>
      </c>
      <c r="U188" s="111" t="str">
        <f t="shared" si="43"/>
        <v/>
      </c>
      <c r="V188" t="str">
        <f t="array" ref="V188">INDEX(P:P,MAX(U$3:U188))</f>
        <v>IZ#3DTR(B)</v>
      </c>
      <c r="W188" t="str">
        <f t="shared" ca="1" si="44"/>
        <v/>
      </c>
      <c r="X188">
        <f t="shared" si="45"/>
        <v>11.4</v>
      </c>
      <c r="Y188">
        <f t="shared" si="46"/>
        <v>181</v>
      </c>
      <c r="Z188" t="str">
        <f t="shared" si="50"/>
        <v>全興</v>
      </c>
    </row>
    <row r="189" spans="1:26" x14ac:dyDescent="0.25">
      <c r="A189" s="118" t="s">
        <v>350</v>
      </c>
      <c r="B189" s="119" t="s">
        <v>375</v>
      </c>
      <c r="C189" s="119">
        <v>92</v>
      </c>
      <c r="D189" s="118" t="s">
        <v>188</v>
      </c>
      <c r="E189" s="118">
        <v>59</v>
      </c>
      <c r="F189" s="118" t="s">
        <v>376</v>
      </c>
      <c r="G189" s="118">
        <v>52</v>
      </c>
      <c r="H189" s="118" t="s">
        <v>203</v>
      </c>
      <c r="I189" s="378">
        <v>92</v>
      </c>
      <c r="J189" s="117">
        <v>44</v>
      </c>
      <c r="K189" s="117" t="s">
        <v>188</v>
      </c>
      <c r="L189" t="str">
        <f t="shared" si="37"/>
        <v>IZ25</v>
      </c>
      <c r="M189" t="str">
        <f t="shared" si="47"/>
        <v/>
      </c>
      <c r="N189" t="str">
        <f t="shared" si="48"/>
        <v/>
      </c>
      <c r="O189" t="str">
        <f t="shared" si="49"/>
        <v/>
      </c>
      <c r="P189" s="113" t="str">
        <f t="shared" si="38"/>
        <v>IZ25</v>
      </c>
      <c r="Q189" s="114">
        <f t="shared" si="39"/>
        <v>92</v>
      </c>
      <c r="R189" s="114">
        <f t="shared" si="40"/>
        <v>67.666666666666671</v>
      </c>
      <c r="S189" s="113">
        <f t="shared" si="41"/>
        <v>52</v>
      </c>
      <c r="T189" s="111">
        <f t="shared" ca="1" si="42"/>
        <v>1.82</v>
      </c>
      <c r="U189" s="111" t="str">
        <f t="shared" si="43"/>
        <v/>
      </c>
      <c r="V189" t="str">
        <f t="array" ref="V189">INDEX(P:P,MAX(U$3:U189))</f>
        <v>IZ#3DTR(B)</v>
      </c>
      <c r="W189" t="str">
        <f t="shared" ca="1" si="44"/>
        <v/>
      </c>
      <c r="X189">
        <f t="shared" si="45"/>
        <v>11.4</v>
      </c>
      <c r="Y189">
        <f t="shared" si="46"/>
        <v>92</v>
      </c>
      <c r="Z189" t="str">
        <f t="shared" si="50"/>
        <v>全興</v>
      </c>
    </row>
    <row r="190" spans="1:26" x14ac:dyDescent="0.25">
      <c r="A190" s="118" t="s">
        <v>350</v>
      </c>
      <c r="B190" s="119" t="s">
        <v>377</v>
      </c>
      <c r="C190" s="119">
        <v>170</v>
      </c>
      <c r="D190" s="118" t="s">
        <v>198</v>
      </c>
      <c r="E190" s="118">
        <v>194</v>
      </c>
      <c r="F190" s="118" t="s">
        <v>192</v>
      </c>
      <c r="G190" s="118">
        <v>188</v>
      </c>
      <c r="H190" s="118" t="s">
        <v>198</v>
      </c>
      <c r="I190" s="378">
        <v>194</v>
      </c>
      <c r="J190" s="117">
        <v>49</v>
      </c>
      <c r="K190" s="117" t="s">
        <v>192</v>
      </c>
      <c r="L190" t="str">
        <f t="shared" si="37"/>
        <v>IZ24</v>
      </c>
      <c r="M190" t="str">
        <f t="shared" si="47"/>
        <v/>
      </c>
      <c r="N190" t="str">
        <f t="shared" si="48"/>
        <v/>
      </c>
      <c r="O190" t="str">
        <f t="shared" si="49"/>
        <v/>
      </c>
      <c r="P190" s="113" t="str">
        <f t="shared" si="38"/>
        <v>IZ24</v>
      </c>
      <c r="Q190" s="114">
        <f t="shared" si="39"/>
        <v>194</v>
      </c>
      <c r="R190" s="114">
        <f t="shared" si="40"/>
        <v>184</v>
      </c>
      <c r="S190" s="113">
        <f t="shared" si="41"/>
        <v>170</v>
      </c>
      <c r="T190" s="111">
        <f t="shared" ca="1" si="42"/>
        <v>3.83</v>
      </c>
      <c r="U190" s="111" t="str">
        <f t="shared" si="43"/>
        <v/>
      </c>
      <c r="V190" t="str">
        <f t="array" ref="V190">INDEX(P:P,MAX(U$3:U190))</f>
        <v>IZ#3DTR(B)</v>
      </c>
      <c r="W190" t="str">
        <f t="shared" ca="1" si="44"/>
        <v/>
      </c>
      <c r="X190">
        <f t="shared" si="45"/>
        <v>11.4</v>
      </c>
      <c r="Y190">
        <f t="shared" si="46"/>
        <v>194</v>
      </c>
      <c r="Z190" t="str">
        <f t="shared" si="50"/>
        <v>全興</v>
      </c>
    </row>
    <row r="191" spans="1:26" x14ac:dyDescent="0.25">
      <c r="A191" s="118" t="s">
        <v>378</v>
      </c>
      <c r="B191" s="119" t="s">
        <v>175</v>
      </c>
      <c r="C191" s="119">
        <v>187</v>
      </c>
      <c r="D191" s="118" t="s">
        <v>229</v>
      </c>
      <c r="E191" s="118">
        <v>186</v>
      </c>
      <c r="F191" s="118" t="s">
        <v>198</v>
      </c>
      <c r="G191" s="118">
        <v>187</v>
      </c>
      <c r="H191" s="118" t="s">
        <v>198</v>
      </c>
      <c r="I191" s="378">
        <v>187</v>
      </c>
      <c r="J191" s="117"/>
      <c r="K191" s="117"/>
      <c r="L191" t="str">
        <f t="shared" si="37"/>
        <v>IV#1MTR</v>
      </c>
      <c r="M191" t="str">
        <f t="shared" si="47"/>
        <v/>
      </c>
      <c r="N191" t="str">
        <f t="shared" si="48"/>
        <v>IV#1MTR</v>
      </c>
      <c r="O191" t="str">
        <f t="shared" si="49"/>
        <v/>
      </c>
      <c r="P191" s="113" t="str">
        <f t="shared" si="38"/>
        <v>IV#1MTR</v>
      </c>
      <c r="Q191" s="114">
        <f t="shared" si="39"/>
        <v>187</v>
      </c>
      <c r="R191" s="114">
        <f t="shared" si="40"/>
        <v>186.66666666666666</v>
      </c>
      <c r="S191" s="113">
        <f t="shared" si="41"/>
        <v>186</v>
      </c>
      <c r="T191" s="111">
        <f t="shared" ca="1" si="42"/>
        <v>7.38</v>
      </c>
      <c r="U191" s="111">
        <f t="shared" si="43"/>
        <v>191</v>
      </c>
      <c r="V191" t="str">
        <f t="array" ref="V191">INDEX(P:P,MAX(U$3:U191))</f>
        <v>IV#1MTR</v>
      </c>
      <c r="W191">
        <f t="shared" ca="1" si="44"/>
        <v>25</v>
      </c>
      <c r="X191" t="str">
        <f t="shared" si="45"/>
        <v/>
      </c>
      <c r="Y191">
        <f t="shared" si="46"/>
        <v>187</v>
      </c>
      <c r="Z191" t="str">
        <f t="shared" si="50"/>
        <v>伸港</v>
      </c>
    </row>
    <row r="192" spans="1:26" x14ac:dyDescent="0.25">
      <c r="A192" s="118" t="s">
        <v>378</v>
      </c>
      <c r="B192" s="119" t="s">
        <v>379</v>
      </c>
      <c r="C192" s="119">
        <v>13</v>
      </c>
      <c r="D192" s="118" t="s">
        <v>207</v>
      </c>
      <c r="E192" s="118">
        <v>12</v>
      </c>
      <c r="F192" s="118" t="s">
        <v>214</v>
      </c>
      <c r="G192" s="118">
        <v>12</v>
      </c>
      <c r="H192" s="118" t="s">
        <v>180</v>
      </c>
      <c r="I192" s="378">
        <v>13</v>
      </c>
      <c r="J192" s="117">
        <v>0</v>
      </c>
      <c r="K192" s="117" t="s">
        <v>194</v>
      </c>
      <c r="L192" t="str">
        <f t="shared" si="37"/>
        <v>IV51</v>
      </c>
      <c r="M192" t="str">
        <f t="shared" si="47"/>
        <v/>
      </c>
      <c r="N192" t="str">
        <f t="shared" si="48"/>
        <v/>
      </c>
      <c r="O192" t="str">
        <f t="shared" si="49"/>
        <v/>
      </c>
      <c r="P192" s="113" t="str">
        <f t="shared" si="38"/>
        <v>IV51</v>
      </c>
      <c r="Q192" s="114">
        <f t="shared" si="39"/>
        <v>13</v>
      </c>
      <c r="R192" s="114">
        <f t="shared" si="40"/>
        <v>12.333333333333334</v>
      </c>
      <c r="S192" s="113">
        <f t="shared" si="41"/>
        <v>12</v>
      </c>
      <c r="T192" s="111">
        <f t="shared" ca="1" si="42"/>
        <v>0.51</v>
      </c>
      <c r="U192" s="111" t="str">
        <f t="shared" si="43"/>
        <v/>
      </c>
      <c r="V192" t="str">
        <f t="array" ref="V192">INDEX(P:P,MAX(U$3:U192))</f>
        <v>IV#1MTR</v>
      </c>
      <c r="W192" t="str">
        <f t="shared" ca="1" si="44"/>
        <v/>
      </c>
      <c r="X192">
        <f t="shared" si="45"/>
        <v>22.8</v>
      </c>
      <c r="Y192">
        <f t="shared" si="46"/>
        <v>26</v>
      </c>
      <c r="Z192" t="str">
        <f t="shared" si="50"/>
        <v>伸港</v>
      </c>
    </row>
    <row r="193" spans="1:26" x14ac:dyDescent="0.25">
      <c r="A193" s="118" t="s">
        <v>378</v>
      </c>
      <c r="B193" s="119" t="s">
        <v>380</v>
      </c>
      <c r="C193" s="119">
        <v>38</v>
      </c>
      <c r="D193" s="118" t="s">
        <v>200</v>
      </c>
      <c r="E193" s="118">
        <v>38</v>
      </c>
      <c r="F193" s="118" t="s">
        <v>200</v>
      </c>
      <c r="G193" s="118">
        <v>38</v>
      </c>
      <c r="H193" s="118" t="s">
        <v>200</v>
      </c>
      <c r="I193" s="378">
        <v>38</v>
      </c>
      <c r="J193" s="117">
        <v>0</v>
      </c>
      <c r="K193" s="117" t="s">
        <v>194</v>
      </c>
      <c r="L193" t="str">
        <f t="shared" si="37"/>
        <v>IV52</v>
      </c>
      <c r="M193" t="str">
        <f t="shared" si="47"/>
        <v/>
      </c>
      <c r="N193" t="str">
        <f t="shared" si="48"/>
        <v/>
      </c>
      <c r="O193" t="str">
        <f t="shared" si="49"/>
        <v/>
      </c>
      <c r="P193" s="113" t="str">
        <f t="shared" si="38"/>
        <v>IV52</v>
      </c>
      <c r="Q193" s="114">
        <f t="shared" si="39"/>
        <v>38</v>
      </c>
      <c r="R193" s="114">
        <f t="shared" si="40"/>
        <v>38</v>
      </c>
      <c r="S193" s="113">
        <f t="shared" si="41"/>
        <v>38</v>
      </c>
      <c r="T193" s="111">
        <f t="shared" ca="1" si="42"/>
        <v>1.5</v>
      </c>
      <c r="U193" s="111" t="str">
        <f t="shared" si="43"/>
        <v/>
      </c>
      <c r="V193" t="str">
        <f t="array" ref="V193">INDEX(P:P,MAX(U$3:U193))</f>
        <v>IV#1MTR</v>
      </c>
      <c r="W193" t="str">
        <f t="shared" ca="1" si="44"/>
        <v/>
      </c>
      <c r="X193">
        <f t="shared" si="45"/>
        <v>22.8</v>
      </c>
      <c r="Y193">
        <f t="shared" si="46"/>
        <v>75</v>
      </c>
      <c r="Z193" t="str">
        <f t="shared" si="50"/>
        <v>伸港</v>
      </c>
    </row>
    <row r="194" spans="1:26" x14ac:dyDescent="0.25">
      <c r="A194" s="118" t="s">
        <v>378</v>
      </c>
      <c r="B194" s="119" t="s">
        <v>381</v>
      </c>
      <c r="C194" s="119">
        <v>38</v>
      </c>
      <c r="D194" s="118" t="s">
        <v>188</v>
      </c>
      <c r="E194" s="118">
        <v>37</v>
      </c>
      <c r="F194" s="118" t="s">
        <v>188</v>
      </c>
      <c r="G194" s="118">
        <v>38</v>
      </c>
      <c r="H194" s="118" t="s">
        <v>188</v>
      </c>
      <c r="I194" s="378">
        <v>38</v>
      </c>
      <c r="J194" s="117">
        <v>0</v>
      </c>
      <c r="K194" s="117" t="s">
        <v>194</v>
      </c>
      <c r="L194" t="str">
        <f t="shared" si="37"/>
        <v>IV53</v>
      </c>
      <c r="M194" t="str">
        <f t="shared" si="47"/>
        <v/>
      </c>
      <c r="N194" t="str">
        <f t="shared" si="48"/>
        <v/>
      </c>
      <c r="O194" t="str">
        <f t="shared" si="49"/>
        <v/>
      </c>
      <c r="P194" s="113" t="str">
        <f t="shared" si="38"/>
        <v>IV53</v>
      </c>
      <c r="Q194" s="114">
        <f t="shared" si="39"/>
        <v>38</v>
      </c>
      <c r="R194" s="114">
        <f t="shared" si="40"/>
        <v>37.666666666666664</v>
      </c>
      <c r="S194" s="113">
        <f t="shared" si="41"/>
        <v>37</v>
      </c>
      <c r="T194" s="111">
        <f t="shared" ca="1" si="42"/>
        <v>1.5</v>
      </c>
      <c r="U194" s="111" t="str">
        <f t="shared" si="43"/>
        <v/>
      </c>
      <c r="V194" t="str">
        <f t="array" ref="V194">INDEX(P:P,MAX(U$3:U194))</f>
        <v>IV#1MTR</v>
      </c>
      <c r="W194" t="str">
        <f t="shared" ca="1" si="44"/>
        <v/>
      </c>
      <c r="X194">
        <f t="shared" si="45"/>
        <v>22.8</v>
      </c>
      <c r="Y194">
        <f t="shared" si="46"/>
        <v>77</v>
      </c>
      <c r="Z194" t="str">
        <f t="shared" si="50"/>
        <v>伸港</v>
      </c>
    </row>
    <row r="195" spans="1:26" x14ac:dyDescent="0.25">
      <c r="A195" s="118" t="s">
        <v>378</v>
      </c>
      <c r="B195" s="119" t="s">
        <v>382</v>
      </c>
      <c r="C195" s="119">
        <v>17</v>
      </c>
      <c r="D195" s="118" t="s">
        <v>198</v>
      </c>
      <c r="E195" s="118">
        <v>16</v>
      </c>
      <c r="F195" s="118" t="s">
        <v>198</v>
      </c>
      <c r="G195" s="118">
        <v>16</v>
      </c>
      <c r="H195" s="118" t="s">
        <v>198</v>
      </c>
      <c r="I195" s="378">
        <v>17</v>
      </c>
      <c r="J195" s="117">
        <v>0</v>
      </c>
      <c r="K195" s="117" t="s">
        <v>194</v>
      </c>
      <c r="L195" t="str">
        <f t="shared" ref="L195:L258" si="51">IF(COUNTIF(B195,"*TR*")&gt;0,SUBSTITUTE(RIGHT(TRIM(A195),2) &amp; B195," ",""),MID(B195,FIND("(",B195)+1,4))</f>
        <v>IV54</v>
      </c>
      <c r="M195" t="str">
        <f t="shared" si="47"/>
        <v/>
      </c>
      <c r="N195" t="str">
        <f t="shared" si="48"/>
        <v/>
      </c>
      <c r="O195" t="str">
        <f t="shared" si="49"/>
        <v/>
      </c>
      <c r="P195" s="113" t="str">
        <f t="shared" ref="P195:P258" si="52">IF(COUNTIF(B195,"*TR*")&gt;0,SUBSTITUTE(RIGHT(TRIM(A195),2) &amp; B195," ",""),MID(B195,FIND("(",B195)+1,4))</f>
        <v>IV54</v>
      </c>
      <c r="Q195" s="114">
        <f t="shared" ref="Q195:Q258" si="53">VALUE(I195)</f>
        <v>17</v>
      </c>
      <c r="R195" s="114">
        <f t="shared" ref="R195:R258" si="54">AVERAGE(C195*1,E195*1,G195*1)</f>
        <v>16.333333333333332</v>
      </c>
      <c r="S195" s="113">
        <f t="shared" ref="S195:S258" si="55">MIN(C195*1,E195*1,G195*1)</f>
        <v>16</v>
      </c>
      <c r="T195" s="111">
        <f t="shared" ref="T195:T258" ca="1" si="56">IF(LEFT(TRIM(B195),1)="#",ROUND(OFFSET(X195,1,0,1,1)*Y195*SQRT(3)/1000,2),ROUND(Q195*X195*SQRT(3)/1000,2))</f>
        <v>0.67</v>
      </c>
      <c r="U195" s="111" t="str">
        <f t="shared" ref="U195:U258" si="57">IF(ISNUMBER(FIND("#",B195)),ROW(),"")</f>
        <v/>
      </c>
      <c r="V195" t="str">
        <f t="array" ref="V195">INDEX(P:P,MAX(U$3:U195))</f>
        <v>IV#1MTR</v>
      </c>
      <c r="W195" t="str">
        <f t="shared" ref="W195:W258" ca="1" si="58">IF(LEFT(TRIM(B195),1)="#",IF(ISNUMBER(FIND("DTR",B195)),IF(MID(OFFSET(P195,1,0,1,1),3,1)*1&lt;5,30,60),25),"")</f>
        <v/>
      </c>
      <c r="X195">
        <f t="shared" ref="X195:X258" si="59">IF(LEFT(TRIM(B195),1)= "#","",IF(MID(P195,3,1)*1&lt;5,11.4,22.8))</f>
        <v>22.8</v>
      </c>
      <c r="Y195">
        <f t="shared" ref="Y195:Y258" si="60">SUMIF(L:L,L195,I:I)</f>
        <v>35</v>
      </c>
      <c r="Z195" t="str">
        <f t="shared" si="50"/>
        <v>伸港</v>
      </c>
    </row>
    <row r="196" spans="1:26" x14ac:dyDescent="0.25">
      <c r="A196" s="118" t="s">
        <v>378</v>
      </c>
      <c r="B196" s="119" t="s">
        <v>383</v>
      </c>
      <c r="C196" s="119">
        <v>108</v>
      </c>
      <c r="D196" s="118" t="s">
        <v>207</v>
      </c>
      <c r="E196" s="118">
        <v>111</v>
      </c>
      <c r="F196" s="118" t="s">
        <v>207</v>
      </c>
      <c r="G196" s="118">
        <v>110</v>
      </c>
      <c r="H196" s="118" t="s">
        <v>207</v>
      </c>
      <c r="I196" s="378">
        <v>111</v>
      </c>
      <c r="J196" s="117">
        <v>0</v>
      </c>
      <c r="K196" s="117" t="s">
        <v>194</v>
      </c>
      <c r="L196" t="str">
        <f t="shared" si="51"/>
        <v>IV55</v>
      </c>
      <c r="M196" t="str">
        <f t="shared" ref="M196:M259" si="61">IF(LEFT(B196,1)="#",IF(LEN(B196)&lt;&gt;5,MID(B196,6,3),""),"")</f>
        <v/>
      </c>
      <c r="N196" t="str">
        <f t="shared" ref="N196:N259" si="62">IF(LEFT(B196,1)="#",IF(LEN(B196)=5,RIGHT(A196,2)&amp;B196,RIGHT(A196,2)&amp;LEFT(B196,2)&amp;"DTR"),"")</f>
        <v/>
      </c>
      <c r="O196" t="str">
        <f t="shared" ref="O196:O259" si="63">IF(LEFT(B196,1)="#",IF(LEN(B196)&lt;&gt;5,IF(LEN(B196)&lt;&gt;7,MID(B196,6,3),"("&amp;MID(B196,3,2)&amp;")"),""),"")</f>
        <v/>
      </c>
      <c r="P196" s="113" t="str">
        <f t="shared" si="52"/>
        <v>IV55</v>
      </c>
      <c r="Q196" s="114">
        <f t="shared" si="53"/>
        <v>111</v>
      </c>
      <c r="R196" s="114">
        <f t="shared" si="54"/>
        <v>109.66666666666667</v>
      </c>
      <c r="S196" s="113">
        <f t="shared" si="55"/>
        <v>108</v>
      </c>
      <c r="T196" s="111">
        <f t="shared" ca="1" si="56"/>
        <v>4.38</v>
      </c>
      <c r="U196" s="111" t="str">
        <f t="shared" si="57"/>
        <v/>
      </c>
      <c r="V196" t="str">
        <f t="array" ref="V196">INDEX(P:P,MAX(U$3:U196))</f>
        <v>IV#1MTR</v>
      </c>
      <c r="W196" t="str">
        <f t="shared" ca="1" si="58"/>
        <v/>
      </c>
      <c r="X196">
        <f t="shared" si="59"/>
        <v>22.8</v>
      </c>
      <c r="Y196">
        <f t="shared" si="60"/>
        <v>221</v>
      </c>
      <c r="Z196" t="str">
        <f t="shared" ref="Z196:Z259" si="64">LEFT(A196,2)</f>
        <v>伸港</v>
      </c>
    </row>
    <row r="197" spans="1:26" x14ac:dyDescent="0.25">
      <c r="A197" s="118" t="s">
        <v>378</v>
      </c>
      <c r="B197" s="119" t="s">
        <v>187</v>
      </c>
      <c r="C197" s="119">
        <v>465</v>
      </c>
      <c r="D197" s="118" t="s">
        <v>179</v>
      </c>
      <c r="E197" s="118">
        <v>498</v>
      </c>
      <c r="F197" s="118" t="s">
        <v>176</v>
      </c>
      <c r="G197" s="118">
        <v>416</v>
      </c>
      <c r="H197" s="118" t="s">
        <v>177</v>
      </c>
      <c r="I197" s="378">
        <v>498</v>
      </c>
      <c r="J197" s="117"/>
      <c r="K197" s="117"/>
      <c r="L197" t="str">
        <f t="shared" si="51"/>
        <v>IV#2MTR</v>
      </c>
      <c r="M197" t="str">
        <f t="shared" si="61"/>
        <v/>
      </c>
      <c r="N197" t="str">
        <f t="shared" si="62"/>
        <v>IV#2MTR</v>
      </c>
      <c r="O197" t="str">
        <f t="shared" si="63"/>
        <v/>
      </c>
      <c r="P197" s="113" t="str">
        <f t="shared" si="52"/>
        <v>IV#2MTR</v>
      </c>
      <c r="Q197" s="114">
        <f t="shared" si="53"/>
        <v>498</v>
      </c>
      <c r="R197" s="114">
        <f t="shared" si="54"/>
        <v>459.66666666666669</v>
      </c>
      <c r="S197" s="113">
        <f t="shared" si="55"/>
        <v>416</v>
      </c>
      <c r="T197" s="111">
        <f t="shared" ca="1" si="56"/>
        <v>9.83</v>
      </c>
      <c r="U197" s="111">
        <f t="shared" si="57"/>
        <v>197</v>
      </c>
      <c r="V197" t="str">
        <f t="array" ref="V197">INDEX(P:P,MAX(U$3:U197))</f>
        <v>IV#2MTR</v>
      </c>
      <c r="W197">
        <f t="shared" ca="1" si="58"/>
        <v>25</v>
      </c>
      <c r="X197" t="str">
        <f t="shared" si="59"/>
        <v/>
      </c>
      <c r="Y197">
        <f t="shared" si="60"/>
        <v>498</v>
      </c>
      <c r="Z197" t="str">
        <f t="shared" si="64"/>
        <v>伸港</v>
      </c>
    </row>
    <row r="198" spans="1:26" x14ac:dyDescent="0.25">
      <c r="A198" s="118" t="s">
        <v>378</v>
      </c>
      <c r="B198" s="119" t="s">
        <v>384</v>
      </c>
      <c r="C198" s="119">
        <v>75</v>
      </c>
      <c r="D198" s="118" t="s">
        <v>198</v>
      </c>
      <c r="E198" s="118">
        <v>82</v>
      </c>
      <c r="F198" s="118" t="s">
        <v>198</v>
      </c>
      <c r="G198" s="118">
        <v>54</v>
      </c>
      <c r="H198" s="118" t="s">
        <v>198</v>
      </c>
      <c r="I198" s="378">
        <v>82</v>
      </c>
      <c r="J198" s="117">
        <v>45</v>
      </c>
      <c r="K198" s="117" t="s">
        <v>200</v>
      </c>
      <c r="L198" t="str">
        <f t="shared" si="51"/>
        <v>IV32</v>
      </c>
      <c r="M198" t="str">
        <f t="shared" si="61"/>
        <v/>
      </c>
      <c r="N198" t="str">
        <f t="shared" si="62"/>
        <v/>
      </c>
      <c r="O198" t="str">
        <f t="shared" si="63"/>
        <v/>
      </c>
      <c r="P198" s="113" t="str">
        <f t="shared" si="52"/>
        <v>IV32</v>
      </c>
      <c r="Q198" s="114">
        <f t="shared" si="53"/>
        <v>82</v>
      </c>
      <c r="R198" s="114">
        <f t="shared" si="54"/>
        <v>70.333333333333329</v>
      </c>
      <c r="S198" s="113">
        <f t="shared" si="55"/>
        <v>54</v>
      </c>
      <c r="T198" s="111">
        <f t="shared" ca="1" si="56"/>
        <v>1.62</v>
      </c>
      <c r="U198" s="111" t="str">
        <f t="shared" si="57"/>
        <v/>
      </c>
      <c r="V198" t="str">
        <f t="array" ref="V198">INDEX(P:P,MAX(U$3:U198))</f>
        <v>IV#2MTR</v>
      </c>
      <c r="W198" t="str">
        <f t="shared" ca="1" si="58"/>
        <v/>
      </c>
      <c r="X198">
        <f t="shared" si="59"/>
        <v>11.4</v>
      </c>
      <c r="Y198">
        <f t="shared" si="60"/>
        <v>166</v>
      </c>
      <c r="Z198" t="str">
        <f t="shared" si="64"/>
        <v>伸港</v>
      </c>
    </row>
    <row r="199" spans="1:26" x14ac:dyDescent="0.25">
      <c r="A199" s="118" t="s">
        <v>378</v>
      </c>
      <c r="B199" s="119" t="s">
        <v>385</v>
      </c>
      <c r="C199" s="119">
        <v>122</v>
      </c>
      <c r="D199" s="118" t="s">
        <v>188</v>
      </c>
      <c r="E199" s="118">
        <v>104</v>
      </c>
      <c r="F199" s="118" t="s">
        <v>188</v>
      </c>
      <c r="G199" s="118">
        <v>105</v>
      </c>
      <c r="H199" s="118" t="s">
        <v>179</v>
      </c>
      <c r="I199" s="378">
        <v>122</v>
      </c>
      <c r="J199" s="117">
        <v>52</v>
      </c>
      <c r="K199" s="117" t="s">
        <v>229</v>
      </c>
      <c r="L199" t="str">
        <f t="shared" si="51"/>
        <v>IV34</v>
      </c>
      <c r="M199" t="str">
        <f t="shared" si="61"/>
        <v/>
      </c>
      <c r="N199" t="str">
        <f t="shared" si="62"/>
        <v/>
      </c>
      <c r="O199" t="str">
        <f t="shared" si="63"/>
        <v/>
      </c>
      <c r="P199" s="113" t="str">
        <f t="shared" si="52"/>
        <v>IV34</v>
      </c>
      <c r="Q199" s="114">
        <f t="shared" si="53"/>
        <v>122</v>
      </c>
      <c r="R199" s="114">
        <f t="shared" si="54"/>
        <v>110.33333333333333</v>
      </c>
      <c r="S199" s="113">
        <f t="shared" si="55"/>
        <v>104</v>
      </c>
      <c r="T199" s="111">
        <f t="shared" ca="1" si="56"/>
        <v>2.41</v>
      </c>
      <c r="U199" s="111" t="str">
        <f t="shared" si="57"/>
        <v/>
      </c>
      <c r="V199" t="str">
        <f t="array" ref="V199">INDEX(P:P,MAX(U$3:U199))</f>
        <v>IV#2MTR</v>
      </c>
      <c r="W199" t="str">
        <f t="shared" ca="1" si="58"/>
        <v/>
      </c>
      <c r="X199">
        <f t="shared" si="59"/>
        <v>11.4</v>
      </c>
      <c r="Y199">
        <f t="shared" si="60"/>
        <v>242</v>
      </c>
      <c r="Z199" t="str">
        <f t="shared" si="64"/>
        <v>伸港</v>
      </c>
    </row>
    <row r="200" spans="1:26" x14ac:dyDescent="0.25">
      <c r="A200" s="118" t="s">
        <v>378</v>
      </c>
      <c r="B200" s="119" t="s">
        <v>386</v>
      </c>
      <c r="C200" s="119">
        <v>159</v>
      </c>
      <c r="D200" s="118" t="s">
        <v>179</v>
      </c>
      <c r="E200" s="118">
        <v>180</v>
      </c>
      <c r="F200" s="118" t="s">
        <v>176</v>
      </c>
      <c r="G200" s="118">
        <v>165</v>
      </c>
      <c r="H200" s="118" t="s">
        <v>177</v>
      </c>
      <c r="I200" s="378">
        <v>180</v>
      </c>
      <c r="J200" s="117">
        <v>40</v>
      </c>
      <c r="K200" s="117" t="s">
        <v>229</v>
      </c>
      <c r="L200" t="str">
        <f t="shared" si="51"/>
        <v>IV33</v>
      </c>
      <c r="M200" t="str">
        <f t="shared" si="61"/>
        <v/>
      </c>
      <c r="N200" t="str">
        <f t="shared" si="62"/>
        <v/>
      </c>
      <c r="O200" t="str">
        <f t="shared" si="63"/>
        <v/>
      </c>
      <c r="P200" s="113" t="str">
        <f t="shared" si="52"/>
        <v>IV33</v>
      </c>
      <c r="Q200" s="114">
        <f t="shared" si="53"/>
        <v>180</v>
      </c>
      <c r="R200" s="114">
        <f t="shared" si="54"/>
        <v>168</v>
      </c>
      <c r="S200" s="113">
        <f t="shared" si="55"/>
        <v>159</v>
      </c>
      <c r="T200" s="111">
        <f t="shared" ca="1" si="56"/>
        <v>3.55</v>
      </c>
      <c r="U200" s="111" t="str">
        <f t="shared" si="57"/>
        <v/>
      </c>
      <c r="V200" t="str">
        <f t="array" ref="V200">INDEX(P:P,MAX(U$3:U200))</f>
        <v>IV#2MTR</v>
      </c>
      <c r="W200" t="str">
        <f t="shared" ca="1" si="58"/>
        <v/>
      </c>
      <c r="X200">
        <f t="shared" si="59"/>
        <v>11.4</v>
      </c>
      <c r="Y200">
        <f t="shared" si="60"/>
        <v>359</v>
      </c>
      <c r="Z200" t="str">
        <f t="shared" si="64"/>
        <v>伸港</v>
      </c>
    </row>
    <row r="201" spans="1:26" x14ac:dyDescent="0.25">
      <c r="A201" s="118" t="s">
        <v>378</v>
      </c>
      <c r="B201" s="119" t="s">
        <v>387</v>
      </c>
      <c r="C201" s="119">
        <v>61</v>
      </c>
      <c r="D201" s="118" t="s">
        <v>177</v>
      </c>
      <c r="E201" s="118">
        <v>67</v>
      </c>
      <c r="F201" s="118" t="s">
        <v>196</v>
      </c>
      <c r="G201" s="118">
        <v>58</v>
      </c>
      <c r="H201" s="118" t="s">
        <v>177</v>
      </c>
      <c r="I201" s="378">
        <v>67</v>
      </c>
      <c r="J201" s="117">
        <v>22</v>
      </c>
      <c r="K201" s="117" t="s">
        <v>211</v>
      </c>
      <c r="L201" t="str">
        <f t="shared" si="51"/>
        <v>IV35</v>
      </c>
      <c r="M201" t="str">
        <f t="shared" si="61"/>
        <v/>
      </c>
      <c r="N201" t="str">
        <f t="shared" si="62"/>
        <v/>
      </c>
      <c r="O201" t="str">
        <f t="shared" si="63"/>
        <v/>
      </c>
      <c r="P201" s="113" t="str">
        <f t="shared" si="52"/>
        <v>IV35</v>
      </c>
      <c r="Q201" s="114">
        <f t="shared" si="53"/>
        <v>67</v>
      </c>
      <c r="R201" s="114">
        <f t="shared" si="54"/>
        <v>62</v>
      </c>
      <c r="S201" s="113">
        <f t="shared" si="55"/>
        <v>58</v>
      </c>
      <c r="T201" s="111">
        <f t="shared" ca="1" si="56"/>
        <v>1.32</v>
      </c>
      <c r="U201" s="111" t="str">
        <f t="shared" si="57"/>
        <v/>
      </c>
      <c r="V201" t="str">
        <f t="array" ref="V201">INDEX(P:P,MAX(U$3:U201))</f>
        <v>IV#2MTR</v>
      </c>
      <c r="W201" t="str">
        <f t="shared" ca="1" si="58"/>
        <v/>
      </c>
      <c r="X201">
        <f t="shared" si="59"/>
        <v>11.4</v>
      </c>
      <c r="Y201">
        <f t="shared" si="60"/>
        <v>134</v>
      </c>
      <c r="Z201" t="str">
        <f t="shared" si="64"/>
        <v>伸港</v>
      </c>
    </row>
    <row r="202" spans="1:26" x14ac:dyDescent="0.25">
      <c r="A202" s="118" t="s">
        <v>378</v>
      </c>
      <c r="B202" s="119" t="s">
        <v>388</v>
      </c>
      <c r="C202" s="119">
        <v>64</v>
      </c>
      <c r="D202" s="118" t="s">
        <v>179</v>
      </c>
      <c r="E202" s="118">
        <v>93</v>
      </c>
      <c r="F202" s="118" t="s">
        <v>176</v>
      </c>
      <c r="G202" s="118">
        <v>54</v>
      </c>
      <c r="H202" s="118" t="s">
        <v>196</v>
      </c>
      <c r="I202" s="378">
        <v>93</v>
      </c>
      <c r="J202" s="117">
        <v>37</v>
      </c>
      <c r="K202" s="117" t="s">
        <v>177</v>
      </c>
      <c r="L202" t="str">
        <f t="shared" si="51"/>
        <v>IV31</v>
      </c>
      <c r="M202" t="str">
        <f t="shared" si="61"/>
        <v/>
      </c>
      <c r="N202" t="str">
        <f t="shared" si="62"/>
        <v/>
      </c>
      <c r="O202" t="str">
        <f t="shared" si="63"/>
        <v/>
      </c>
      <c r="P202" s="113" t="str">
        <f t="shared" si="52"/>
        <v>IV31</v>
      </c>
      <c r="Q202" s="114">
        <f t="shared" si="53"/>
        <v>93</v>
      </c>
      <c r="R202" s="114">
        <f t="shared" si="54"/>
        <v>70.333333333333329</v>
      </c>
      <c r="S202" s="113">
        <f t="shared" si="55"/>
        <v>54</v>
      </c>
      <c r="T202" s="111">
        <f t="shared" ca="1" si="56"/>
        <v>1.84</v>
      </c>
      <c r="U202" s="111" t="str">
        <f t="shared" si="57"/>
        <v/>
      </c>
      <c r="V202" t="str">
        <f t="array" ref="V202">INDEX(P:P,MAX(U$3:U202))</f>
        <v>IV#2MTR</v>
      </c>
      <c r="W202" t="str">
        <f t="shared" ca="1" si="58"/>
        <v/>
      </c>
      <c r="X202">
        <f t="shared" si="59"/>
        <v>11.4</v>
      </c>
      <c r="Y202">
        <f t="shared" si="60"/>
        <v>185</v>
      </c>
      <c r="Z202" t="str">
        <f t="shared" si="64"/>
        <v>伸港</v>
      </c>
    </row>
    <row r="203" spans="1:26" x14ac:dyDescent="0.25">
      <c r="A203" s="118" t="s">
        <v>378</v>
      </c>
      <c r="B203" s="119" t="s">
        <v>197</v>
      </c>
      <c r="C203" s="119">
        <v>637</v>
      </c>
      <c r="D203" s="118" t="s">
        <v>177</v>
      </c>
      <c r="E203" s="118">
        <v>649</v>
      </c>
      <c r="F203" s="118" t="s">
        <v>176</v>
      </c>
      <c r="G203" s="118">
        <v>615</v>
      </c>
      <c r="H203" s="118" t="s">
        <v>176</v>
      </c>
      <c r="I203" s="378">
        <v>649</v>
      </c>
      <c r="J203" s="117"/>
      <c r="K203" s="117"/>
      <c r="L203" t="str">
        <f t="shared" si="51"/>
        <v>IV#3MTR</v>
      </c>
      <c r="M203" t="str">
        <f t="shared" si="61"/>
        <v/>
      </c>
      <c r="N203" t="str">
        <f t="shared" si="62"/>
        <v>IV#3MTR</v>
      </c>
      <c r="O203" t="str">
        <f t="shared" si="63"/>
        <v/>
      </c>
      <c r="P203" s="113" t="str">
        <f t="shared" si="52"/>
        <v>IV#3MTR</v>
      </c>
      <c r="Q203" s="114">
        <f t="shared" si="53"/>
        <v>649</v>
      </c>
      <c r="R203" s="114">
        <f t="shared" si="54"/>
        <v>633.66666666666663</v>
      </c>
      <c r="S203" s="113">
        <f t="shared" si="55"/>
        <v>615</v>
      </c>
      <c r="T203" s="111">
        <f t="shared" ca="1" si="56"/>
        <v>12.81</v>
      </c>
      <c r="U203" s="111">
        <f t="shared" si="57"/>
        <v>203</v>
      </c>
      <c r="V203" t="str">
        <f t="array" ref="V203">INDEX(P:P,MAX(U$3:U203))</f>
        <v>IV#3MTR</v>
      </c>
      <c r="W203">
        <f t="shared" ca="1" si="58"/>
        <v>25</v>
      </c>
      <c r="X203" t="str">
        <f t="shared" si="59"/>
        <v/>
      </c>
      <c r="Y203">
        <f t="shared" si="60"/>
        <v>649</v>
      </c>
      <c r="Z203" t="str">
        <f t="shared" si="64"/>
        <v>伸港</v>
      </c>
    </row>
    <row r="204" spans="1:26" x14ac:dyDescent="0.25">
      <c r="A204" s="118" t="s">
        <v>378</v>
      </c>
      <c r="B204" s="119" t="s">
        <v>389</v>
      </c>
      <c r="C204" s="119">
        <v>98</v>
      </c>
      <c r="D204" s="118" t="s">
        <v>179</v>
      </c>
      <c r="E204" s="118">
        <v>99</v>
      </c>
      <c r="F204" s="118" t="s">
        <v>177</v>
      </c>
      <c r="G204" s="118">
        <v>73</v>
      </c>
      <c r="H204" s="118" t="s">
        <v>177</v>
      </c>
      <c r="I204" s="378">
        <v>99</v>
      </c>
      <c r="J204" s="117">
        <v>80</v>
      </c>
      <c r="K204" s="117" t="s">
        <v>198</v>
      </c>
      <c r="L204" t="str">
        <f t="shared" si="51"/>
        <v>IV24</v>
      </c>
      <c r="M204" t="str">
        <f t="shared" si="61"/>
        <v/>
      </c>
      <c r="N204" t="str">
        <f t="shared" si="62"/>
        <v/>
      </c>
      <c r="O204" t="str">
        <f t="shared" si="63"/>
        <v/>
      </c>
      <c r="P204" s="113" t="str">
        <f t="shared" si="52"/>
        <v>IV24</v>
      </c>
      <c r="Q204" s="114">
        <f t="shared" si="53"/>
        <v>99</v>
      </c>
      <c r="R204" s="114">
        <f t="shared" si="54"/>
        <v>90</v>
      </c>
      <c r="S204" s="113">
        <f t="shared" si="55"/>
        <v>73</v>
      </c>
      <c r="T204" s="111">
        <f t="shared" ca="1" si="56"/>
        <v>1.95</v>
      </c>
      <c r="U204" s="111" t="str">
        <f t="shared" si="57"/>
        <v/>
      </c>
      <c r="V204" t="str">
        <f t="array" ref="V204">INDEX(P:P,MAX(U$3:U204))</f>
        <v>IV#3MTR</v>
      </c>
      <c r="W204" t="str">
        <f t="shared" ca="1" si="58"/>
        <v/>
      </c>
      <c r="X204">
        <f t="shared" si="59"/>
        <v>11.4</v>
      </c>
      <c r="Y204">
        <f t="shared" si="60"/>
        <v>199</v>
      </c>
      <c r="Z204" t="str">
        <f t="shared" si="64"/>
        <v>伸港</v>
      </c>
    </row>
    <row r="205" spans="1:26" x14ac:dyDescent="0.25">
      <c r="A205" s="118" t="s">
        <v>378</v>
      </c>
      <c r="B205" s="119" t="s">
        <v>390</v>
      </c>
      <c r="C205" s="119">
        <v>73</v>
      </c>
      <c r="D205" s="118" t="s">
        <v>205</v>
      </c>
      <c r="E205" s="118">
        <v>73</v>
      </c>
      <c r="F205" s="118" t="s">
        <v>192</v>
      </c>
      <c r="G205" s="118">
        <v>85</v>
      </c>
      <c r="H205" s="118" t="s">
        <v>196</v>
      </c>
      <c r="I205" s="378">
        <v>85</v>
      </c>
      <c r="J205" s="117">
        <v>29</v>
      </c>
      <c r="K205" s="117" t="s">
        <v>205</v>
      </c>
      <c r="L205" t="str">
        <f t="shared" si="51"/>
        <v>IV25</v>
      </c>
      <c r="M205" t="str">
        <f t="shared" si="61"/>
        <v/>
      </c>
      <c r="N205" t="str">
        <f t="shared" si="62"/>
        <v/>
      </c>
      <c r="O205" t="str">
        <f t="shared" si="63"/>
        <v/>
      </c>
      <c r="P205" s="113" t="str">
        <f t="shared" si="52"/>
        <v>IV25</v>
      </c>
      <c r="Q205" s="114">
        <f t="shared" si="53"/>
        <v>85</v>
      </c>
      <c r="R205" s="114">
        <f t="shared" si="54"/>
        <v>77</v>
      </c>
      <c r="S205" s="113">
        <f t="shared" si="55"/>
        <v>73</v>
      </c>
      <c r="T205" s="111">
        <f t="shared" ca="1" si="56"/>
        <v>1.68</v>
      </c>
      <c r="U205" s="111" t="str">
        <f t="shared" si="57"/>
        <v/>
      </c>
      <c r="V205" t="str">
        <f t="array" ref="V205">INDEX(P:P,MAX(U$3:U205))</f>
        <v>IV#3MTR</v>
      </c>
      <c r="W205" t="str">
        <f t="shared" ca="1" si="58"/>
        <v/>
      </c>
      <c r="X205">
        <f t="shared" si="59"/>
        <v>11.4</v>
      </c>
      <c r="Y205">
        <f t="shared" si="60"/>
        <v>169</v>
      </c>
      <c r="Z205" t="str">
        <f t="shared" si="64"/>
        <v>伸港</v>
      </c>
    </row>
    <row r="206" spans="1:26" x14ac:dyDescent="0.25">
      <c r="A206" s="118" t="s">
        <v>378</v>
      </c>
      <c r="B206" s="119" t="s">
        <v>391</v>
      </c>
      <c r="C206" s="119">
        <v>279</v>
      </c>
      <c r="D206" s="118" t="s">
        <v>196</v>
      </c>
      <c r="E206" s="118">
        <v>314</v>
      </c>
      <c r="F206" s="118" t="s">
        <v>188</v>
      </c>
      <c r="G206" s="118">
        <v>290</v>
      </c>
      <c r="H206" s="118" t="s">
        <v>176</v>
      </c>
      <c r="I206" s="378">
        <v>314</v>
      </c>
      <c r="J206" s="117">
        <v>84</v>
      </c>
      <c r="K206" s="117" t="s">
        <v>211</v>
      </c>
      <c r="L206" t="str">
        <f t="shared" si="51"/>
        <v>IV22</v>
      </c>
      <c r="M206" t="str">
        <f t="shared" si="61"/>
        <v/>
      </c>
      <c r="N206" t="str">
        <f t="shared" si="62"/>
        <v/>
      </c>
      <c r="O206" t="str">
        <f t="shared" si="63"/>
        <v/>
      </c>
      <c r="P206" s="113" t="str">
        <f t="shared" si="52"/>
        <v>IV22</v>
      </c>
      <c r="Q206" s="114">
        <f t="shared" si="53"/>
        <v>314</v>
      </c>
      <c r="R206" s="114">
        <f t="shared" si="54"/>
        <v>294.33333333333331</v>
      </c>
      <c r="S206" s="113">
        <f t="shared" si="55"/>
        <v>279</v>
      </c>
      <c r="T206" s="111">
        <f t="shared" ca="1" si="56"/>
        <v>6.2</v>
      </c>
      <c r="U206" s="111" t="str">
        <f t="shared" si="57"/>
        <v/>
      </c>
      <c r="V206" t="str">
        <f t="array" ref="V206">INDEX(P:P,MAX(U$3:U206))</f>
        <v>IV#3MTR</v>
      </c>
      <c r="W206" t="str">
        <f t="shared" ca="1" si="58"/>
        <v/>
      </c>
      <c r="X206">
        <f t="shared" si="59"/>
        <v>11.4</v>
      </c>
      <c r="Y206">
        <f t="shared" si="60"/>
        <v>628</v>
      </c>
      <c r="Z206" t="str">
        <f t="shared" si="64"/>
        <v>伸港</v>
      </c>
    </row>
    <row r="207" spans="1:26" x14ac:dyDescent="0.25">
      <c r="A207" s="118" t="s">
        <v>378</v>
      </c>
      <c r="B207" s="119" t="s">
        <v>392</v>
      </c>
      <c r="C207" s="119">
        <v>189</v>
      </c>
      <c r="D207" s="118" t="s">
        <v>207</v>
      </c>
      <c r="E207" s="118">
        <v>160</v>
      </c>
      <c r="F207" s="118" t="s">
        <v>198</v>
      </c>
      <c r="G207" s="118">
        <v>179</v>
      </c>
      <c r="H207" s="118" t="s">
        <v>207</v>
      </c>
      <c r="I207" s="378">
        <v>189</v>
      </c>
      <c r="J207" s="117">
        <v>57</v>
      </c>
      <c r="K207" s="117" t="s">
        <v>207</v>
      </c>
      <c r="L207" t="str">
        <f t="shared" si="51"/>
        <v>IV21</v>
      </c>
      <c r="M207" t="str">
        <f t="shared" si="61"/>
        <v/>
      </c>
      <c r="N207" t="str">
        <f t="shared" si="62"/>
        <v/>
      </c>
      <c r="O207" t="str">
        <f t="shared" si="63"/>
        <v/>
      </c>
      <c r="P207" s="113" t="str">
        <f t="shared" si="52"/>
        <v>IV21</v>
      </c>
      <c r="Q207" s="114">
        <f t="shared" si="53"/>
        <v>189</v>
      </c>
      <c r="R207" s="114">
        <f t="shared" si="54"/>
        <v>176</v>
      </c>
      <c r="S207" s="113">
        <f t="shared" si="55"/>
        <v>160</v>
      </c>
      <c r="T207" s="111">
        <f t="shared" ca="1" si="56"/>
        <v>3.73</v>
      </c>
      <c r="U207" s="111" t="str">
        <f t="shared" si="57"/>
        <v/>
      </c>
      <c r="V207" t="str">
        <f t="array" ref="V207">INDEX(P:P,MAX(U$3:U207))</f>
        <v>IV#3MTR</v>
      </c>
      <c r="W207" t="str">
        <f t="shared" ca="1" si="58"/>
        <v/>
      </c>
      <c r="X207">
        <f t="shared" si="59"/>
        <v>11.4</v>
      </c>
      <c r="Y207">
        <f t="shared" si="60"/>
        <v>381</v>
      </c>
      <c r="Z207" t="str">
        <f t="shared" si="64"/>
        <v>伸港</v>
      </c>
    </row>
    <row r="208" spans="1:26" x14ac:dyDescent="0.25">
      <c r="A208" s="118" t="s">
        <v>378</v>
      </c>
      <c r="B208" s="119" t="s">
        <v>393</v>
      </c>
      <c r="C208" s="119">
        <v>89</v>
      </c>
      <c r="D208" s="118" t="s">
        <v>196</v>
      </c>
      <c r="E208" s="118">
        <v>81</v>
      </c>
      <c r="F208" s="118" t="s">
        <v>177</v>
      </c>
      <c r="G208" s="118">
        <v>44</v>
      </c>
      <c r="H208" s="118" t="s">
        <v>177</v>
      </c>
      <c r="I208" s="378">
        <v>89</v>
      </c>
      <c r="J208" s="117">
        <v>46</v>
      </c>
      <c r="K208" s="117" t="s">
        <v>192</v>
      </c>
      <c r="L208" t="str">
        <f t="shared" si="51"/>
        <v>IV29</v>
      </c>
      <c r="M208" t="str">
        <f t="shared" si="61"/>
        <v/>
      </c>
      <c r="N208" t="str">
        <f t="shared" si="62"/>
        <v/>
      </c>
      <c r="O208" t="str">
        <f t="shared" si="63"/>
        <v/>
      </c>
      <c r="P208" s="113" t="str">
        <f t="shared" si="52"/>
        <v>IV29</v>
      </c>
      <c r="Q208" s="114">
        <f t="shared" si="53"/>
        <v>89</v>
      </c>
      <c r="R208" s="114">
        <f t="shared" si="54"/>
        <v>71.333333333333329</v>
      </c>
      <c r="S208" s="113">
        <f t="shared" si="55"/>
        <v>44</v>
      </c>
      <c r="T208" s="111">
        <f t="shared" ca="1" si="56"/>
        <v>1.76</v>
      </c>
      <c r="U208" s="111" t="str">
        <f t="shared" si="57"/>
        <v/>
      </c>
      <c r="V208" t="str">
        <f t="array" ref="V208">INDEX(P:P,MAX(U$3:U208))</f>
        <v>IV#3MTR</v>
      </c>
      <c r="W208" t="str">
        <f t="shared" ca="1" si="58"/>
        <v/>
      </c>
      <c r="X208">
        <f t="shared" si="59"/>
        <v>11.4</v>
      </c>
      <c r="Y208">
        <f t="shared" si="60"/>
        <v>178</v>
      </c>
      <c r="Z208" t="str">
        <f t="shared" si="64"/>
        <v>伸港</v>
      </c>
    </row>
    <row r="209" spans="1:26" x14ac:dyDescent="0.25">
      <c r="A209" s="118" t="s">
        <v>394</v>
      </c>
      <c r="B209" s="119" t="s">
        <v>175</v>
      </c>
      <c r="C209" s="119">
        <v>184</v>
      </c>
      <c r="D209" s="118" t="s">
        <v>198</v>
      </c>
      <c r="E209" s="118">
        <v>184</v>
      </c>
      <c r="F209" s="118" t="s">
        <v>198</v>
      </c>
      <c r="G209" s="118">
        <v>189</v>
      </c>
      <c r="H209" s="118" t="s">
        <v>198</v>
      </c>
      <c r="I209" s="378">
        <v>189</v>
      </c>
      <c r="J209" s="117"/>
      <c r="K209" s="117"/>
      <c r="L209" t="str">
        <f t="shared" si="51"/>
        <v>SV#1MTR</v>
      </c>
      <c r="M209" t="str">
        <f t="shared" si="61"/>
        <v/>
      </c>
      <c r="N209" t="str">
        <f t="shared" si="62"/>
        <v>SV#1MTR</v>
      </c>
      <c r="O209" t="str">
        <f t="shared" si="63"/>
        <v/>
      </c>
      <c r="P209" s="113" t="str">
        <f t="shared" si="52"/>
        <v>SV#1MTR</v>
      </c>
      <c r="Q209" s="114">
        <f t="shared" si="53"/>
        <v>189</v>
      </c>
      <c r="R209" s="114">
        <f t="shared" si="54"/>
        <v>185.66666666666666</v>
      </c>
      <c r="S209" s="113">
        <f t="shared" si="55"/>
        <v>184</v>
      </c>
      <c r="T209" s="111">
        <f t="shared" ca="1" si="56"/>
        <v>7.46</v>
      </c>
      <c r="U209" s="111">
        <f t="shared" si="57"/>
        <v>209</v>
      </c>
      <c r="V209" t="str">
        <f t="array" ref="V209">INDEX(P:P,MAX(U$3:U209))</f>
        <v>SV#1MTR</v>
      </c>
      <c r="W209">
        <f t="shared" ca="1" si="58"/>
        <v>25</v>
      </c>
      <c r="X209" t="str">
        <f t="shared" si="59"/>
        <v/>
      </c>
      <c r="Y209">
        <f t="shared" si="60"/>
        <v>189</v>
      </c>
      <c r="Z209" t="str">
        <f t="shared" si="64"/>
        <v>伸港</v>
      </c>
    </row>
    <row r="210" spans="1:26" x14ac:dyDescent="0.25">
      <c r="A210" s="118" t="s">
        <v>394</v>
      </c>
      <c r="B210" s="119" t="s">
        <v>379</v>
      </c>
      <c r="C210" s="119">
        <v>13</v>
      </c>
      <c r="D210" s="118" t="s">
        <v>214</v>
      </c>
      <c r="E210" s="118">
        <v>12</v>
      </c>
      <c r="F210" s="118" t="s">
        <v>214</v>
      </c>
      <c r="G210" s="118">
        <v>12</v>
      </c>
      <c r="H210" s="118" t="s">
        <v>214</v>
      </c>
      <c r="I210" s="378">
        <v>13</v>
      </c>
      <c r="J210" s="117">
        <v>0</v>
      </c>
      <c r="K210" s="117" t="s">
        <v>194</v>
      </c>
      <c r="L210" t="str">
        <f t="shared" si="51"/>
        <v>IV51</v>
      </c>
      <c r="M210" t="str">
        <f t="shared" si="61"/>
        <v/>
      </c>
      <c r="N210" t="str">
        <f t="shared" si="62"/>
        <v/>
      </c>
      <c r="O210" t="str">
        <f t="shared" si="63"/>
        <v/>
      </c>
      <c r="P210" s="113" t="str">
        <f t="shared" si="52"/>
        <v>IV51</v>
      </c>
      <c r="Q210" s="114">
        <f t="shared" si="53"/>
        <v>13</v>
      </c>
      <c r="R210" s="114">
        <f t="shared" si="54"/>
        <v>12.333333333333334</v>
      </c>
      <c r="S210" s="113">
        <f t="shared" si="55"/>
        <v>12</v>
      </c>
      <c r="T210" s="111">
        <f t="shared" ca="1" si="56"/>
        <v>0.51</v>
      </c>
      <c r="U210" s="111" t="str">
        <f t="shared" si="57"/>
        <v/>
      </c>
      <c r="V210" t="str">
        <f t="array" ref="V210">INDEX(P:P,MAX(U$3:U210))</f>
        <v>SV#1MTR</v>
      </c>
      <c r="W210" t="str">
        <f t="shared" ca="1" si="58"/>
        <v/>
      </c>
      <c r="X210">
        <f t="shared" si="59"/>
        <v>22.8</v>
      </c>
      <c r="Y210">
        <f t="shared" si="60"/>
        <v>26</v>
      </c>
      <c r="Z210" t="str">
        <f t="shared" si="64"/>
        <v>伸港</v>
      </c>
    </row>
    <row r="211" spans="1:26" x14ac:dyDescent="0.25">
      <c r="A211" s="118" t="s">
        <v>394</v>
      </c>
      <c r="B211" s="119" t="s">
        <v>380</v>
      </c>
      <c r="C211" s="119">
        <v>37</v>
      </c>
      <c r="D211" s="118" t="s">
        <v>207</v>
      </c>
      <c r="E211" s="118">
        <v>37</v>
      </c>
      <c r="F211" s="118" t="s">
        <v>207</v>
      </c>
      <c r="G211" s="118">
        <v>36</v>
      </c>
      <c r="H211" s="118" t="s">
        <v>207</v>
      </c>
      <c r="I211" s="378">
        <v>37</v>
      </c>
      <c r="J211" s="117">
        <v>0</v>
      </c>
      <c r="K211" s="117" t="s">
        <v>194</v>
      </c>
      <c r="L211" t="str">
        <f t="shared" si="51"/>
        <v>IV52</v>
      </c>
      <c r="M211" t="str">
        <f t="shared" si="61"/>
        <v/>
      </c>
      <c r="N211" t="str">
        <f t="shared" si="62"/>
        <v/>
      </c>
      <c r="O211" t="str">
        <f t="shared" si="63"/>
        <v/>
      </c>
      <c r="P211" s="113" t="str">
        <f t="shared" si="52"/>
        <v>IV52</v>
      </c>
      <c r="Q211" s="114">
        <f t="shared" si="53"/>
        <v>37</v>
      </c>
      <c r="R211" s="114">
        <f t="shared" si="54"/>
        <v>36.666666666666664</v>
      </c>
      <c r="S211" s="113">
        <f t="shared" si="55"/>
        <v>36</v>
      </c>
      <c r="T211" s="111">
        <f t="shared" ca="1" si="56"/>
        <v>1.46</v>
      </c>
      <c r="U211" s="111" t="str">
        <f t="shared" si="57"/>
        <v/>
      </c>
      <c r="V211" t="str">
        <f t="array" ref="V211">INDEX(P:P,MAX(U$3:U211))</f>
        <v>SV#1MTR</v>
      </c>
      <c r="W211" t="str">
        <f t="shared" ca="1" si="58"/>
        <v/>
      </c>
      <c r="X211">
        <f t="shared" si="59"/>
        <v>22.8</v>
      </c>
      <c r="Y211">
        <f t="shared" si="60"/>
        <v>75</v>
      </c>
      <c r="Z211" t="str">
        <f t="shared" si="64"/>
        <v>伸港</v>
      </c>
    </row>
    <row r="212" spans="1:26" x14ac:dyDescent="0.25">
      <c r="A212" s="118" t="s">
        <v>394</v>
      </c>
      <c r="B212" s="119" t="s">
        <v>381</v>
      </c>
      <c r="C212" s="119">
        <v>38</v>
      </c>
      <c r="D212" s="118" t="s">
        <v>188</v>
      </c>
      <c r="E212" s="118">
        <v>38</v>
      </c>
      <c r="F212" s="118" t="s">
        <v>188</v>
      </c>
      <c r="G212" s="118">
        <v>39</v>
      </c>
      <c r="H212" s="118" t="s">
        <v>188</v>
      </c>
      <c r="I212" s="378">
        <v>39</v>
      </c>
      <c r="J212" s="117">
        <v>0</v>
      </c>
      <c r="K212" s="117" t="s">
        <v>194</v>
      </c>
      <c r="L212" t="str">
        <f t="shared" si="51"/>
        <v>IV53</v>
      </c>
      <c r="M212" t="str">
        <f t="shared" si="61"/>
        <v/>
      </c>
      <c r="N212" t="str">
        <f t="shared" si="62"/>
        <v/>
      </c>
      <c r="O212" t="str">
        <f t="shared" si="63"/>
        <v/>
      </c>
      <c r="P212" s="113" t="str">
        <f t="shared" si="52"/>
        <v>IV53</v>
      </c>
      <c r="Q212" s="114">
        <f t="shared" si="53"/>
        <v>39</v>
      </c>
      <c r="R212" s="114">
        <f t="shared" si="54"/>
        <v>38.333333333333336</v>
      </c>
      <c r="S212" s="113">
        <f t="shared" si="55"/>
        <v>38</v>
      </c>
      <c r="T212" s="111">
        <f t="shared" ca="1" si="56"/>
        <v>1.54</v>
      </c>
      <c r="U212" s="111" t="str">
        <f t="shared" si="57"/>
        <v/>
      </c>
      <c r="V212" t="str">
        <f t="array" ref="V212">INDEX(P:P,MAX(U$3:U212))</f>
        <v>SV#1MTR</v>
      </c>
      <c r="W212" t="str">
        <f t="shared" ca="1" si="58"/>
        <v/>
      </c>
      <c r="X212">
        <f t="shared" si="59"/>
        <v>22.8</v>
      </c>
      <c r="Y212">
        <f t="shared" si="60"/>
        <v>77</v>
      </c>
      <c r="Z212" t="str">
        <f t="shared" si="64"/>
        <v>伸港</v>
      </c>
    </row>
    <row r="213" spans="1:26" x14ac:dyDescent="0.25">
      <c r="A213" s="118" t="s">
        <v>394</v>
      </c>
      <c r="B213" s="119" t="s">
        <v>382</v>
      </c>
      <c r="C213" s="119">
        <v>18</v>
      </c>
      <c r="D213" s="118" t="s">
        <v>198</v>
      </c>
      <c r="E213" s="118">
        <v>17</v>
      </c>
      <c r="F213" s="118" t="s">
        <v>198</v>
      </c>
      <c r="G213" s="118">
        <v>18</v>
      </c>
      <c r="H213" s="118" t="s">
        <v>198</v>
      </c>
      <c r="I213" s="378">
        <v>18</v>
      </c>
      <c r="J213" s="117">
        <v>0</v>
      </c>
      <c r="K213" s="117" t="s">
        <v>194</v>
      </c>
      <c r="L213" t="str">
        <f t="shared" si="51"/>
        <v>IV54</v>
      </c>
      <c r="M213" t="str">
        <f t="shared" si="61"/>
        <v/>
      </c>
      <c r="N213" t="str">
        <f t="shared" si="62"/>
        <v/>
      </c>
      <c r="O213" t="str">
        <f t="shared" si="63"/>
        <v/>
      </c>
      <c r="P213" s="113" t="str">
        <f t="shared" si="52"/>
        <v>IV54</v>
      </c>
      <c r="Q213" s="114">
        <f t="shared" si="53"/>
        <v>18</v>
      </c>
      <c r="R213" s="114">
        <f t="shared" si="54"/>
        <v>17.666666666666668</v>
      </c>
      <c r="S213" s="113">
        <f t="shared" si="55"/>
        <v>17</v>
      </c>
      <c r="T213" s="111">
        <f t="shared" ca="1" si="56"/>
        <v>0.71</v>
      </c>
      <c r="U213" s="111" t="str">
        <f t="shared" si="57"/>
        <v/>
      </c>
      <c r="V213" t="str">
        <f t="array" ref="V213">INDEX(P:P,MAX(U$3:U213))</f>
        <v>SV#1MTR</v>
      </c>
      <c r="W213" t="str">
        <f t="shared" ca="1" si="58"/>
        <v/>
      </c>
      <c r="X213">
        <f t="shared" si="59"/>
        <v>22.8</v>
      </c>
      <c r="Y213">
        <f t="shared" si="60"/>
        <v>35</v>
      </c>
      <c r="Z213" t="str">
        <f t="shared" si="64"/>
        <v>伸港</v>
      </c>
    </row>
    <row r="214" spans="1:26" x14ac:dyDescent="0.25">
      <c r="A214" s="118" t="s">
        <v>394</v>
      </c>
      <c r="B214" s="119" t="s">
        <v>383</v>
      </c>
      <c r="C214" s="119">
        <v>109</v>
      </c>
      <c r="D214" s="118" t="s">
        <v>207</v>
      </c>
      <c r="E214" s="118">
        <v>110</v>
      </c>
      <c r="F214" s="118" t="s">
        <v>207</v>
      </c>
      <c r="G214" s="118">
        <v>107</v>
      </c>
      <c r="H214" s="118" t="s">
        <v>207</v>
      </c>
      <c r="I214" s="378">
        <v>110</v>
      </c>
      <c r="J214" s="117">
        <v>0</v>
      </c>
      <c r="K214" s="117" t="s">
        <v>194</v>
      </c>
      <c r="L214" t="str">
        <f t="shared" si="51"/>
        <v>IV55</v>
      </c>
      <c r="M214" t="str">
        <f t="shared" si="61"/>
        <v/>
      </c>
      <c r="N214" t="str">
        <f t="shared" si="62"/>
        <v/>
      </c>
      <c r="O214" t="str">
        <f t="shared" si="63"/>
        <v/>
      </c>
      <c r="P214" s="113" t="str">
        <f t="shared" si="52"/>
        <v>IV55</v>
      </c>
      <c r="Q214" s="114">
        <f t="shared" si="53"/>
        <v>110</v>
      </c>
      <c r="R214" s="114">
        <f t="shared" si="54"/>
        <v>108.66666666666667</v>
      </c>
      <c r="S214" s="113">
        <f t="shared" si="55"/>
        <v>107</v>
      </c>
      <c r="T214" s="111">
        <f t="shared" ca="1" si="56"/>
        <v>4.34</v>
      </c>
      <c r="U214" s="111" t="str">
        <f t="shared" si="57"/>
        <v/>
      </c>
      <c r="V214" t="str">
        <f t="array" ref="V214">INDEX(P:P,MAX(U$3:U214))</f>
        <v>SV#1MTR</v>
      </c>
      <c r="W214" t="str">
        <f t="shared" ca="1" si="58"/>
        <v/>
      </c>
      <c r="X214">
        <f t="shared" si="59"/>
        <v>22.8</v>
      </c>
      <c r="Y214">
        <f t="shared" si="60"/>
        <v>221</v>
      </c>
      <c r="Z214" t="str">
        <f t="shared" si="64"/>
        <v>伸港</v>
      </c>
    </row>
    <row r="215" spans="1:26" x14ac:dyDescent="0.25">
      <c r="A215" s="118" t="s">
        <v>394</v>
      </c>
      <c r="B215" s="119" t="s">
        <v>187</v>
      </c>
      <c r="C215" s="119">
        <v>459</v>
      </c>
      <c r="D215" s="118" t="s">
        <v>179</v>
      </c>
      <c r="E215" s="118">
        <v>508</v>
      </c>
      <c r="F215" s="118" t="s">
        <v>177</v>
      </c>
      <c r="G215" s="118">
        <v>422</v>
      </c>
      <c r="H215" s="118" t="s">
        <v>177</v>
      </c>
      <c r="I215" s="378">
        <v>508</v>
      </c>
      <c r="J215" s="117"/>
      <c r="K215" s="117"/>
      <c r="L215" t="str">
        <f t="shared" si="51"/>
        <v>SV#2MTR</v>
      </c>
      <c r="M215" t="str">
        <f t="shared" si="61"/>
        <v/>
      </c>
      <c r="N215" t="str">
        <f t="shared" si="62"/>
        <v>SV#2MTR</v>
      </c>
      <c r="O215" t="str">
        <f t="shared" si="63"/>
        <v/>
      </c>
      <c r="P215" s="113" t="str">
        <f t="shared" si="52"/>
        <v>SV#2MTR</v>
      </c>
      <c r="Q215" s="114">
        <f t="shared" si="53"/>
        <v>508</v>
      </c>
      <c r="R215" s="114">
        <f t="shared" si="54"/>
        <v>463</v>
      </c>
      <c r="S215" s="113">
        <f t="shared" si="55"/>
        <v>422</v>
      </c>
      <c r="T215" s="111">
        <f t="shared" ca="1" si="56"/>
        <v>10.029999999999999</v>
      </c>
      <c r="U215" s="111">
        <f t="shared" si="57"/>
        <v>215</v>
      </c>
      <c r="V215" t="str">
        <f t="array" ref="V215">INDEX(P:P,MAX(U$3:U215))</f>
        <v>SV#2MTR</v>
      </c>
      <c r="W215">
        <f t="shared" ca="1" si="58"/>
        <v>25</v>
      </c>
      <c r="X215" t="str">
        <f t="shared" si="59"/>
        <v/>
      </c>
      <c r="Y215">
        <f t="shared" si="60"/>
        <v>508</v>
      </c>
      <c r="Z215" t="str">
        <f t="shared" si="64"/>
        <v>伸港</v>
      </c>
    </row>
    <row r="216" spans="1:26" x14ac:dyDescent="0.25">
      <c r="A216" s="118" t="s">
        <v>394</v>
      </c>
      <c r="B216" s="119" t="s">
        <v>384</v>
      </c>
      <c r="C216" s="119">
        <v>84</v>
      </c>
      <c r="D216" s="118" t="s">
        <v>203</v>
      </c>
      <c r="E216" s="118">
        <v>82</v>
      </c>
      <c r="F216" s="118" t="s">
        <v>177</v>
      </c>
      <c r="G216" s="118">
        <v>61</v>
      </c>
      <c r="H216" s="118" t="s">
        <v>198</v>
      </c>
      <c r="I216" s="378">
        <v>84</v>
      </c>
      <c r="J216" s="117">
        <v>55</v>
      </c>
      <c r="K216" s="117" t="s">
        <v>184</v>
      </c>
      <c r="L216" t="str">
        <f t="shared" si="51"/>
        <v>IV32</v>
      </c>
      <c r="M216" t="str">
        <f t="shared" si="61"/>
        <v/>
      </c>
      <c r="N216" t="str">
        <f t="shared" si="62"/>
        <v/>
      </c>
      <c r="O216" t="str">
        <f t="shared" si="63"/>
        <v/>
      </c>
      <c r="P216" s="113" t="str">
        <f t="shared" si="52"/>
        <v>IV32</v>
      </c>
      <c r="Q216" s="114">
        <f t="shared" si="53"/>
        <v>84</v>
      </c>
      <c r="R216" s="114">
        <f t="shared" si="54"/>
        <v>75.666666666666671</v>
      </c>
      <c r="S216" s="113">
        <f t="shared" si="55"/>
        <v>61</v>
      </c>
      <c r="T216" s="111">
        <f t="shared" ca="1" si="56"/>
        <v>1.66</v>
      </c>
      <c r="U216" s="111" t="str">
        <f t="shared" si="57"/>
        <v/>
      </c>
      <c r="V216" t="str">
        <f t="array" ref="V216">INDEX(P:P,MAX(U$3:U216))</f>
        <v>SV#2MTR</v>
      </c>
      <c r="W216" t="str">
        <f t="shared" ca="1" si="58"/>
        <v/>
      </c>
      <c r="X216">
        <f t="shared" si="59"/>
        <v>11.4</v>
      </c>
      <c r="Y216">
        <f t="shared" si="60"/>
        <v>166</v>
      </c>
      <c r="Z216" t="str">
        <f t="shared" si="64"/>
        <v>伸港</v>
      </c>
    </row>
    <row r="217" spans="1:26" x14ac:dyDescent="0.25">
      <c r="A217" s="118" t="s">
        <v>394</v>
      </c>
      <c r="B217" s="119" t="s">
        <v>385</v>
      </c>
      <c r="C217" s="119">
        <v>120</v>
      </c>
      <c r="D217" s="118" t="s">
        <v>176</v>
      </c>
      <c r="E217" s="118">
        <v>105</v>
      </c>
      <c r="F217" s="118" t="s">
        <v>176</v>
      </c>
      <c r="G217" s="118">
        <v>106</v>
      </c>
      <c r="H217" s="118" t="s">
        <v>177</v>
      </c>
      <c r="I217" s="378">
        <v>120</v>
      </c>
      <c r="J217" s="117">
        <v>51</v>
      </c>
      <c r="K217" s="117" t="s">
        <v>229</v>
      </c>
      <c r="L217" t="str">
        <f t="shared" si="51"/>
        <v>IV34</v>
      </c>
      <c r="M217" t="str">
        <f t="shared" si="61"/>
        <v/>
      </c>
      <c r="N217" t="str">
        <f t="shared" si="62"/>
        <v/>
      </c>
      <c r="O217" t="str">
        <f t="shared" si="63"/>
        <v/>
      </c>
      <c r="P217" s="113" t="str">
        <f t="shared" si="52"/>
        <v>IV34</v>
      </c>
      <c r="Q217" s="114">
        <f t="shared" si="53"/>
        <v>120</v>
      </c>
      <c r="R217" s="114">
        <f t="shared" si="54"/>
        <v>110.33333333333333</v>
      </c>
      <c r="S217" s="113">
        <f t="shared" si="55"/>
        <v>105</v>
      </c>
      <c r="T217" s="111">
        <f t="shared" ca="1" si="56"/>
        <v>2.37</v>
      </c>
      <c r="U217" s="111" t="str">
        <f t="shared" si="57"/>
        <v/>
      </c>
      <c r="V217" t="str">
        <f t="array" ref="V217">INDEX(P:P,MAX(U$3:U217))</f>
        <v>SV#2MTR</v>
      </c>
      <c r="W217" t="str">
        <f t="shared" ca="1" si="58"/>
        <v/>
      </c>
      <c r="X217">
        <f t="shared" si="59"/>
        <v>11.4</v>
      </c>
      <c r="Y217">
        <f t="shared" si="60"/>
        <v>242</v>
      </c>
      <c r="Z217" t="str">
        <f t="shared" si="64"/>
        <v>伸港</v>
      </c>
    </row>
    <row r="218" spans="1:26" x14ac:dyDescent="0.25">
      <c r="A218" s="118" t="s">
        <v>394</v>
      </c>
      <c r="B218" s="119" t="s">
        <v>386</v>
      </c>
      <c r="C218" s="119">
        <v>164</v>
      </c>
      <c r="D218" s="118" t="s">
        <v>179</v>
      </c>
      <c r="E218" s="118">
        <v>179</v>
      </c>
      <c r="F218" s="118" t="s">
        <v>176</v>
      </c>
      <c r="G218" s="118">
        <v>165</v>
      </c>
      <c r="H218" s="118" t="s">
        <v>177</v>
      </c>
      <c r="I218" s="378">
        <v>179</v>
      </c>
      <c r="J218" s="117">
        <v>37</v>
      </c>
      <c r="K218" s="117" t="s">
        <v>229</v>
      </c>
      <c r="L218" t="str">
        <f t="shared" si="51"/>
        <v>IV33</v>
      </c>
      <c r="M218" t="str">
        <f t="shared" si="61"/>
        <v/>
      </c>
      <c r="N218" t="str">
        <f t="shared" si="62"/>
        <v/>
      </c>
      <c r="O218" t="str">
        <f t="shared" si="63"/>
        <v/>
      </c>
      <c r="P218" s="113" t="str">
        <f t="shared" si="52"/>
        <v>IV33</v>
      </c>
      <c r="Q218" s="114">
        <f t="shared" si="53"/>
        <v>179</v>
      </c>
      <c r="R218" s="114">
        <f t="shared" si="54"/>
        <v>169.33333333333334</v>
      </c>
      <c r="S218" s="113">
        <f t="shared" si="55"/>
        <v>164</v>
      </c>
      <c r="T218" s="111">
        <f t="shared" ca="1" si="56"/>
        <v>3.53</v>
      </c>
      <c r="U218" s="111" t="str">
        <f t="shared" si="57"/>
        <v/>
      </c>
      <c r="V218" t="str">
        <f t="array" ref="V218">INDEX(P:P,MAX(U$3:U218))</f>
        <v>SV#2MTR</v>
      </c>
      <c r="W218" t="str">
        <f t="shared" ca="1" si="58"/>
        <v/>
      </c>
      <c r="X218">
        <f t="shared" si="59"/>
        <v>11.4</v>
      </c>
      <c r="Y218">
        <f t="shared" si="60"/>
        <v>359</v>
      </c>
      <c r="Z218" t="str">
        <f t="shared" si="64"/>
        <v>伸港</v>
      </c>
    </row>
    <row r="219" spans="1:26" x14ac:dyDescent="0.25">
      <c r="A219" s="118" t="s">
        <v>394</v>
      </c>
      <c r="B219" s="119" t="s">
        <v>387</v>
      </c>
      <c r="C219" s="119">
        <v>59</v>
      </c>
      <c r="D219" s="118" t="s">
        <v>177</v>
      </c>
      <c r="E219" s="118">
        <v>67</v>
      </c>
      <c r="F219" s="118" t="s">
        <v>188</v>
      </c>
      <c r="G219" s="118">
        <v>59</v>
      </c>
      <c r="H219" s="118" t="s">
        <v>177</v>
      </c>
      <c r="I219" s="378">
        <v>67</v>
      </c>
      <c r="J219" s="117">
        <v>20</v>
      </c>
      <c r="K219" s="117" t="s">
        <v>211</v>
      </c>
      <c r="L219" t="str">
        <f t="shared" si="51"/>
        <v>IV35</v>
      </c>
      <c r="M219" t="str">
        <f t="shared" si="61"/>
        <v/>
      </c>
      <c r="N219" t="str">
        <f t="shared" si="62"/>
        <v/>
      </c>
      <c r="O219" t="str">
        <f t="shared" si="63"/>
        <v/>
      </c>
      <c r="P219" s="113" t="str">
        <f t="shared" si="52"/>
        <v>IV35</v>
      </c>
      <c r="Q219" s="114">
        <f t="shared" si="53"/>
        <v>67</v>
      </c>
      <c r="R219" s="114">
        <f t="shared" si="54"/>
        <v>61.666666666666664</v>
      </c>
      <c r="S219" s="113">
        <f t="shared" si="55"/>
        <v>59</v>
      </c>
      <c r="T219" s="111">
        <f t="shared" ca="1" si="56"/>
        <v>1.32</v>
      </c>
      <c r="U219" s="111" t="str">
        <f t="shared" si="57"/>
        <v/>
      </c>
      <c r="V219" t="str">
        <f t="array" ref="V219">INDEX(P:P,MAX(U$3:U219))</f>
        <v>SV#2MTR</v>
      </c>
      <c r="W219" t="str">
        <f t="shared" ca="1" si="58"/>
        <v/>
      </c>
      <c r="X219">
        <f t="shared" si="59"/>
        <v>11.4</v>
      </c>
      <c r="Y219">
        <f t="shared" si="60"/>
        <v>134</v>
      </c>
      <c r="Z219" t="str">
        <f t="shared" si="64"/>
        <v>伸港</v>
      </c>
    </row>
    <row r="220" spans="1:26" x14ac:dyDescent="0.25">
      <c r="A220" s="118" t="s">
        <v>394</v>
      </c>
      <c r="B220" s="119" t="s">
        <v>388</v>
      </c>
      <c r="C220" s="119">
        <v>63</v>
      </c>
      <c r="D220" s="118" t="s">
        <v>179</v>
      </c>
      <c r="E220" s="118">
        <v>92</v>
      </c>
      <c r="F220" s="118" t="s">
        <v>176</v>
      </c>
      <c r="G220" s="118">
        <v>54</v>
      </c>
      <c r="H220" s="118" t="s">
        <v>196</v>
      </c>
      <c r="I220" s="378">
        <v>92</v>
      </c>
      <c r="J220" s="117">
        <v>33</v>
      </c>
      <c r="K220" s="117" t="s">
        <v>176</v>
      </c>
      <c r="L220" t="str">
        <f t="shared" si="51"/>
        <v>IV31</v>
      </c>
      <c r="M220" t="str">
        <f t="shared" si="61"/>
        <v/>
      </c>
      <c r="N220" t="str">
        <f t="shared" si="62"/>
        <v/>
      </c>
      <c r="O220" t="str">
        <f t="shared" si="63"/>
        <v/>
      </c>
      <c r="P220" s="113" t="str">
        <f t="shared" si="52"/>
        <v>IV31</v>
      </c>
      <c r="Q220" s="114">
        <f t="shared" si="53"/>
        <v>92</v>
      </c>
      <c r="R220" s="114">
        <f t="shared" si="54"/>
        <v>69.666666666666671</v>
      </c>
      <c r="S220" s="113">
        <f t="shared" si="55"/>
        <v>54</v>
      </c>
      <c r="T220" s="111">
        <f t="shared" ca="1" si="56"/>
        <v>1.82</v>
      </c>
      <c r="U220" s="111" t="str">
        <f t="shared" si="57"/>
        <v/>
      </c>
      <c r="V220" t="str">
        <f t="array" ref="V220">INDEX(P:P,MAX(U$3:U220))</f>
        <v>SV#2MTR</v>
      </c>
      <c r="W220" t="str">
        <f t="shared" ca="1" si="58"/>
        <v/>
      </c>
      <c r="X220">
        <f t="shared" si="59"/>
        <v>11.4</v>
      </c>
      <c r="Y220">
        <f t="shared" si="60"/>
        <v>185</v>
      </c>
      <c r="Z220" t="str">
        <f t="shared" si="64"/>
        <v>伸港</v>
      </c>
    </row>
    <row r="221" spans="1:26" x14ac:dyDescent="0.25">
      <c r="A221" s="118" t="s">
        <v>394</v>
      </c>
      <c r="B221" s="119" t="s">
        <v>197</v>
      </c>
      <c r="C221" s="119">
        <v>635</v>
      </c>
      <c r="D221" s="118" t="s">
        <v>177</v>
      </c>
      <c r="E221" s="118">
        <v>650</v>
      </c>
      <c r="F221" s="118" t="s">
        <v>176</v>
      </c>
      <c r="G221" s="118">
        <v>617</v>
      </c>
      <c r="H221" s="118" t="s">
        <v>176</v>
      </c>
      <c r="I221" s="378">
        <v>650</v>
      </c>
      <c r="J221" s="117"/>
      <c r="K221" s="117"/>
      <c r="L221" t="str">
        <f t="shared" si="51"/>
        <v>SV#3MTR</v>
      </c>
      <c r="M221" t="str">
        <f t="shared" si="61"/>
        <v/>
      </c>
      <c r="N221" t="str">
        <f t="shared" si="62"/>
        <v>SV#3MTR</v>
      </c>
      <c r="O221" t="str">
        <f t="shared" si="63"/>
        <v/>
      </c>
      <c r="P221" s="113" t="str">
        <f t="shared" si="52"/>
        <v>SV#3MTR</v>
      </c>
      <c r="Q221" s="114">
        <f t="shared" si="53"/>
        <v>650</v>
      </c>
      <c r="R221" s="114">
        <f t="shared" si="54"/>
        <v>634</v>
      </c>
      <c r="S221" s="113">
        <f t="shared" si="55"/>
        <v>617</v>
      </c>
      <c r="T221" s="111">
        <f t="shared" ca="1" si="56"/>
        <v>12.83</v>
      </c>
      <c r="U221" s="111">
        <f t="shared" si="57"/>
        <v>221</v>
      </c>
      <c r="V221" t="str">
        <f t="array" ref="V221">INDEX(P:P,MAX(U$3:U221))</f>
        <v>SV#3MTR</v>
      </c>
      <c r="W221">
        <f t="shared" ca="1" si="58"/>
        <v>25</v>
      </c>
      <c r="X221" t="str">
        <f t="shared" si="59"/>
        <v/>
      </c>
      <c r="Y221">
        <f t="shared" si="60"/>
        <v>650</v>
      </c>
      <c r="Z221" t="str">
        <f t="shared" si="64"/>
        <v>伸港</v>
      </c>
    </row>
    <row r="222" spans="1:26" x14ac:dyDescent="0.25">
      <c r="A222" s="118" t="s">
        <v>394</v>
      </c>
      <c r="B222" s="119" t="s">
        <v>389</v>
      </c>
      <c r="C222" s="119">
        <v>94</v>
      </c>
      <c r="D222" s="118" t="s">
        <v>184</v>
      </c>
      <c r="E222" s="118">
        <v>100</v>
      </c>
      <c r="F222" s="118" t="s">
        <v>177</v>
      </c>
      <c r="G222" s="118">
        <v>74</v>
      </c>
      <c r="H222" s="118" t="s">
        <v>177</v>
      </c>
      <c r="I222" s="378">
        <v>100</v>
      </c>
      <c r="J222" s="117">
        <v>81</v>
      </c>
      <c r="K222" s="117" t="s">
        <v>207</v>
      </c>
      <c r="L222" t="str">
        <f t="shared" si="51"/>
        <v>IV24</v>
      </c>
      <c r="M222" t="str">
        <f t="shared" si="61"/>
        <v/>
      </c>
      <c r="N222" t="str">
        <f t="shared" si="62"/>
        <v/>
      </c>
      <c r="O222" t="str">
        <f t="shared" si="63"/>
        <v/>
      </c>
      <c r="P222" s="113" t="str">
        <f t="shared" si="52"/>
        <v>IV24</v>
      </c>
      <c r="Q222" s="114">
        <f t="shared" si="53"/>
        <v>100</v>
      </c>
      <c r="R222" s="114">
        <f t="shared" si="54"/>
        <v>89.333333333333329</v>
      </c>
      <c r="S222" s="113">
        <f t="shared" si="55"/>
        <v>74</v>
      </c>
      <c r="T222" s="111">
        <f t="shared" ca="1" si="56"/>
        <v>1.97</v>
      </c>
      <c r="U222" s="111" t="str">
        <f t="shared" si="57"/>
        <v/>
      </c>
      <c r="V222" t="str">
        <f t="array" ref="V222">INDEX(P:P,MAX(U$3:U222))</f>
        <v>SV#3MTR</v>
      </c>
      <c r="W222" t="str">
        <f t="shared" ca="1" si="58"/>
        <v/>
      </c>
      <c r="X222">
        <f t="shared" si="59"/>
        <v>11.4</v>
      </c>
      <c r="Y222">
        <f t="shared" si="60"/>
        <v>199</v>
      </c>
      <c r="Z222" t="str">
        <f t="shared" si="64"/>
        <v>伸港</v>
      </c>
    </row>
    <row r="223" spans="1:26" x14ac:dyDescent="0.25">
      <c r="A223" s="118" t="s">
        <v>394</v>
      </c>
      <c r="B223" s="119" t="s">
        <v>390</v>
      </c>
      <c r="C223" s="119">
        <v>73</v>
      </c>
      <c r="D223" s="118" t="s">
        <v>179</v>
      </c>
      <c r="E223" s="118">
        <v>72</v>
      </c>
      <c r="F223" s="118" t="s">
        <v>229</v>
      </c>
      <c r="G223" s="118">
        <v>84</v>
      </c>
      <c r="H223" s="118" t="s">
        <v>176</v>
      </c>
      <c r="I223" s="378">
        <v>84</v>
      </c>
      <c r="J223" s="117">
        <v>29</v>
      </c>
      <c r="K223" s="117" t="s">
        <v>205</v>
      </c>
      <c r="L223" t="str">
        <f t="shared" si="51"/>
        <v>IV25</v>
      </c>
      <c r="M223" t="str">
        <f t="shared" si="61"/>
        <v/>
      </c>
      <c r="N223" t="str">
        <f t="shared" si="62"/>
        <v/>
      </c>
      <c r="O223" t="str">
        <f t="shared" si="63"/>
        <v/>
      </c>
      <c r="P223" s="113" t="str">
        <f t="shared" si="52"/>
        <v>IV25</v>
      </c>
      <c r="Q223" s="114">
        <f t="shared" si="53"/>
        <v>84</v>
      </c>
      <c r="R223" s="114">
        <f t="shared" si="54"/>
        <v>76.333333333333329</v>
      </c>
      <c r="S223" s="113">
        <f t="shared" si="55"/>
        <v>72</v>
      </c>
      <c r="T223" s="111">
        <f t="shared" ca="1" si="56"/>
        <v>1.66</v>
      </c>
      <c r="U223" s="111" t="str">
        <f t="shared" si="57"/>
        <v/>
      </c>
      <c r="V223" t="str">
        <f t="array" ref="V223">INDEX(P:P,MAX(U$3:U223))</f>
        <v>SV#3MTR</v>
      </c>
      <c r="W223" t="str">
        <f t="shared" ca="1" si="58"/>
        <v/>
      </c>
      <c r="X223">
        <f t="shared" si="59"/>
        <v>11.4</v>
      </c>
      <c r="Y223">
        <f t="shared" si="60"/>
        <v>169</v>
      </c>
      <c r="Z223" t="str">
        <f t="shared" si="64"/>
        <v>伸港</v>
      </c>
    </row>
    <row r="224" spans="1:26" x14ac:dyDescent="0.25">
      <c r="A224" s="118" t="s">
        <v>394</v>
      </c>
      <c r="B224" s="119" t="s">
        <v>391</v>
      </c>
      <c r="C224" s="119">
        <v>279</v>
      </c>
      <c r="D224" s="118" t="s">
        <v>188</v>
      </c>
      <c r="E224" s="118">
        <v>314</v>
      </c>
      <c r="F224" s="118" t="s">
        <v>188</v>
      </c>
      <c r="G224" s="118">
        <v>291</v>
      </c>
      <c r="H224" s="118" t="s">
        <v>176</v>
      </c>
      <c r="I224" s="378">
        <v>314</v>
      </c>
      <c r="J224" s="117">
        <v>83</v>
      </c>
      <c r="K224" s="117" t="s">
        <v>211</v>
      </c>
      <c r="L224" t="str">
        <f t="shared" si="51"/>
        <v>IV22</v>
      </c>
      <c r="M224" t="str">
        <f t="shared" si="61"/>
        <v/>
      </c>
      <c r="N224" t="str">
        <f t="shared" si="62"/>
        <v/>
      </c>
      <c r="O224" t="str">
        <f t="shared" si="63"/>
        <v/>
      </c>
      <c r="P224" s="113" t="str">
        <f t="shared" si="52"/>
        <v>IV22</v>
      </c>
      <c r="Q224" s="114">
        <f t="shared" si="53"/>
        <v>314</v>
      </c>
      <c r="R224" s="114">
        <f t="shared" si="54"/>
        <v>294.66666666666669</v>
      </c>
      <c r="S224" s="113">
        <f t="shared" si="55"/>
        <v>279</v>
      </c>
      <c r="T224" s="111">
        <f t="shared" ca="1" si="56"/>
        <v>6.2</v>
      </c>
      <c r="U224" s="111" t="str">
        <f t="shared" si="57"/>
        <v/>
      </c>
      <c r="V224" t="str">
        <f t="array" ref="V224">INDEX(P:P,MAX(U$3:U224))</f>
        <v>SV#3MTR</v>
      </c>
      <c r="W224" t="str">
        <f t="shared" ca="1" si="58"/>
        <v/>
      </c>
      <c r="X224">
        <f t="shared" si="59"/>
        <v>11.4</v>
      </c>
      <c r="Y224">
        <f t="shared" si="60"/>
        <v>628</v>
      </c>
      <c r="Z224" t="str">
        <f t="shared" si="64"/>
        <v>伸港</v>
      </c>
    </row>
    <row r="225" spans="1:26" x14ac:dyDescent="0.25">
      <c r="A225" s="118" t="s">
        <v>394</v>
      </c>
      <c r="B225" s="119" t="s">
        <v>392</v>
      </c>
      <c r="C225" s="119">
        <v>192</v>
      </c>
      <c r="D225" s="118" t="s">
        <v>207</v>
      </c>
      <c r="E225" s="118">
        <v>161</v>
      </c>
      <c r="F225" s="118" t="s">
        <v>205</v>
      </c>
      <c r="G225" s="118">
        <v>179</v>
      </c>
      <c r="H225" s="118" t="s">
        <v>207</v>
      </c>
      <c r="I225" s="378">
        <v>192</v>
      </c>
      <c r="J225" s="117">
        <v>56</v>
      </c>
      <c r="K225" s="117" t="s">
        <v>229</v>
      </c>
      <c r="L225" t="str">
        <f t="shared" si="51"/>
        <v>IV21</v>
      </c>
      <c r="M225" t="str">
        <f t="shared" si="61"/>
        <v/>
      </c>
      <c r="N225" t="str">
        <f t="shared" si="62"/>
        <v/>
      </c>
      <c r="O225" t="str">
        <f t="shared" si="63"/>
        <v/>
      </c>
      <c r="P225" s="113" t="str">
        <f t="shared" si="52"/>
        <v>IV21</v>
      </c>
      <c r="Q225" s="114">
        <f t="shared" si="53"/>
        <v>192</v>
      </c>
      <c r="R225" s="114">
        <f t="shared" si="54"/>
        <v>177.33333333333334</v>
      </c>
      <c r="S225" s="113">
        <f t="shared" si="55"/>
        <v>161</v>
      </c>
      <c r="T225" s="111">
        <f t="shared" ca="1" si="56"/>
        <v>3.79</v>
      </c>
      <c r="U225" s="111" t="str">
        <f t="shared" si="57"/>
        <v/>
      </c>
      <c r="V225" t="str">
        <f t="array" ref="V225">INDEX(P:P,MAX(U$3:U225))</f>
        <v>SV#3MTR</v>
      </c>
      <c r="W225" t="str">
        <f t="shared" ca="1" si="58"/>
        <v/>
      </c>
      <c r="X225">
        <f t="shared" si="59"/>
        <v>11.4</v>
      </c>
      <c r="Y225">
        <f t="shared" si="60"/>
        <v>381</v>
      </c>
      <c r="Z225" t="str">
        <f t="shared" si="64"/>
        <v>伸港</v>
      </c>
    </row>
    <row r="226" spans="1:26" x14ac:dyDescent="0.25">
      <c r="A226" s="118" t="s">
        <v>394</v>
      </c>
      <c r="B226" s="119" t="s">
        <v>393</v>
      </c>
      <c r="C226" s="119">
        <v>89</v>
      </c>
      <c r="D226" s="118" t="s">
        <v>196</v>
      </c>
      <c r="E226" s="118">
        <v>81</v>
      </c>
      <c r="F226" s="118" t="s">
        <v>177</v>
      </c>
      <c r="G226" s="118">
        <v>44</v>
      </c>
      <c r="H226" s="118" t="s">
        <v>188</v>
      </c>
      <c r="I226" s="378">
        <v>89</v>
      </c>
      <c r="J226" s="117">
        <v>46</v>
      </c>
      <c r="K226" s="117" t="s">
        <v>177</v>
      </c>
      <c r="L226" t="str">
        <f t="shared" si="51"/>
        <v>IV29</v>
      </c>
      <c r="M226" t="str">
        <f t="shared" si="61"/>
        <v/>
      </c>
      <c r="N226" t="str">
        <f t="shared" si="62"/>
        <v/>
      </c>
      <c r="O226" t="str">
        <f t="shared" si="63"/>
        <v/>
      </c>
      <c r="P226" s="113" t="str">
        <f t="shared" si="52"/>
        <v>IV29</v>
      </c>
      <c r="Q226" s="114">
        <f t="shared" si="53"/>
        <v>89</v>
      </c>
      <c r="R226" s="114">
        <f t="shared" si="54"/>
        <v>71.333333333333329</v>
      </c>
      <c r="S226" s="113">
        <f t="shared" si="55"/>
        <v>44</v>
      </c>
      <c r="T226" s="111">
        <f t="shared" ca="1" si="56"/>
        <v>1.76</v>
      </c>
      <c r="U226" s="111" t="str">
        <f t="shared" si="57"/>
        <v/>
      </c>
      <c r="V226" t="str">
        <f t="array" ref="V226">INDEX(P:P,MAX(U$3:U226))</f>
        <v>SV#3MTR</v>
      </c>
      <c r="W226" t="str">
        <f t="shared" ca="1" si="58"/>
        <v/>
      </c>
      <c r="X226">
        <f t="shared" si="59"/>
        <v>11.4</v>
      </c>
      <c r="Y226">
        <f t="shared" si="60"/>
        <v>178</v>
      </c>
      <c r="Z226" t="str">
        <f t="shared" si="64"/>
        <v>伸港</v>
      </c>
    </row>
    <row r="227" spans="1:26" x14ac:dyDescent="0.25">
      <c r="A227" s="118" t="s">
        <v>395</v>
      </c>
      <c r="B227" s="119" t="s">
        <v>175</v>
      </c>
      <c r="C227" s="119">
        <v>626</v>
      </c>
      <c r="D227" s="118" t="s">
        <v>177</v>
      </c>
      <c r="E227" s="118">
        <v>592</v>
      </c>
      <c r="F227" s="118" t="s">
        <v>177</v>
      </c>
      <c r="G227" s="118">
        <v>638</v>
      </c>
      <c r="H227" s="118" t="s">
        <v>177</v>
      </c>
      <c r="I227" s="378">
        <v>638</v>
      </c>
      <c r="J227" s="117"/>
      <c r="K227" s="117"/>
      <c r="L227" t="str">
        <f t="shared" si="51"/>
        <v>IJ#1MTR</v>
      </c>
      <c r="M227" t="str">
        <f t="shared" si="61"/>
        <v/>
      </c>
      <c r="N227" t="str">
        <f t="shared" si="62"/>
        <v>IJ#1MTR</v>
      </c>
      <c r="O227" t="str">
        <f t="shared" si="63"/>
        <v/>
      </c>
      <c r="P227" s="113" t="str">
        <f t="shared" si="52"/>
        <v>IJ#1MTR</v>
      </c>
      <c r="Q227" s="114">
        <f t="shared" si="53"/>
        <v>638</v>
      </c>
      <c r="R227" s="114">
        <f t="shared" si="54"/>
        <v>618.66666666666663</v>
      </c>
      <c r="S227" s="113">
        <f t="shared" si="55"/>
        <v>592</v>
      </c>
      <c r="T227" s="111">
        <f t="shared" ca="1" si="56"/>
        <v>12.6</v>
      </c>
      <c r="U227" s="111">
        <f t="shared" si="57"/>
        <v>227</v>
      </c>
      <c r="V227" t="str">
        <f t="array" ref="V227">INDEX(P:P,MAX(U$3:U227))</f>
        <v>IJ#1MTR</v>
      </c>
      <c r="W227">
        <f t="shared" ca="1" si="58"/>
        <v>25</v>
      </c>
      <c r="X227" t="str">
        <f t="shared" si="59"/>
        <v/>
      </c>
      <c r="Y227">
        <f t="shared" si="60"/>
        <v>638</v>
      </c>
      <c r="Z227" t="str">
        <f t="shared" si="64"/>
        <v>和美</v>
      </c>
    </row>
    <row r="228" spans="1:26" x14ac:dyDescent="0.25">
      <c r="A228" s="118" t="s">
        <v>395</v>
      </c>
      <c r="B228" s="119" t="s">
        <v>396</v>
      </c>
      <c r="C228" s="119">
        <v>145</v>
      </c>
      <c r="D228" s="118" t="s">
        <v>192</v>
      </c>
      <c r="E228" s="118">
        <v>119</v>
      </c>
      <c r="F228" s="118" t="s">
        <v>198</v>
      </c>
      <c r="G228" s="118">
        <v>131</v>
      </c>
      <c r="H228" s="118" t="s">
        <v>198</v>
      </c>
      <c r="I228" s="378">
        <v>145</v>
      </c>
      <c r="J228" s="117">
        <v>41</v>
      </c>
      <c r="K228" s="117" t="s">
        <v>188</v>
      </c>
      <c r="L228" t="str">
        <f t="shared" si="51"/>
        <v>IJ23</v>
      </c>
      <c r="M228" t="str">
        <f t="shared" si="61"/>
        <v/>
      </c>
      <c r="N228" t="str">
        <f t="shared" si="62"/>
        <v/>
      </c>
      <c r="O228" t="str">
        <f t="shared" si="63"/>
        <v/>
      </c>
      <c r="P228" s="113" t="str">
        <f t="shared" si="52"/>
        <v>IJ23</v>
      </c>
      <c r="Q228" s="114">
        <f t="shared" si="53"/>
        <v>145</v>
      </c>
      <c r="R228" s="114">
        <f t="shared" si="54"/>
        <v>131.66666666666666</v>
      </c>
      <c r="S228" s="113">
        <f t="shared" si="55"/>
        <v>119</v>
      </c>
      <c r="T228" s="111">
        <f t="shared" ca="1" si="56"/>
        <v>2.86</v>
      </c>
      <c r="U228" s="111" t="str">
        <f t="shared" si="57"/>
        <v/>
      </c>
      <c r="V228" t="str">
        <f t="array" ref="V228">INDEX(P:P,MAX(U$3:U228))</f>
        <v>IJ#1MTR</v>
      </c>
      <c r="W228" t="str">
        <f t="shared" ca="1" si="58"/>
        <v/>
      </c>
      <c r="X228">
        <f t="shared" si="59"/>
        <v>11.4</v>
      </c>
      <c r="Y228">
        <f t="shared" si="60"/>
        <v>145</v>
      </c>
      <c r="Z228" t="str">
        <f t="shared" si="64"/>
        <v>和美</v>
      </c>
    </row>
    <row r="229" spans="1:26" x14ac:dyDescent="0.25">
      <c r="A229" s="118" t="s">
        <v>395</v>
      </c>
      <c r="B229" s="119" t="s">
        <v>397</v>
      </c>
      <c r="C229" s="119">
        <v>91</v>
      </c>
      <c r="D229" s="118" t="s">
        <v>205</v>
      </c>
      <c r="E229" s="118">
        <v>106</v>
      </c>
      <c r="F229" s="118" t="s">
        <v>176</v>
      </c>
      <c r="G229" s="118">
        <v>72</v>
      </c>
      <c r="H229" s="118" t="s">
        <v>196</v>
      </c>
      <c r="I229" s="378">
        <v>106</v>
      </c>
      <c r="J229" s="117">
        <v>50</v>
      </c>
      <c r="K229" s="117" t="s">
        <v>180</v>
      </c>
      <c r="L229" t="str">
        <f t="shared" si="51"/>
        <v>IJ33</v>
      </c>
      <c r="M229" t="str">
        <f t="shared" si="61"/>
        <v/>
      </c>
      <c r="N229" t="str">
        <f t="shared" si="62"/>
        <v/>
      </c>
      <c r="O229" t="str">
        <f t="shared" si="63"/>
        <v/>
      </c>
      <c r="P229" s="113" t="str">
        <f t="shared" si="52"/>
        <v>IJ33</v>
      </c>
      <c r="Q229" s="114">
        <f t="shared" si="53"/>
        <v>106</v>
      </c>
      <c r="R229" s="114">
        <f t="shared" si="54"/>
        <v>89.666666666666671</v>
      </c>
      <c r="S229" s="113">
        <f t="shared" si="55"/>
        <v>72</v>
      </c>
      <c r="T229" s="111">
        <f t="shared" ca="1" si="56"/>
        <v>2.09</v>
      </c>
      <c r="U229" s="111" t="str">
        <f t="shared" si="57"/>
        <v/>
      </c>
      <c r="V229" t="str">
        <f t="array" ref="V229">INDEX(P:P,MAX(U$3:U229))</f>
        <v>IJ#1MTR</v>
      </c>
      <c r="W229" t="str">
        <f t="shared" ca="1" si="58"/>
        <v/>
      </c>
      <c r="X229">
        <f t="shared" si="59"/>
        <v>11.4</v>
      </c>
      <c r="Y229">
        <f t="shared" si="60"/>
        <v>106</v>
      </c>
      <c r="Z229" t="str">
        <f t="shared" si="64"/>
        <v>和美</v>
      </c>
    </row>
    <row r="230" spans="1:26" x14ac:dyDescent="0.25">
      <c r="A230" s="118" t="s">
        <v>395</v>
      </c>
      <c r="B230" s="119" t="s">
        <v>398</v>
      </c>
      <c r="C230" s="119">
        <v>237</v>
      </c>
      <c r="D230" s="118" t="s">
        <v>205</v>
      </c>
      <c r="E230" s="118">
        <v>223</v>
      </c>
      <c r="F230" s="118" t="s">
        <v>205</v>
      </c>
      <c r="G230" s="118">
        <v>228</v>
      </c>
      <c r="H230" s="118" t="s">
        <v>177</v>
      </c>
      <c r="I230" s="378">
        <v>237</v>
      </c>
      <c r="J230" s="117">
        <v>54</v>
      </c>
      <c r="K230" s="117" t="s">
        <v>200</v>
      </c>
      <c r="L230" t="str">
        <f t="shared" si="51"/>
        <v>IJ30</v>
      </c>
      <c r="M230" t="str">
        <f t="shared" si="61"/>
        <v/>
      </c>
      <c r="N230" t="str">
        <f t="shared" si="62"/>
        <v/>
      </c>
      <c r="O230" t="str">
        <f t="shared" si="63"/>
        <v/>
      </c>
      <c r="P230" s="113" t="str">
        <f t="shared" si="52"/>
        <v>IJ30</v>
      </c>
      <c r="Q230" s="114">
        <f t="shared" si="53"/>
        <v>237</v>
      </c>
      <c r="R230" s="114">
        <f t="shared" si="54"/>
        <v>229.33333333333334</v>
      </c>
      <c r="S230" s="113">
        <f t="shared" si="55"/>
        <v>223</v>
      </c>
      <c r="T230" s="111">
        <f t="shared" ca="1" si="56"/>
        <v>4.68</v>
      </c>
      <c r="U230" s="111" t="str">
        <f t="shared" si="57"/>
        <v/>
      </c>
      <c r="V230" t="str">
        <f t="array" ref="V230">INDEX(P:P,MAX(U$3:U230))</f>
        <v>IJ#1MTR</v>
      </c>
      <c r="W230" t="str">
        <f t="shared" ca="1" si="58"/>
        <v/>
      </c>
      <c r="X230">
        <f t="shared" si="59"/>
        <v>11.4</v>
      </c>
      <c r="Y230">
        <f t="shared" si="60"/>
        <v>237</v>
      </c>
      <c r="Z230" t="str">
        <f t="shared" si="64"/>
        <v>和美</v>
      </c>
    </row>
    <row r="231" spans="1:26" x14ac:dyDescent="0.25">
      <c r="A231" s="118" t="s">
        <v>395</v>
      </c>
      <c r="B231" s="119" t="s">
        <v>399</v>
      </c>
      <c r="C231" s="119">
        <v>174</v>
      </c>
      <c r="D231" s="118" t="s">
        <v>179</v>
      </c>
      <c r="E231" s="118">
        <v>157</v>
      </c>
      <c r="F231" s="118" t="s">
        <v>179</v>
      </c>
      <c r="G231" s="118">
        <v>186</v>
      </c>
      <c r="H231" s="118" t="s">
        <v>177</v>
      </c>
      <c r="I231" s="378">
        <v>186</v>
      </c>
      <c r="J231" s="117">
        <v>60</v>
      </c>
      <c r="K231" s="117" t="s">
        <v>205</v>
      </c>
      <c r="L231" t="str">
        <f t="shared" si="51"/>
        <v>IJ22</v>
      </c>
      <c r="M231" t="str">
        <f t="shared" si="61"/>
        <v/>
      </c>
      <c r="N231" t="str">
        <f t="shared" si="62"/>
        <v/>
      </c>
      <c r="O231" t="str">
        <f t="shared" si="63"/>
        <v/>
      </c>
      <c r="P231" s="113" t="str">
        <f t="shared" si="52"/>
        <v>IJ22</v>
      </c>
      <c r="Q231" s="114">
        <f t="shared" si="53"/>
        <v>186</v>
      </c>
      <c r="R231" s="114">
        <f t="shared" si="54"/>
        <v>172.33333333333334</v>
      </c>
      <c r="S231" s="113">
        <f t="shared" si="55"/>
        <v>157</v>
      </c>
      <c r="T231" s="111">
        <f t="shared" ca="1" si="56"/>
        <v>3.67</v>
      </c>
      <c r="U231" s="111" t="str">
        <f t="shared" si="57"/>
        <v/>
      </c>
      <c r="V231" t="str">
        <f t="array" ref="V231">INDEX(P:P,MAX(U$3:U231))</f>
        <v>IJ#1MTR</v>
      </c>
      <c r="W231" t="str">
        <f t="shared" ca="1" si="58"/>
        <v/>
      </c>
      <c r="X231">
        <f t="shared" si="59"/>
        <v>11.4</v>
      </c>
      <c r="Y231">
        <f t="shared" si="60"/>
        <v>186</v>
      </c>
      <c r="Z231" t="str">
        <f t="shared" si="64"/>
        <v>和美</v>
      </c>
    </row>
    <row r="232" spans="1:26" x14ac:dyDescent="0.25">
      <c r="A232" s="118" t="s">
        <v>395</v>
      </c>
      <c r="B232" s="119" t="s">
        <v>400</v>
      </c>
      <c r="C232" s="119">
        <v>74</v>
      </c>
      <c r="D232" s="118" t="s">
        <v>188</v>
      </c>
      <c r="E232" s="118">
        <v>59</v>
      </c>
      <c r="F232" s="118" t="s">
        <v>176</v>
      </c>
      <c r="G232" s="118">
        <v>43</v>
      </c>
      <c r="H232" s="118" t="s">
        <v>196</v>
      </c>
      <c r="I232" s="378">
        <v>74</v>
      </c>
      <c r="J232" s="117">
        <v>31</v>
      </c>
      <c r="K232" s="117" t="s">
        <v>188</v>
      </c>
      <c r="L232" t="str">
        <f t="shared" si="51"/>
        <v>IJ34</v>
      </c>
      <c r="M232" t="str">
        <f t="shared" si="61"/>
        <v/>
      </c>
      <c r="N232" t="str">
        <f t="shared" si="62"/>
        <v/>
      </c>
      <c r="O232" t="str">
        <f t="shared" si="63"/>
        <v/>
      </c>
      <c r="P232" s="113" t="str">
        <f t="shared" si="52"/>
        <v>IJ34</v>
      </c>
      <c r="Q232" s="114">
        <f t="shared" si="53"/>
        <v>74</v>
      </c>
      <c r="R232" s="114">
        <f t="shared" si="54"/>
        <v>58.666666666666664</v>
      </c>
      <c r="S232" s="113">
        <f t="shared" si="55"/>
        <v>43</v>
      </c>
      <c r="T232" s="111">
        <f t="shared" ca="1" si="56"/>
        <v>1.46</v>
      </c>
      <c r="U232" s="111" t="str">
        <f t="shared" si="57"/>
        <v/>
      </c>
      <c r="V232" t="str">
        <f t="array" ref="V232">INDEX(P:P,MAX(U$3:U232))</f>
        <v>IJ#1MTR</v>
      </c>
      <c r="W232" t="str">
        <f t="shared" ca="1" si="58"/>
        <v/>
      </c>
      <c r="X232">
        <f t="shared" si="59"/>
        <v>11.4</v>
      </c>
      <c r="Y232">
        <f t="shared" si="60"/>
        <v>74</v>
      </c>
      <c r="Z232" t="str">
        <f t="shared" si="64"/>
        <v>和美</v>
      </c>
    </row>
    <row r="233" spans="1:26" x14ac:dyDescent="0.25">
      <c r="A233" s="118" t="s">
        <v>395</v>
      </c>
      <c r="B233" s="119" t="s">
        <v>187</v>
      </c>
      <c r="C233" s="119">
        <v>560</v>
      </c>
      <c r="D233" s="118" t="s">
        <v>177</v>
      </c>
      <c r="E233" s="118">
        <v>583</v>
      </c>
      <c r="F233" s="118" t="s">
        <v>179</v>
      </c>
      <c r="G233" s="118">
        <v>568</v>
      </c>
      <c r="H233" s="118" t="s">
        <v>177</v>
      </c>
      <c r="I233" s="378">
        <v>583</v>
      </c>
      <c r="J233" s="117"/>
      <c r="K233" s="117"/>
      <c r="L233" t="str">
        <f t="shared" si="51"/>
        <v>IJ#2MTR</v>
      </c>
      <c r="M233" t="str">
        <f t="shared" si="61"/>
        <v/>
      </c>
      <c r="N233" t="str">
        <f t="shared" si="62"/>
        <v>IJ#2MTR</v>
      </c>
      <c r="O233" t="str">
        <f t="shared" si="63"/>
        <v/>
      </c>
      <c r="P233" s="113" t="str">
        <f t="shared" si="52"/>
        <v>IJ#2MTR</v>
      </c>
      <c r="Q233" s="114">
        <f t="shared" si="53"/>
        <v>583</v>
      </c>
      <c r="R233" s="114">
        <f t="shared" si="54"/>
        <v>570.33333333333337</v>
      </c>
      <c r="S233" s="113">
        <f t="shared" si="55"/>
        <v>560</v>
      </c>
      <c r="T233" s="111">
        <f t="shared" ca="1" si="56"/>
        <v>11.51</v>
      </c>
      <c r="U233" s="111">
        <f t="shared" si="57"/>
        <v>233</v>
      </c>
      <c r="V233" t="str">
        <f t="array" ref="V233">INDEX(P:P,MAX(U$3:U233))</f>
        <v>IJ#2MTR</v>
      </c>
      <c r="W233">
        <f t="shared" ca="1" si="58"/>
        <v>25</v>
      </c>
      <c r="X233" t="str">
        <f t="shared" si="59"/>
        <v/>
      </c>
      <c r="Y233">
        <f t="shared" si="60"/>
        <v>583</v>
      </c>
      <c r="Z233" t="str">
        <f t="shared" si="64"/>
        <v>和美</v>
      </c>
    </row>
    <row r="234" spans="1:26" x14ac:dyDescent="0.25">
      <c r="A234" s="118" t="s">
        <v>395</v>
      </c>
      <c r="B234" s="119" t="s">
        <v>401</v>
      </c>
      <c r="C234" s="119">
        <v>42</v>
      </c>
      <c r="D234" s="118" t="s">
        <v>177</v>
      </c>
      <c r="E234" s="118">
        <v>51</v>
      </c>
      <c r="F234" s="118" t="s">
        <v>177</v>
      </c>
      <c r="G234" s="118">
        <v>43</v>
      </c>
      <c r="H234" s="118" t="s">
        <v>177</v>
      </c>
      <c r="I234" s="378">
        <v>51</v>
      </c>
      <c r="J234" s="117">
        <v>19</v>
      </c>
      <c r="K234" s="117" t="s">
        <v>183</v>
      </c>
      <c r="L234" t="str">
        <f t="shared" si="51"/>
        <v>IJ26</v>
      </c>
      <c r="M234" t="str">
        <f t="shared" si="61"/>
        <v/>
      </c>
      <c r="N234" t="str">
        <f t="shared" si="62"/>
        <v/>
      </c>
      <c r="O234" t="str">
        <f t="shared" si="63"/>
        <v/>
      </c>
      <c r="P234" s="113" t="str">
        <f t="shared" si="52"/>
        <v>IJ26</v>
      </c>
      <c r="Q234" s="114">
        <f t="shared" si="53"/>
        <v>51</v>
      </c>
      <c r="R234" s="114">
        <f t="shared" si="54"/>
        <v>45.333333333333336</v>
      </c>
      <c r="S234" s="113">
        <f t="shared" si="55"/>
        <v>42</v>
      </c>
      <c r="T234" s="111">
        <f t="shared" ca="1" si="56"/>
        <v>1.01</v>
      </c>
      <c r="U234" s="111" t="str">
        <f t="shared" si="57"/>
        <v/>
      </c>
      <c r="V234" t="str">
        <f t="array" ref="V234">INDEX(P:P,MAX(U$3:U234))</f>
        <v>IJ#2MTR</v>
      </c>
      <c r="W234" t="str">
        <f t="shared" ca="1" si="58"/>
        <v/>
      </c>
      <c r="X234">
        <f t="shared" si="59"/>
        <v>11.4</v>
      </c>
      <c r="Y234">
        <f t="shared" si="60"/>
        <v>51</v>
      </c>
      <c r="Z234" t="str">
        <f t="shared" si="64"/>
        <v>和美</v>
      </c>
    </row>
    <row r="235" spans="1:26" x14ac:dyDescent="0.25">
      <c r="A235" s="118" t="s">
        <v>395</v>
      </c>
      <c r="B235" s="119" t="s">
        <v>402</v>
      </c>
      <c r="C235" s="119">
        <v>77</v>
      </c>
      <c r="D235" s="118" t="s">
        <v>203</v>
      </c>
      <c r="E235" s="118">
        <v>63</v>
      </c>
      <c r="F235" s="118" t="s">
        <v>203</v>
      </c>
      <c r="G235" s="118">
        <v>51</v>
      </c>
      <c r="H235" s="118" t="s">
        <v>203</v>
      </c>
      <c r="I235" s="378">
        <v>77</v>
      </c>
      <c r="J235" s="117">
        <v>47</v>
      </c>
      <c r="K235" s="117" t="s">
        <v>183</v>
      </c>
      <c r="L235" t="str">
        <f t="shared" si="51"/>
        <v>IJ29</v>
      </c>
      <c r="M235" t="str">
        <f t="shared" si="61"/>
        <v/>
      </c>
      <c r="N235" t="str">
        <f t="shared" si="62"/>
        <v/>
      </c>
      <c r="O235" t="str">
        <f t="shared" si="63"/>
        <v/>
      </c>
      <c r="P235" s="113" t="str">
        <f t="shared" si="52"/>
        <v>IJ29</v>
      </c>
      <c r="Q235" s="114">
        <f t="shared" si="53"/>
        <v>77</v>
      </c>
      <c r="R235" s="114">
        <f t="shared" si="54"/>
        <v>63.666666666666664</v>
      </c>
      <c r="S235" s="113">
        <f t="shared" si="55"/>
        <v>51</v>
      </c>
      <c r="T235" s="111">
        <f t="shared" ca="1" si="56"/>
        <v>1.52</v>
      </c>
      <c r="U235" s="111" t="str">
        <f t="shared" si="57"/>
        <v/>
      </c>
      <c r="V235" t="str">
        <f t="array" ref="V235">INDEX(P:P,MAX(U$3:U235))</f>
        <v>IJ#2MTR</v>
      </c>
      <c r="W235" t="str">
        <f t="shared" ca="1" si="58"/>
        <v/>
      </c>
      <c r="X235">
        <f t="shared" si="59"/>
        <v>11.4</v>
      </c>
      <c r="Y235">
        <f t="shared" si="60"/>
        <v>77</v>
      </c>
      <c r="Z235" t="str">
        <f t="shared" si="64"/>
        <v>和美</v>
      </c>
    </row>
    <row r="236" spans="1:26" x14ac:dyDescent="0.25">
      <c r="A236" s="118" t="s">
        <v>395</v>
      </c>
      <c r="B236" s="119" t="s">
        <v>403</v>
      </c>
      <c r="C236" s="119">
        <v>171</v>
      </c>
      <c r="D236" s="118" t="s">
        <v>207</v>
      </c>
      <c r="E236" s="118">
        <v>206</v>
      </c>
      <c r="F236" s="118" t="s">
        <v>207</v>
      </c>
      <c r="G236" s="118">
        <v>187</v>
      </c>
      <c r="H236" s="118" t="s">
        <v>207</v>
      </c>
      <c r="I236" s="378">
        <v>206</v>
      </c>
      <c r="J236" s="117">
        <v>58</v>
      </c>
      <c r="K236" s="117" t="s">
        <v>179</v>
      </c>
      <c r="L236" t="str">
        <f t="shared" si="51"/>
        <v>IJ28</v>
      </c>
      <c r="M236" t="str">
        <f t="shared" si="61"/>
        <v/>
      </c>
      <c r="N236" t="str">
        <f t="shared" si="62"/>
        <v/>
      </c>
      <c r="O236" t="str">
        <f t="shared" si="63"/>
        <v/>
      </c>
      <c r="P236" s="113" t="str">
        <f t="shared" si="52"/>
        <v>IJ28</v>
      </c>
      <c r="Q236" s="114">
        <f t="shared" si="53"/>
        <v>206</v>
      </c>
      <c r="R236" s="114">
        <f t="shared" si="54"/>
        <v>188</v>
      </c>
      <c r="S236" s="113">
        <f t="shared" si="55"/>
        <v>171</v>
      </c>
      <c r="T236" s="111">
        <f t="shared" ca="1" si="56"/>
        <v>4.07</v>
      </c>
      <c r="U236" s="111" t="str">
        <f t="shared" si="57"/>
        <v/>
      </c>
      <c r="V236" t="str">
        <f t="array" ref="V236">INDEX(P:P,MAX(U$3:U236))</f>
        <v>IJ#2MTR</v>
      </c>
      <c r="W236" t="str">
        <f t="shared" ca="1" si="58"/>
        <v/>
      </c>
      <c r="X236">
        <f t="shared" si="59"/>
        <v>11.4</v>
      </c>
      <c r="Y236">
        <f t="shared" si="60"/>
        <v>206</v>
      </c>
      <c r="Z236" t="str">
        <f t="shared" si="64"/>
        <v>和美</v>
      </c>
    </row>
    <row r="237" spans="1:26" x14ac:dyDescent="0.25">
      <c r="A237" s="118" t="s">
        <v>395</v>
      </c>
      <c r="B237" s="119" t="s">
        <v>404</v>
      </c>
      <c r="C237" s="119">
        <v>179</v>
      </c>
      <c r="D237" s="118" t="s">
        <v>184</v>
      </c>
      <c r="E237" s="118">
        <v>183</v>
      </c>
      <c r="F237" s="118" t="s">
        <v>176</v>
      </c>
      <c r="G237" s="118">
        <v>196</v>
      </c>
      <c r="H237" s="118" t="s">
        <v>177</v>
      </c>
      <c r="I237" s="378">
        <v>196</v>
      </c>
      <c r="J237" s="117">
        <v>65</v>
      </c>
      <c r="K237" s="117" t="s">
        <v>179</v>
      </c>
      <c r="L237" t="str">
        <f t="shared" si="51"/>
        <v>IJ32</v>
      </c>
      <c r="M237" t="str">
        <f t="shared" si="61"/>
        <v/>
      </c>
      <c r="N237" t="str">
        <f t="shared" si="62"/>
        <v/>
      </c>
      <c r="O237" t="str">
        <f t="shared" si="63"/>
        <v/>
      </c>
      <c r="P237" s="113" t="str">
        <f t="shared" si="52"/>
        <v>IJ32</v>
      </c>
      <c r="Q237" s="114">
        <f t="shared" si="53"/>
        <v>196</v>
      </c>
      <c r="R237" s="114">
        <f t="shared" si="54"/>
        <v>186</v>
      </c>
      <c r="S237" s="113">
        <f t="shared" si="55"/>
        <v>179</v>
      </c>
      <c r="T237" s="111">
        <f t="shared" ca="1" si="56"/>
        <v>3.87</v>
      </c>
      <c r="U237" s="111" t="str">
        <f t="shared" si="57"/>
        <v/>
      </c>
      <c r="V237" t="str">
        <f t="array" ref="V237">INDEX(P:P,MAX(U$3:U237))</f>
        <v>IJ#2MTR</v>
      </c>
      <c r="W237" t="str">
        <f t="shared" ca="1" si="58"/>
        <v/>
      </c>
      <c r="X237">
        <f t="shared" si="59"/>
        <v>11.4</v>
      </c>
      <c r="Y237">
        <f t="shared" si="60"/>
        <v>196</v>
      </c>
      <c r="Z237" t="str">
        <f t="shared" si="64"/>
        <v>和美</v>
      </c>
    </row>
    <row r="238" spans="1:26" x14ac:dyDescent="0.25">
      <c r="A238" s="118" t="s">
        <v>395</v>
      </c>
      <c r="B238" s="119" t="s">
        <v>405</v>
      </c>
      <c r="C238" s="119">
        <v>150</v>
      </c>
      <c r="D238" s="118" t="s">
        <v>192</v>
      </c>
      <c r="E238" s="118">
        <v>142</v>
      </c>
      <c r="F238" s="118" t="s">
        <v>205</v>
      </c>
      <c r="G238" s="118">
        <v>142</v>
      </c>
      <c r="H238" s="118" t="s">
        <v>198</v>
      </c>
      <c r="I238" s="378">
        <v>150</v>
      </c>
      <c r="J238" s="117">
        <v>30</v>
      </c>
      <c r="K238" s="117" t="s">
        <v>183</v>
      </c>
      <c r="L238" t="str">
        <f t="shared" si="51"/>
        <v>IJ20</v>
      </c>
      <c r="M238" t="str">
        <f t="shared" si="61"/>
        <v/>
      </c>
      <c r="N238" t="str">
        <f t="shared" si="62"/>
        <v/>
      </c>
      <c r="O238" t="str">
        <f t="shared" si="63"/>
        <v/>
      </c>
      <c r="P238" s="113" t="str">
        <f t="shared" si="52"/>
        <v>IJ20</v>
      </c>
      <c r="Q238" s="114">
        <f t="shared" si="53"/>
        <v>150</v>
      </c>
      <c r="R238" s="114">
        <f t="shared" si="54"/>
        <v>144.66666666666666</v>
      </c>
      <c r="S238" s="113">
        <f t="shared" si="55"/>
        <v>142</v>
      </c>
      <c r="T238" s="111">
        <f t="shared" ca="1" si="56"/>
        <v>2.96</v>
      </c>
      <c r="U238" s="111" t="str">
        <f t="shared" si="57"/>
        <v/>
      </c>
      <c r="V238" t="str">
        <f t="array" ref="V238">INDEX(P:P,MAX(U$3:U238))</f>
        <v>IJ#2MTR</v>
      </c>
      <c r="W238" t="str">
        <f t="shared" ca="1" si="58"/>
        <v/>
      </c>
      <c r="X238">
        <f t="shared" si="59"/>
        <v>11.4</v>
      </c>
      <c r="Y238">
        <f t="shared" si="60"/>
        <v>150</v>
      </c>
      <c r="Z238" t="str">
        <f t="shared" si="64"/>
        <v>和美</v>
      </c>
    </row>
    <row r="239" spans="1:26" x14ac:dyDescent="0.25">
      <c r="A239" s="118" t="s">
        <v>395</v>
      </c>
      <c r="B239" s="119" t="s">
        <v>197</v>
      </c>
      <c r="C239" s="119">
        <v>401</v>
      </c>
      <c r="D239" s="118" t="s">
        <v>176</v>
      </c>
      <c r="E239" s="118">
        <v>451</v>
      </c>
      <c r="F239" s="118" t="s">
        <v>177</v>
      </c>
      <c r="G239" s="118">
        <v>402</v>
      </c>
      <c r="H239" s="118" t="s">
        <v>205</v>
      </c>
      <c r="I239" s="378">
        <v>451</v>
      </c>
      <c r="J239" s="117"/>
      <c r="K239" s="117"/>
      <c r="L239" t="str">
        <f t="shared" si="51"/>
        <v>IJ#3MTR</v>
      </c>
      <c r="M239" t="str">
        <f t="shared" si="61"/>
        <v/>
      </c>
      <c r="N239" t="str">
        <f t="shared" si="62"/>
        <v>IJ#3MTR</v>
      </c>
      <c r="O239" t="str">
        <f t="shared" si="63"/>
        <v/>
      </c>
      <c r="P239" s="113" t="str">
        <f t="shared" si="52"/>
        <v>IJ#3MTR</v>
      </c>
      <c r="Q239" s="114">
        <f t="shared" si="53"/>
        <v>451</v>
      </c>
      <c r="R239" s="114">
        <f t="shared" si="54"/>
        <v>418</v>
      </c>
      <c r="S239" s="113">
        <f t="shared" si="55"/>
        <v>401</v>
      </c>
      <c r="T239" s="111">
        <f t="shared" ca="1" si="56"/>
        <v>8.91</v>
      </c>
      <c r="U239" s="111">
        <f t="shared" si="57"/>
        <v>239</v>
      </c>
      <c r="V239" t="str">
        <f t="array" ref="V239">INDEX(P:P,MAX(U$3:U239))</f>
        <v>IJ#3MTR</v>
      </c>
      <c r="W239">
        <f t="shared" ca="1" si="58"/>
        <v>25</v>
      </c>
      <c r="X239" t="str">
        <f t="shared" si="59"/>
        <v/>
      </c>
      <c r="Y239">
        <f t="shared" si="60"/>
        <v>451</v>
      </c>
      <c r="Z239" t="str">
        <f t="shared" si="64"/>
        <v>和美</v>
      </c>
    </row>
    <row r="240" spans="1:26" x14ac:dyDescent="0.25">
      <c r="A240" s="118" t="s">
        <v>395</v>
      </c>
      <c r="B240" s="119" t="s">
        <v>406</v>
      </c>
      <c r="C240" s="119">
        <v>116</v>
      </c>
      <c r="D240" s="118" t="s">
        <v>188</v>
      </c>
      <c r="E240" s="118">
        <v>142</v>
      </c>
      <c r="F240" s="118" t="s">
        <v>188</v>
      </c>
      <c r="G240" s="118">
        <v>62</v>
      </c>
      <c r="H240" s="118" t="s">
        <v>205</v>
      </c>
      <c r="I240" s="378">
        <v>142</v>
      </c>
      <c r="J240" s="117">
        <v>86</v>
      </c>
      <c r="K240" s="117" t="s">
        <v>188</v>
      </c>
      <c r="L240" t="str">
        <f t="shared" si="51"/>
        <v>IJ31</v>
      </c>
      <c r="M240" t="str">
        <f t="shared" si="61"/>
        <v/>
      </c>
      <c r="N240" t="str">
        <f t="shared" si="62"/>
        <v/>
      </c>
      <c r="O240" t="str">
        <f t="shared" si="63"/>
        <v/>
      </c>
      <c r="P240" s="113" t="str">
        <f t="shared" si="52"/>
        <v>IJ31</v>
      </c>
      <c r="Q240" s="114">
        <f t="shared" si="53"/>
        <v>142</v>
      </c>
      <c r="R240" s="114">
        <f t="shared" si="54"/>
        <v>106.66666666666667</v>
      </c>
      <c r="S240" s="113">
        <f t="shared" si="55"/>
        <v>62</v>
      </c>
      <c r="T240" s="111">
        <f t="shared" ca="1" si="56"/>
        <v>2.8</v>
      </c>
      <c r="U240" s="111" t="str">
        <f t="shared" si="57"/>
        <v/>
      </c>
      <c r="V240" t="str">
        <f t="array" ref="V240">INDEX(P:P,MAX(U$3:U240))</f>
        <v>IJ#3MTR</v>
      </c>
      <c r="W240" t="str">
        <f t="shared" ca="1" si="58"/>
        <v/>
      </c>
      <c r="X240">
        <f t="shared" si="59"/>
        <v>11.4</v>
      </c>
      <c r="Y240">
        <f t="shared" si="60"/>
        <v>142</v>
      </c>
      <c r="Z240" t="str">
        <f t="shared" si="64"/>
        <v>和美</v>
      </c>
    </row>
    <row r="241" spans="1:26" x14ac:dyDescent="0.25">
      <c r="A241" s="118" t="s">
        <v>395</v>
      </c>
      <c r="B241" s="119" t="s">
        <v>407</v>
      </c>
      <c r="C241" s="119">
        <v>126</v>
      </c>
      <c r="D241" s="118" t="s">
        <v>176</v>
      </c>
      <c r="E241" s="118">
        <v>122</v>
      </c>
      <c r="F241" s="118" t="s">
        <v>198</v>
      </c>
      <c r="G241" s="118">
        <v>150</v>
      </c>
      <c r="H241" s="118" t="s">
        <v>176</v>
      </c>
      <c r="I241" s="378">
        <v>150</v>
      </c>
      <c r="J241" s="117">
        <v>53</v>
      </c>
      <c r="K241" s="117" t="s">
        <v>192</v>
      </c>
      <c r="L241" t="str">
        <f t="shared" si="51"/>
        <v>IJ24</v>
      </c>
      <c r="M241" t="str">
        <f t="shared" si="61"/>
        <v/>
      </c>
      <c r="N241" t="str">
        <f t="shared" si="62"/>
        <v/>
      </c>
      <c r="O241" t="str">
        <f t="shared" si="63"/>
        <v/>
      </c>
      <c r="P241" s="113" t="str">
        <f t="shared" si="52"/>
        <v>IJ24</v>
      </c>
      <c r="Q241" s="114">
        <f t="shared" si="53"/>
        <v>150</v>
      </c>
      <c r="R241" s="114">
        <f t="shared" si="54"/>
        <v>132.66666666666666</v>
      </c>
      <c r="S241" s="113">
        <f t="shared" si="55"/>
        <v>122</v>
      </c>
      <c r="T241" s="111">
        <f t="shared" ca="1" si="56"/>
        <v>2.96</v>
      </c>
      <c r="U241" s="111" t="str">
        <f t="shared" si="57"/>
        <v/>
      </c>
      <c r="V241" t="str">
        <f t="array" ref="V241">INDEX(P:P,MAX(U$3:U241))</f>
        <v>IJ#3MTR</v>
      </c>
      <c r="W241" t="str">
        <f t="shared" ca="1" si="58"/>
        <v/>
      </c>
      <c r="X241">
        <f t="shared" si="59"/>
        <v>11.4</v>
      </c>
      <c r="Y241">
        <f t="shared" si="60"/>
        <v>150</v>
      </c>
      <c r="Z241" t="str">
        <f t="shared" si="64"/>
        <v>和美</v>
      </c>
    </row>
    <row r="242" spans="1:26" x14ac:dyDescent="0.25">
      <c r="A242" s="118" t="s">
        <v>395</v>
      </c>
      <c r="B242" s="119" t="s">
        <v>408</v>
      </c>
      <c r="C242" s="119">
        <v>32</v>
      </c>
      <c r="D242" s="118" t="s">
        <v>229</v>
      </c>
      <c r="E242" s="118">
        <v>26</v>
      </c>
      <c r="F242" s="118" t="s">
        <v>179</v>
      </c>
      <c r="G242" s="118">
        <v>39</v>
      </c>
      <c r="H242" s="118" t="s">
        <v>205</v>
      </c>
      <c r="I242" s="378">
        <v>39</v>
      </c>
      <c r="J242" s="117">
        <v>33</v>
      </c>
      <c r="K242" s="117" t="s">
        <v>205</v>
      </c>
      <c r="L242" t="str">
        <f t="shared" si="51"/>
        <v>IJ25</v>
      </c>
      <c r="M242" t="str">
        <f t="shared" si="61"/>
        <v/>
      </c>
      <c r="N242" t="str">
        <f t="shared" si="62"/>
        <v/>
      </c>
      <c r="O242" t="str">
        <f t="shared" si="63"/>
        <v/>
      </c>
      <c r="P242" s="113" t="str">
        <f t="shared" si="52"/>
        <v>IJ25</v>
      </c>
      <c r="Q242" s="114">
        <f t="shared" si="53"/>
        <v>39</v>
      </c>
      <c r="R242" s="114">
        <f t="shared" si="54"/>
        <v>32.333333333333336</v>
      </c>
      <c r="S242" s="113">
        <f t="shared" si="55"/>
        <v>26</v>
      </c>
      <c r="T242" s="111">
        <f t="shared" ca="1" si="56"/>
        <v>0.77</v>
      </c>
      <c r="U242" s="111" t="str">
        <f t="shared" si="57"/>
        <v/>
      </c>
      <c r="V242" t="str">
        <f t="array" ref="V242">INDEX(P:P,MAX(U$3:U242))</f>
        <v>IJ#3MTR</v>
      </c>
      <c r="W242" t="str">
        <f t="shared" ca="1" si="58"/>
        <v/>
      </c>
      <c r="X242">
        <f t="shared" si="59"/>
        <v>11.4</v>
      </c>
      <c r="Y242">
        <f t="shared" si="60"/>
        <v>39</v>
      </c>
      <c r="Z242" t="str">
        <f t="shared" si="64"/>
        <v>和美</v>
      </c>
    </row>
    <row r="243" spans="1:26" x14ac:dyDescent="0.25">
      <c r="A243" s="118" t="s">
        <v>395</v>
      </c>
      <c r="B243" s="119" t="s">
        <v>409</v>
      </c>
      <c r="C243" s="119">
        <v>128</v>
      </c>
      <c r="D243" s="118" t="s">
        <v>200</v>
      </c>
      <c r="E243" s="118">
        <v>135</v>
      </c>
      <c r="F243" s="118" t="s">
        <v>198</v>
      </c>
      <c r="G243" s="118">
        <v>115</v>
      </c>
      <c r="H243" s="118" t="s">
        <v>198</v>
      </c>
      <c r="I243" s="378">
        <v>135</v>
      </c>
      <c r="J243" s="117">
        <v>36</v>
      </c>
      <c r="K243" s="117" t="s">
        <v>183</v>
      </c>
      <c r="L243" t="str">
        <f t="shared" si="51"/>
        <v>IJ21</v>
      </c>
      <c r="M243" t="str">
        <f t="shared" si="61"/>
        <v/>
      </c>
      <c r="N243" t="str">
        <f t="shared" si="62"/>
        <v/>
      </c>
      <c r="O243" t="str">
        <f t="shared" si="63"/>
        <v/>
      </c>
      <c r="P243" s="113" t="str">
        <f t="shared" si="52"/>
        <v>IJ21</v>
      </c>
      <c r="Q243" s="114">
        <f t="shared" si="53"/>
        <v>135</v>
      </c>
      <c r="R243" s="114">
        <f t="shared" si="54"/>
        <v>126</v>
      </c>
      <c r="S243" s="113">
        <f t="shared" si="55"/>
        <v>115</v>
      </c>
      <c r="T243" s="111">
        <f t="shared" ca="1" si="56"/>
        <v>2.67</v>
      </c>
      <c r="U243" s="111" t="str">
        <f t="shared" si="57"/>
        <v/>
      </c>
      <c r="V243" t="str">
        <f t="array" ref="V243">INDEX(P:P,MAX(U$3:U243))</f>
        <v>IJ#3MTR</v>
      </c>
      <c r="W243" t="str">
        <f t="shared" ca="1" si="58"/>
        <v/>
      </c>
      <c r="X243">
        <f t="shared" si="59"/>
        <v>11.4</v>
      </c>
      <c r="Y243">
        <f t="shared" si="60"/>
        <v>135</v>
      </c>
      <c r="Z243" t="str">
        <f t="shared" si="64"/>
        <v>和美</v>
      </c>
    </row>
    <row r="244" spans="1:26" x14ac:dyDescent="0.25">
      <c r="A244" s="118" t="s">
        <v>395</v>
      </c>
      <c r="B244" s="119" t="s">
        <v>410</v>
      </c>
      <c r="C244" s="119">
        <v>45</v>
      </c>
      <c r="D244" s="118" t="s">
        <v>177</v>
      </c>
      <c r="E244" s="118">
        <v>59</v>
      </c>
      <c r="F244" s="118" t="s">
        <v>177</v>
      </c>
      <c r="G244" s="118">
        <v>70</v>
      </c>
      <c r="H244" s="118" t="s">
        <v>179</v>
      </c>
      <c r="I244" s="378">
        <v>70</v>
      </c>
      <c r="J244" s="117">
        <v>25</v>
      </c>
      <c r="K244" s="117" t="s">
        <v>188</v>
      </c>
      <c r="L244" t="str">
        <f t="shared" si="51"/>
        <v>IJ27</v>
      </c>
      <c r="M244" t="str">
        <f t="shared" si="61"/>
        <v/>
      </c>
      <c r="N244" t="str">
        <f t="shared" si="62"/>
        <v/>
      </c>
      <c r="O244" t="str">
        <f t="shared" si="63"/>
        <v/>
      </c>
      <c r="P244" s="113" t="str">
        <f t="shared" si="52"/>
        <v>IJ27</v>
      </c>
      <c r="Q244" s="114">
        <f t="shared" si="53"/>
        <v>70</v>
      </c>
      <c r="R244" s="114">
        <f t="shared" si="54"/>
        <v>58</v>
      </c>
      <c r="S244" s="113">
        <f t="shared" si="55"/>
        <v>45</v>
      </c>
      <c r="T244" s="111">
        <f t="shared" ca="1" si="56"/>
        <v>1.38</v>
      </c>
      <c r="U244" s="111" t="str">
        <f t="shared" si="57"/>
        <v/>
      </c>
      <c r="V244" t="str">
        <f t="array" ref="V244">INDEX(P:P,MAX(U$3:U244))</f>
        <v>IJ#3MTR</v>
      </c>
      <c r="W244" t="str">
        <f t="shared" ca="1" si="58"/>
        <v/>
      </c>
      <c r="X244">
        <f t="shared" si="59"/>
        <v>11.4</v>
      </c>
      <c r="Y244">
        <f t="shared" si="60"/>
        <v>70</v>
      </c>
      <c r="Z244" t="str">
        <f t="shared" si="64"/>
        <v>和美</v>
      </c>
    </row>
    <row r="245" spans="1:26" x14ac:dyDescent="0.25">
      <c r="A245" s="118" t="s">
        <v>411</v>
      </c>
      <c r="B245" s="119" t="s">
        <v>175</v>
      </c>
      <c r="C245" s="119">
        <v>709</v>
      </c>
      <c r="D245" s="118" t="s">
        <v>198</v>
      </c>
      <c r="E245" s="118">
        <v>702</v>
      </c>
      <c r="F245" s="118" t="s">
        <v>198</v>
      </c>
      <c r="G245" s="118">
        <v>702</v>
      </c>
      <c r="H245" s="118" t="s">
        <v>198</v>
      </c>
      <c r="I245" s="378">
        <v>709</v>
      </c>
      <c r="J245" s="117"/>
      <c r="K245" s="117"/>
      <c r="L245" t="str">
        <f t="shared" si="51"/>
        <v>IR#1MTR</v>
      </c>
      <c r="M245" t="str">
        <f t="shared" si="61"/>
        <v/>
      </c>
      <c r="N245" t="str">
        <f t="shared" si="62"/>
        <v>IR#1MTR</v>
      </c>
      <c r="O245" t="str">
        <f t="shared" si="63"/>
        <v/>
      </c>
      <c r="P245" s="113" t="str">
        <f t="shared" si="52"/>
        <v>IR#1MTR</v>
      </c>
      <c r="Q245" s="114">
        <f t="shared" si="53"/>
        <v>709</v>
      </c>
      <c r="R245" s="114">
        <f t="shared" si="54"/>
        <v>704.33333333333337</v>
      </c>
      <c r="S245" s="113">
        <f t="shared" si="55"/>
        <v>702</v>
      </c>
      <c r="T245" s="111">
        <f t="shared" ca="1" si="56"/>
        <v>14</v>
      </c>
      <c r="U245" s="111">
        <f t="shared" si="57"/>
        <v>245</v>
      </c>
      <c r="V245" t="str">
        <f t="array" ref="V245">INDEX(P:P,MAX(U$3:U245))</f>
        <v>IR#1MTR</v>
      </c>
      <c r="W245">
        <f t="shared" ca="1" si="58"/>
        <v>25</v>
      </c>
      <c r="X245" t="str">
        <f t="shared" si="59"/>
        <v/>
      </c>
      <c r="Y245">
        <f t="shared" si="60"/>
        <v>709</v>
      </c>
      <c r="Z245" t="str">
        <f t="shared" si="64"/>
        <v>社頭</v>
      </c>
    </row>
    <row r="246" spans="1:26" x14ac:dyDescent="0.25">
      <c r="A246" s="118" t="s">
        <v>411</v>
      </c>
      <c r="B246" s="119" t="s">
        <v>412</v>
      </c>
      <c r="C246" s="119">
        <v>195</v>
      </c>
      <c r="D246" s="118" t="s">
        <v>188</v>
      </c>
      <c r="E246" s="118">
        <v>170</v>
      </c>
      <c r="F246" s="118" t="s">
        <v>176</v>
      </c>
      <c r="G246" s="118">
        <v>168</v>
      </c>
      <c r="H246" s="118" t="s">
        <v>176</v>
      </c>
      <c r="I246" s="378">
        <v>195</v>
      </c>
      <c r="J246" s="117">
        <v>39</v>
      </c>
      <c r="K246" s="117" t="s">
        <v>184</v>
      </c>
      <c r="L246" t="str">
        <f t="shared" si="51"/>
        <v>IR21</v>
      </c>
      <c r="M246" t="str">
        <f t="shared" si="61"/>
        <v/>
      </c>
      <c r="N246" t="str">
        <f t="shared" si="62"/>
        <v/>
      </c>
      <c r="O246" t="str">
        <f t="shared" si="63"/>
        <v/>
      </c>
      <c r="P246" s="113" t="str">
        <f t="shared" si="52"/>
        <v>IR21</v>
      </c>
      <c r="Q246" s="114">
        <f t="shared" si="53"/>
        <v>195</v>
      </c>
      <c r="R246" s="114">
        <f t="shared" si="54"/>
        <v>177.66666666666666</v>
      </c>
      <c r="S246" s="113">
        <f t="shared" si="55"/>
        <v>168</v>
      </c>
      <c r="T246" s="111">
        <f t="shared" ca="1" si="56"/>
        <v>3.85</v>
      </c>
      <c r="U246" s="111" t="str">
        <f t="shared" si="57"/>
        <v/>
      </c>
      <c r="V246" t="str">
        <f t="array" ref="V246">INDEX(P:P,MAX(U$3:U246))</f>
        <v>IR#1MTR</v>
      </c>
      <c r="W246" t="str">
        <f t="shared" ca="1" si="58"/>
        <v/>
      </c>
      <c r="X246">
        <f t="shared" si="59"/>
        <v>11.4</v>
      </c>
      <c r="Y246">
        <f t="shared" si="60"/>
        <v>195</v>
      </c>
      <c r="Z246" t="str">
        <f t="shared" si="64"/>
        <v>社頭</v>
      </c>
    </row>
    <row r="247" spans="1:26" x14ac:dyDescent="0.25">
      <c r="A247" s="118" t="s">
        <v>411</v>
      </c>
      <c r="B247" s="119" t="s">
        <v>413</v>
      </c>
      <c r="C247" s="119">
        <v>125</v>
      </c>
      <c r="D247" s="118" t="s">
        <v>198</v>
      </c>
      <c r="E247" s="118">
        <v>142</v>
      </c>
      <c r="F247" s="118" t="s">
        <v>198</v>
      </c>
      <c r="G247" s="118">
        <v>89</v>
      </c>
      <c r="H247" s="118" t="s">
        <v>188</v>
      </c>
      <c r="I247" s="378">
        <v>142</v>
      </c>
      <c r="J247" s="117">
        <v>56</v>
      </c>
      <c r="K247" s="117" t="s">
        <v>205</v>
      </c>
      <c r="L247" t="str">
        <f t="shared" si="51"/>
        <v>IR31</v>
      </c>
      <c r="M247" t="str">
        <f t="shared" si="61"/>
        <v/>
      </c>
      <c r="N247" t="str">
        <f t="shared" si="62"/>
        <v/>
      </c>
      <c r="O247" t="str">
        <f t="shared" si="63"/>
        <v/>
      </c>
      <c r="P247" s="113" t="str">
        <f t="shared" si="52"/>
        <v>IR31</v>
      </c>
      <c r="Q247" s="114">
        <f t="shared" si="53"/>
        <v>142</v>
      </c>
      <c r="R247" s="114">
        <f t="shared" si="54"/>
        <v>118.66666666666667</v>
      </c>
      <c r="S247" s="113">
        <f t="shared" si="55"/>
        <v>89</v>
      </c>
      <c r="T247" s="111">
        <f t="shared" ca="1" si="56"/>
        <v>2.8</v>
      </c>
      <c r="U247" s="111" t="str">
        <f t="shared" si="57"/>
        <v/>
      </c>
      <c r="V247" t="str">
        <f t="array" ref="V247">INDEX(P:P,MAX(U$3:U247))</f>
        <v>IR#1MTR</v>
      </c>
      <c r="W247" t="str">
        <f t="shared" ca="1" si="58"/>
        <v/>
      </c>
      <c r="X247">
        <f t="shared" si="59"/>
        <v>11.4</v>
      </c>
      <c r="Y247">
        <f t="shared" si="60"/>
        <v>142</v>
      </c>
      <c r="Z247" t="str">
        <f t="shared" si="64"/>
        <v>社頭</v>
      </c>
    </row>
    <row r="248" spans="1:26" x14ac:dyDescent="0.25">
      <c r="A248" s="118" t="s">
        <v>411</v>
      </c>
      <c r="B248" s="119" t="s">
        <v>414</v>
      </c>
      <c r="C248" s="119">
        <v>109</v>
      </c>
      <c r="D248" s="118" t="s">
        <v>192</v>
      </c>
      <c r="E248" s="118">
        <v>127</v>
      </c>
      <c r="F248" s="118" t="s">
        <v>207</v>
      </c>
      <c r="G248" s="118">
        <v>151</v>
      </c>
      <c r="H248" s="118" t="s">
        <v>192</v>
      </c>
      <c r="I248" s="378">
        <v>151</v>
      </c>
      <c r="J248" s="117">
        <v>66</v>
      </c>
      <c r="K248" s="117" t="s">
        <v>192</v>
      </c>
      <c r="L248" t="str">
        <f t="shared" si="51"/>
        <v>IR32</v>
      </c>
      <c r="M248" t="str">
        <f t="shared" si="61"/>
        <v/>
      </c>
      <c r="N248" t="str">
        <f t="shared" si="62"/>
        <v/>
      </c>
      <c r="O248" t="str">
        <f t="shared" si="63"/>
        <v/>
      </c>
      <c r="P248" s="113" t="str">
        <f t="shared" si="52"/>
        <v>IR32</v>
      </c>
      <c r="Q248" s="114">
        <f t="shared" si="53"/>
        <v>151</v>
      </c>
      <c r="R248" s="114">
        <f t="shared" si="54"/>
        <v>129</v>
      </c>
      <c r="S248" s="113">
        <f t="shared" si="55"/>
        <v>109</v>
      </c>
      <c r="T248" s="111">
        <f t="shared" ca="1" si="56"/>
        <v>2.98</v>
      </c>
      <c r="U248" s="111" t="str">
        <f t="shared" si="57"/>
        <v/>
      </c>
      <c r="V248" t="str">
        <f t="array" ref="V248">INDEX(P:P,MAX(U$3:U248))</f>
        <v>IR#1MTR</v>
      </c>
      <c r="W248" t="str">
        <f t="shared" ca="1" si="58"/>
        <v/>
      </c>
      <c r="X248">
        <f t="shared" si="59"/>
        <v>11.4</v>
      </c>
      <c r="Y248">
        <f t="shared" si="60"/>
        <v>151</v>
      </c>
      <c r="Z248" t="str">
        <f t="shared" si="64"/>
        <v>社頭</v>
      </c>
    </row>
    <row r="249" spans="1:26" x14ac:dyDescent="0.25">
      <c r="A249" s="118" t="s">
        <v>411</v>
      </c>
      <c r="B249" s="119" t="s">
        <v>415</v>
      </c>
      <c r="C249" s="119">
        <v>162</v>
      </c>
      <c r="D249" s="118" t="s">
        <v>198</v>
      </c>
      <c r="E249" s="118">
        <v>162</v>
      </c>
      <c r="F249" s="118" t="s">
        <v>188</v>
      </c>
      <c r="G249" s="118">
        <v>206</v>
      </c>
      <c r="H249" s="118" t="s">
        <v>176</v>
      </c>
      <c r="I249" s="378">
        <v>206</v>
      </c>
      <c r="J249" s="117">
        <v>66</v>
      </c>
      <c r="K249" s="117" t="s">
        <v>176</v>
      </c>
      <c r="L249" t="str">
        <f t="shared" si="51"/>
        <v>IR33</v>
      </c>
      <c r="M249" t="str">
        <f t="shared" si="61"/>
        <v/>
      </c>
      <c r="N249" t="str">
        <f t="shared" si="62"/>
        <v/>
      </c>
      <c r="O249" t="str">
        <f t="shared" si="63"/>
        <v/>
      </c>
      <c r="P249" s="113" t="str">
        <f t="shared" si="52"/>
        <v>IR33</v>
      </c>
      <c r="Q249" s="114">
        <f t="shared" si="53"/>
        <v>206</v>
      </c>
      <c r="R249" s="114">
        <f t="shared" si="54"/>
        <v>176.66666666666666</v>
      </c>
      <c r="S249" s="113">
        <f t="shared" si="55"/>
        <v>162</v>
      </c>
      <c r="T249" s="111">
        <f t="shared" ca="1" si="56"/>
        <v>4.07</v>
      </c>
      <c r="U249" s="111" t="str">
        <f t="shared" si="57"/>
        <v/>
      </c>
      <c r="V249" t="str">
        <f t="array" ref="V249">INDEX(P:P,MAX(U$3:U249))</f>
        <v>IR#1MTR</v>
      </c>
      <c r="W249" t="str">
        <f t="shared" ca="1" si="58"/>
        <v/>
      </c>
      <c r="X249">
        <f t="shared" si="59"/>
        <v>11.4</v>
      </c>
      <c r="Y249">
        <f t="shared" si="60"/>
        <v>206</v>
      </c>
      <c r="Z249" t="str">
        <f t="shared" si="64"/>
        <v>社頭</v>
      </c>
    </row>
    <row r="250" spans="1:26" x14ac:dyDescent="0.25">
      <c r="A250" s="118" t="s">
        <v>411</v>
      </c>
      <c r="B250" s="119" t="s">
        <v>416</v>
      </c>
      <c r="C250" s="119">
        <v>173</v>
      </c>
      <c r="D250" s="118" t="s">
        <v>192</v>
      </c>
      <c r="E250" s="118">
        <v>159</v>
      </c>
      <c r="F250" s="118" t="s">
        <v>198</v>
      </c>
      <c r="G250" s="118">
        <v>171</v>
      </c>
      <c r="H250" s="118" t="s">
        <v>198</v>
      </c>
      <c r="I250" s="378">
        <v>173</v>
      </c>
      <c r="J250" s="117">
        <v>58</v>
      </c>
      <c r="K250" s="117" t="s">
        <v>183</v>
      </c>
      <c r="L250" t="str">
        <f t="shared" si="51"/>
        <v>IR34</v>
      </c>
      <c r="M250" t="str">
        <f t="shared" si="61"/>
        <v/>
      </c>
      <c r="N250" t="str">
        <f t="shared" si="62"/>
        <v/>
      </c>
      <c r="O250" t="str">
        <f t="shared" si="63"/>
        <v/>
      </c>
      <c r="P250" s="113" t="str">
        <f t="shared" si="52"/>
        <v>IR34</v>
      </c>
      <c r="Q250" s="114">
        <f t="shared" si="53"/>
        <v>173</v>
      </c>
      <c r="R250" s="114">
        <f t="shared" si="54"/>
        <v>167.66666666666666</v>
      </c>
      <c r="S250" s="113">
        <f t="shared" si="55"/>
        <v>159</v>
      </c>
      <c r="T250" s="111">
        <f t="shared" ca="1" si="56"/>
        <v>3.42</v>
      </c>
      <c r="U250" s="111" t="str">
        <f t="shared" si="57"/>
        <v/>
      </c>
      <c r="V250" t="str">
        <f t="array" ref="V250">INDEX(P:P,MAX(U$3:U250))</f>
        <v>IR#1MTR</v>
      </c>
      <c r="W250" t="str">
        <f t="shared" ca="1" si="58"/>
        <v/>
      </c>
      <c r="X250">
        <f t="shared" si="59"/>
        <v>11.4</v>
      </c>
      <c r="Y250">
        <f t="shared" si="60"/>
        <v>173</v>
      </c>
      <c r="Z250" t="str">
        <f t="shared" si="64"/>
        <v>社頭</v>
      </c>
    </row>
    <row r="251" spans="1:26" x14ac:dyDescent="0.25">
      <c r="A251" s="118" t="s">
        <v>411</v>
      </c>
      <c r="B251" s="119" t="s">
        <v>187</v>
      </c>
      <c r="C251" s="119">
        <v>668</v>
      </c>
      <c r="D251" s="118" t="s">
        <v>177</v>
      </c>
      <c r="E251" s="118">
        <v>613</v>
      </c>
      <c r="F251" s="118" t="s">
        <v>177</v>
      </c>
      <c r="G251" s="118">
        <v>606</v>
      </c>
      <c r="H251" s="118" t="s">
        <v>177</v>
      </c>
      <c r="I251" s="378">
        <v>668</v>
      </c>
      <c r="J251" s="117"/>
      <c r="K251" s="117"/>
      <c r="L251" t="str">
        <f t="shared" si="51"/>
        <v>IR#2MTR</v>
      </c>
      <c r="M251" t="str">
        <f t="shared" si="61"/>
        <v/>
      </c>
      <c r="N251" t="str">
        <f t="shared" si="62"/>
        <v>IR#2MTR</v>
      </c>
      <c r="O251" t="str">
        <f t="shared" si="63"/>
        <v/>
      </c>
      <c r="P251" s="113" t="str">
        <f t="shared" si="52"/>
        <v>IR#2MTR</v>
      </c>
      <c r="Q251" s="114">
        <f t="shared" si="53"/>
        <v>668</v>
      </c>
      <c r="R251" s="114">
        <f t="shared" si="54"/>
        <v>629</v>
      </c>
      <c r="S251" s="113">
        <f t="shared" si="55"/>
        <v>606</v>
      </c>
      <c r="T251" s="111">
        <f t="shared" ca="1" si="56"/>
        <v>13.19</v>
      </c>
      <c r="U251" s="111">
        <f t="shared" si="57"/>
        <v>251</v>
      </c>
      <c r="V251" t="str">
        <f t="array" ref="V251">INDEX(P:P,MAX(U$3:U251))</f>
        <v>IR#2MTR</v>
      </c>
      <c r="W251">
        <f t="shared" ca="1" si="58"/>
        <v>25</v>
      </c>
      <c r="X251" t="str">
        <f t="shared" si="59"/>
        <v/>
      </c>
      <c r="Y251">
        <f t="shared" si="60"/>
        <v>668</v>
      </c>
      <c r="Z251" t="str">
        <f t="shared" si="64"/>
        <v>社頭</v>
      </c>
    </row>
    <row r="252" spans="1:26" x14ac:dyDescent="0.25">
      <c r="A252" s="118" t="s">
        <v>411</v>
      </c>
      <c r="B252" s="119" t="s">
        <v>417</v>
      </c>
      <c r="C252" s="119">
        <v>121</v>
      </c>
      <c r="D252" s="118" t="s">
        <v>179</v>
      </c>
      <c r="E252" s="118">
        <v>98</v>
      </c>
      <c r="F252" s="118" t="s">
        <v>183</v>
      </c>
      <c r="G252" s="118">
        <v>139</v>
      </c>
      <c r="H252" s="118" t="s">
        <v>176</v>
      </c>
      <c r="I252" s="378">
        <v>139</v>
      </c>
      <c r="J252" s="117">
        <v>72</v>
      </c>
      <c r="K252" s="117" t="s">
        <v>176</v>
      </c>
      <c r="L252" t="str">
        <f t="shared" si="51"/>
        <v>IR35</v>
      </c>
      <c r="M252" t="str">
        <f t="shared" si="61"/>
        <v/>
      </c>
      <c r="N252" t="str">
        <f t="shared" si="62"/>
        <v/>
      </c>
      <c r="O252" t="str">
        <f t="shared" si="63"/>
        <v/>
      </c>
      <c r="P252" s="113" t="str">
        <f t="shared" si="52"/>
        <v>IR35</v>
      </c>
      <c r="Q252" s="114">
        <f t="shared" si="53"/>
        <v>139</v>
      </c>
      <c r="R252" s="114">
        <f t="shared" si="54"/>
        <v>119.33333333333333</v>
      </c>
      <c r="S252" s="113">
        <f t="shared" si="55"/>
        <v>98</v>
      </c>
      <c r="T252" s="111">
        <f t="shared" ca="1" si="56"/>
        <v>2.74</v>
      </c>
      <c r="U252" s="111" t="str">
        <f t="shared" si="57"/>
        <v/>
      </c>
      <c r="V252" t="str">
        <f t="array" ref="V252">INDEX(P:P,MAX(U$3:U252))</f>
        <v>IR#2MTR</v>
      </c>
      <c r="W252" t="str">
        <f t="shared" ca="1" si="58"/>
        <v/>
      </c>
      <c r="X252">
        <f t="shared" si="59"/>
        <v>11.4</v>
      </c>
      <c r="Y252">
        <f t="shared" si="60"/>
        <v>139</v>
      </c>
      <c r="Z252" t="str">
        <f t="shared" si="64"/>
        <v>社頭</v>
      </c>
    </row>
    <row r="253" spans="1:26" x14ac:dyDescent="0.25">
      <c r="A253" s="118" t="s">
        <v>411</v>
      </c>
      <c r="B253" s="119" t="s">
        <v>418</v>
      </c>
      <c r="C253" s="119">
        <v>132</v>
      </c>
      <c r="D253" s="118" t="s">
        <v>177</v>
      </c>
      <c r="E253" s="118">
        <v>107</v>
      </c>
      <c r="F253" s="118" t="s">
        <v>177</v>
      </c>
      <c r="G253" s="118">
        <v>85</v>
      </c>
      <c r="H253" s="118" t="s">
        <v>205</v>
      </c>
      <c r="I253" s="378">
        <v>132</v>
      </c>
      <c r="J253" s="117">
        <v>56</v>
      </c>
      <c r="K253" s="117" t="s">
        <v>177</v>
      </c>
      <c r="L253" t="str">
        <f t="shared" si="51"/>
        <v>IR25</v>
      </c>
      <c r="M253" t="str">
        <f t="shared" si="61"/>
        <v/>
      </c>
      <c r="N253" t="str">
        <f t="shared" si="62"/>
        <v/>
      </c>
      <c r="O253" t="str">
        <f t="shared" si="63"/>
        <v/>
      </c>
      <c r="P253" s="113" t="str">
        <f t="shared" si="52"/>
        <v>IR25</v>
      </c>
      <c r="Q253" s="114">
        <f t="shared" si="53"/>
        <v>132</v>
      </c>
      <c r="R253" s="114">
        <f t="shared" si="54"/>
        <v>108</v>
      </c>
      <c r="S253" s="113">
        <f t="shared" si="55"/>
        <v>85</v>
      </c>
      <c r="T253" s="111">
        <f t="shared" ca="1" si="56"/>
        <v>2.61</v>
      </c>
      <c r="U253" s="111" t="str">
        <f t="shared" si="57"/>
        <v/>
      </c>
      <c r="V253" t="str">
        <f t="array" ref="V253">INDEX(P:P,MAX(U$3:U253))</f>
        <v>IR#2MTR</v>
      </c>
      <c r="W253" t="str">
        <f t="shared" ca="1" si="58"/>
        <v/>
      </c>
      <c r="X253">
        <f t="shared" si="59"/>
        <v>11.4</v>
      </c>
      <c r="Y253">
        <f t="shared" si="60"/>
        <v>132</v>
      </c>
      <c r="Z253" t="str">
        <f t="shared" si="64"/>
        <v>社頭</v>
      </c>
    </row>
    <row r="254" spans="1:26" x14ac:dyDescent="0.25">
      <c r="A254" s="118" t="s">
        <v>411</v>
      </c>
      <c r="B254" s="119" t="s">
        <v>419</v>
      </c>
      <c r="C254" s="119">
        <v>226</v>
      </c>
      <c r="D254" s="118" t="s">
        <v>177</v>
      </c>
      <c r="E254" s="118">
        <v>200</v>
      </c>
      <c r="F254" s="118" t="s">
        <v>177</v>
      </c>
      <c r="G254" s="118">
        <v>193</v>
      </c>
      <c r="H254" s="118" t="s">
        <v>203</v>
      </c>
      <c r="I254" s="378">
        <v>226</v>
      </c>
      <c r="J254" s="117">
        <v>64</v>
      </c>
      <c r="K254" s="117" t="s">
        <v>211</v>
      </c>
      <c r="L254" t="str">
        <f t="shared" si="51"/>
        <v>IR26</v>
      </c>
      <c r="M254" t="str">
        <f t="shared" si="61"/>
        <v/>
      </c>
      <c r="N254" t="str">
        <f t="shared" si="62"/>
        <v/>
      </c>
      <c r="O254" t="str">
        <f t="shared" si="63"/>
        <v/>
      </c>
      <c r="P254" s="113" t="str">
        <f t="shared" si="52"/>
        <v>IR26</v>
      </c>
      <c r="Q254" s="114">
        <f t="shared" si="53"/>
        <v>226</v>
      </c>
      <c r="R254" s="114">
        <f t="shared" si="54"/>
        <v>206.33333333333334</v>
      </c>
      <c r="S254" s="113">
        <f t="shared" si="55"/>
        <v>193</v>
      </c>
      <c r="T254" s="111">
        <f t="shared" ca="1" si="56"/>
        <v>4.46</v>
      </c>
      <c r="U254" s="111" t="str">
        <f t="shared" si="57"/>
        <v/>
      </c>
      <c r="V254" t="str">
        <f t="array" ref="V254">INDEX(P:P,MAX(U$3:U254))</f>
        <v>IR#2MTR</v>
      </c>
      <c r="W254" t="str">
        <f t="shared" ca="1" si="58"/>
        <v/>
      </c>
      <c r="X254">
        <f t="shared" si="59"/>
        <v>11.4</v>
      </c>
      <c r="Y254">
        <f t="shared" si="60"/>
        <v>226</v>
      </c>
      <c r="Z254" t="str">
        <f t="shared" si="64"/>
        <v>社頭</v>
      </c>
    </row>
    <row r="255" spans="1:26" x14ac:dyDescent="0.25">
      <c r="A255" s="118" t="s">
        <v>411</v>
      </c>
      <c r="B255" s="119" t="s">
        <v>420</v>
      </c>
      <c r="C255" s="119">
        <v>126</v>
      </c>
      <c r="D255" s="118" t="s">
        <v>198</v>
      </c>
      <c r="E255" s="118">
        <v>145</v>
      </c>
      <c r="F255" s="118" t="s">
        <v>177</v>
      </c>
      <c r="G255" s="118">
        <v>136</v>
      </c>
      <c r="H255" s="118" t="s">
        <v>176</v>
      </c>
      <c r="I255" s="378">
        <v>145</v>
      </c>
      <c r="J255" s="117">
        <v>46</v>
      </c>
      <c r="K255" s="117" t="s">
        <v>179</v>
      </c>
      <c r="L255" t="str">
        <f t="shared" si="51"/>
        <v>IR20</v>
      </c>
      <c r="M255" t="str">
        <f t="shared" si="61"/>
        <v/>
      </c>
      <c r="N255" t="str">
        <f t="shared" si="62"/>
        <v/>
      </c>
      <c r="O255" t="str">
        <f t="shared" si="63"/>
        <v/>
      </c>
      <c r="P255" s="113" t="str">
        <f t="shared" si="52"/>
        <v>IR20</v>
      </c>
      <c r="Q255" s="114">
        <f t="shared" si="53"/>
        <v>145</v>
      </c>
      <c r="R255" s="114">
        <f t="shared" si="54"/>
        <v>135.66666666666666</v>
      </c>
      <c r="S255" s="113">
        <f t="shared" si="55"/>
        <v>126</v>
      </c>
      <c r="T255" s="111">
        <f t="shared" ca="1" si="56"/>
        <v>2.86</v>
      </c>
      <c r="U255" s="111" t="str">
        <f t="shared" si="57"/>
        <v/>
      </c>
      <c r="V255" t="str">
        <f t="array" ref="V255">INDEX(P:P,MAX(U$3:U255))</f>
        <v>IR#2MTR</v>
      </c>
      <c r="W255" t="str">
        <f t="shared" ca="1" si="58"/>
        <v/>
      </c>
      <c r="X255">
        <f t="shared" si="59"/>
        <v>11.4</v>
      </c>
      <c r="Y255">
        <f t="shared" si="60"/>
        <v>145</v>
      </c>
      <c r="Z255" t="str">
        <f t="shared" si="64"/>
        <v>社頭</v>
      </c>
    </row>
    <row r="256" spans="1:26" x14ac:dyDescent="0.25">
      <c r="A256" s="118" t="s">
        <v>411</v>
      </c>
      <c r="B256" s="119" t="s">
        <v>421</v>
      </c>
      <c r="C256" s="119">
        <v>80</v>
      </c>
      <c r="D256" s="118" t="s">
        <v>196</v>
      </c>
      <c r="E256" s="118">
        <v>70</v>
      </c>
      <c r="F256" s="118" t="s">
        <v>176</v>
      </c>
      <c r="G256" s="118">
        <v>86</v>
      </c>
      <c r="H256" s="118" t="s">
        <v>188</v>
      </c>
      <c r="I256" s="378">
        <v>86</v>
      </c>
      <c r="J256" s="117">
        <v>40</v>
      </c>
      <c r="K256" s="117" t="s">
        <v>180</v>
      </c>
      <c r="L256" t="str">
        <f t="shared" si="51"/>
        <v>IR27</v>
      </c>
      <c r="M256" t="str">
        <f t="shared" si="61"/>
        <v/>
      </c>
      <c r="N256" t="str">
        <f t="shared" si="62"/>
        <v/>
      </c>
      <c r="O256" t="str">
        <f t="shared" si="63"/>
        <v/>
      </c>
      <c r="P256" s="113" t="str">
        <f t="shared" si="52"/>
        <v>IR27</v>
      </c>
      <c r="Q256" s="114">
        <f t="shared" si="53"/>
        <v>86</v>
      </c>
      <c r="R256" s="114">
        <f t="shared" si="54"/>
        <v>78.666666666666671</v>
      </c>
      <c r="S256" s="113">
        <f t="shared" si="55"/>
        <v>70</v>
      </c>
      <c r="T256" s="111">
        <f t="shared" ca="1" si="56"/>
        <v>1.7</v>
      </c>
      <c r="U256" s="111" t="str">
        <f t="shared" si="57"/>
        <v/>
      </c>
      <c r="V256" t="str">
        <f t="array" ref="V256">INDEX(P:P,MAX(U$3:U256))</f>
        <v>IR#2MTR</v>
      </c>
      <c r="W256" t="str">
        <f t="shared" ca="1" si="58"/>
        <v/>
      </c>
      <c r="X256">
        <f t="shared" si="59"/>
        <v>11.4</v>
      </c>
      <c r="Y256">
        <f t="shared" si="60"/>
        <v>86</v>
      </c>
      <c r="Z256" t="str">
        <f t="shared" si="64"/>
        <v>社頭</v>
      </c>
    </row>
    <row r="257" spans="1:26" x14ac:dyDescent="0.25">
      <c r="A257" s="118" t="s">
        <v>411</v>
      </c>
      <c r="B257" s="119" t="s">
        <v>197</v>
      </c>
      <c r="C257" s="119">
        <v>657</v>
      </c>
      <c r="D257" s="118" t="s">
        <v>176</v>
      </c>
      <c r="E257" s="118">
        <v>668</v>
      </c>
      <c r="F257" s="118" t="s">
        <v>177</v>
      </c>
      <c r="G257" s="118">
        <v>685</v>
      </c>
      <c r="H257" s="118" t="s">
        <v>188</v>
      </c>
      <c r="I257" s="378">
        <v>685</v>
      </c>
      <c r="J257" s="117"/>
      <c r="K257" s="117"/>
      <c r="L257" t="str">
        <f t="shared" si="51"/>
        <v>IR#3MTR</v>
      </c>
      <c r="M257" t="str">
        <f t="shared" si="61"/>
        <v/>
      </c>
      <c r="N257" t="str">
        <f t="shared" si="62"/>
        <v>IR#3MTR</v>
      </c>
      <c r="O257" t="str">
        <f t="shared" si="63"/>
        <v/>
      </c>
      <c r="P257" s="113" t="str">
        <f t="shared" si="52"/>
        <v>IR#3MTR</v>
      </c>
      <c r="Q257" s="114">
        <f t="shared" si="53"/>
        <v>685</v>
      </c>
      <c r="R257" s="114">
        <f t="shared" si="54"/>
        <v>670</v>
      </c>
      <c r="S257" s="113">
        <f t="shared" si="55"/>
        <v>657</v>
      </c>
      <c r="T257" s="111">
        <f t="shared" ca="1" si="56"/>
        <v>13.53</v>
      </c>
      <c r="U257" s="111">
        <f t="shared" si="57"/>
        <v>257</v>
      </c>
      <c r="V257" t="str">
        <f t="array" ref="V257">INDEX(P:P,MAX(U$3:U257))</f>
        <v>IR#3MTR</v>
      </c>
      <c r="W257">
        <f t="shared" ca="1" si="58"/>
        <v>25</v>
      </c>
      <c r="X257" t="str">
        <f t="shared" si="59"/>
        <v/>
      </c>
      <c r="Y257">
        <f t="shared" si="60"/>
        <v>685</v>
      </c>
      <c r="Z257" t="str">
        <f t="shared" si="64"/>
        <v>社頭</v>
      </c>
    </row>
    <row r="258" spans="1:26" x14ac:dyDescent="0.25">
      <c r="A258" s="118" t="s">
        <v>411</v>
      </c>
      <c r="B258" s="119" t="s">
        <v>422</v>
      </c>
      <c r="C258" s="119">
        <v>204</v>
      </c>
      <c r="D258" s="118" t="s">
        <v>176</v>
      </c>
      <c r="E258" s="118">
        <v>212</v>
      </c>
      <c r="F258" s="118" t="s">
        <v>177</v>
      </c>
      <c r="G258" s="118">
        <v>163</v>
      </c>
      <c r="H258" s="118" t="s">
        <v>177</v>
      </c>
      <c r="I258" s="378">
        <v>212</v>
      </c>
      <c r="J258" s="117">
        <v>64</v>
      </c>
      <c r="K258" s="117" t="s">
        <v>188</v>
      </c>
      <c r="L258" t="str">
        <f t="shared" si="51"/>
        <v>IR37</v>
      </c>
      <c r="M258" t="str">
        <f t="shared" si="61"/>
        <v/>
      </c>
      <c r="N258" t="str">
        <f t="shared" si="62"/>
        <v/>
      </c>
      <c r="O258" t="str">
        <f t="shared" si="63"/>
        <v/>
      </c>
      <c r="P258" s="113" t="str">
        <f t="shared" si="52"/>
        <v>IR37</v>
      </c>
      <c r="Q258" s="114">
        <f t="shared" si="53"/>
        <v>212</v>
      </c>
      <c r="R258" s="114">
        <f t="shared" si="54"/>
        <v>193</v>
      </c>
      <c r="S258" s="113">
        <f t="shared" si="55"/>
        <v>163</v>
      </c>
      <c r="T258" s="111">
        <f t="shared" ca="1" si="56"/>
        <v>4.1900000000000004</v>
      </c>
      <c r="U258" s="111" t="str">
        <f t="shared" si="57"/>
        <v/>
      </c>
      <c r="V258" t="str">
        <f t="array" ref="V258">INDEX(P:P,MAX(U$3:U258))</f>
        <v>IR#3MTR</v>
      </c>
      <c r="W258" t="str">
        <f t="shared" ca="1" si="58"/>
        <v/>
      </c>
      <c r="X258">
        <f t="shared" si="59"/>
        <v>11.4</v>
      </c>
      <c r="Y258">
        <f t="shared" si="60"/>
        <v>212</v>
      </c>
      <c r="Z258" t="str">
        <f t="shared" si="64"/>
        <v>社頭</v>
      </c>
    </row>
    <row r="259" spans="1:26" x14ac:dyDescent="0.25">
      <c r="A259" s="118" t="s">
        <v>411</v>
      </c>
      <c r="B259" s="119" t="s">
        <v>423</v>
      </c>
      <c r="C259" s="119">
        <v>135</v>
      </c>
      <c r="D259" s="118" t="s">
        <v>192</v>
      </c>
      <c r="E259" s="118">
        <v>121</v>
      </c>
      <c r="F259" s="118" t="s">
        <v>192</v>
      </c>
      <c r="G259" s="118">
        <v>158</v>
      </c>
      <c r="H259" s="118" t="s">
        <v>188</v>
      </c>
      <c r="I259" s="378">
        <v>158</v>
      </c>
      <c r="J259" s="117">
        <v>54</v>
      </c>
      <c r="K259" s="117" t="s">
        <v>188</v>
      </c>
      <c r="L259" t="str">
        <f t="shared" ref="L259:L322" si="65">IF(COUNTIF(B259,"*TR*")&gt;0,SUBSTITUTE(RIGHT(TRIM(A259),2) &amp; B259," ",""),MID(B259,FIND("(",B259)+1,4))</f>
        <v>IR38</v>
      </c>
      <c r="M259" t="str">
        <f t="shared" si="61"/>
        <v/>
      </c>
      <c r="N259" t="str">
        <f t="shared" si="62"/>
        <v/>
      </c>
      <c r="O259" t="str">
        <f t="shared" si="63"/>
        <v/>
      </c>
      <c r="P259" s="113" t="str">
        <f t="shared" ref="P259:P322" si="66">IF(COUNTIF(B259,"*TR*")&gt;0,SUBSTITUTE(RIGHT(TRIM(A259),2) &amp; B259," ",""),MID(B259,FIND("(",B259)+1,4))</f>
        <v>IR38</v>
      </c>
      <c r="Q259" s="114">
        <f t="shared" ref="Q259:Q322" si="67">VALUE(I259)</f>
        <v>158</v>
      </c>
      <c r="R259" s="114">
        <f t="shared" ref="R259:R322" si="68">AVERAGE(C259*1,E259*1,G259*1)</f>
        <v>138</v>
      </c>
      <c r="S259" s="113">
        <f t="shared" ref="S259:S322" si="69">MIN(C259*1,E259*1,G259*1)</f>
        <v>121</v>
      </c>
      <c r="T259" s="111">
        <f t="shared" ref="T259:T322" ca="1" si="70">IF(LEFT(TRIM(B259),1)="#",ROUND(OFFSET(X259,1,0,1,1)*Y259*SQRT(3)/1000,2),ROUND(Q259*X259*SQRT(3)/1000,2))</f>
        <v>3.12</v>
      </c>
      <c r="U259" s="111" t="str">
        <f t="shared" ref="U259:U322" si="71">IF(ISNUMBER(FIND("#",B259)),ROW(),"")</f>
        <v/>
      </c>
      <c r="V259" t="str">
        <f t="array" ref="V259">INDEX(P:P,MAX(U$3:U259))</f>
        <v>IR#3MTR</v>
      </c>
      <c r="W259" t="str">
        <f t="shared" ref="W259:W322" ca="1" si="72">IF(LEFT(TRIM(B259),1)="#",IF(ISNUMBER(FIND("DTR",B259)),IF(MID(OFFSET(P259,1,0,1,1),3,1)*1&lt;5,30,60),25),"")</f>
        <v/>
      </c>
      <c r="X259">
        <f t="shared" ref="X259:X322" si="73">IF(LEFT(TRIM(B259),1)= "#","",IF(MID(P259,3,1)*1&lt;5,11.4,22.8))</f>
        <v>11.4</v>
      </c>
      <c r="Y259">
        <f t="shared" ref="Y259:Y322" si="74">SUMIF(L:L,L259,I:I)</f>
        <v>158</v>
      </c>
      <c r="Z259" t="str">
        <f t="shared" si="64"/>
        <v>社頭</v>
      </c>
    </row>
    <row r="260" spans="1:26" x14ac:dyDescent="0.25">
      <c r="A260" s="118" t="s">
        <v>411</v>
      </c>
      <c r="B260" s="119" t="s">
        <v>424</v>
      </c>
      <c r="C260" s="119">
        <v>211</v>
      </c>
      <c r="D260" s="118" t="s">
        <v>176</v>
      </c>
      <c r="E260" s="118">
        <v>229</v>
      </c>
      <c r="F260" s="118" t="s">
        <v>176</v>
      </c>
      <c r="G260" s="118">
        <v>255</v>
      </c>
      <c r="H260" s="118" t="s">
        <v>188</v>
      </c>
      <c r="I260" s="378">
        <v>255</v>
      </c>
      <c r="J260" s="117">
        <v>82</v>
      </c>
      <c r="K260" s="117" t="s">
        <v>203</v>
      </c>
      <c r="L260" t="str">
        <f t="shared" si="65"/>
        <v>IR39</v>
      </c>
      <c r="M260" t="str">
        <f t="shared" ref="M260:M323" si="75">IF(LEFT(B260,1)="#",IF(LEN(B260)&lt;&gt;5,MID(B260,6,3),""),"")</f>
        <v/>
      </c>
      <c r="N260" t="str">
        <f t="shared" ref="N260:N323" si="76">IF(LEFT(B260,1)="#",IF(LEN(B260)=5,RIGHT(A260,2)&amp;B260,RIGHT(A260,2)&amp;LEFT(B260,2)&amp;"DTR"),"")</f>
        <v/>
      </c>
      <c r="O260" t="str">
        <f t="shared" ref="O260:O323" si="77">IF(LEFT(B260,1)="#",IF(LEN(B260)&lt;&gt;5,IF(LEN(B260)&lt;&gt;7,MID(B260,6,3),"("&amp;MID(B260,3,2)&amp;")"),""),"")</f>
        <v/>
      </c>
      <c r="P260" s="113" t="str">
        <f t="shared" si="66"/>
        <v>IR39</v>
      </c>
      <c r="Q260" s="114">
        <f t="shared" si="67"/>
        <v>255</v>
      </c>
      <c r="R260" s="114">
        <f t="shared" si="68"/>
        <v>231.66666666666666</v>
      </c>
      <c r="S260" s="113">
        <f t="shared" si="69"/>
        <v>211</v>
      </c>
      <c r="T260" s="111">
        <f t="shared" ca="1" si="70"/>
        <v>5.04</v>
      </c>
      <c r="U260" s="111" t="str">
        <f t="shared" si="71"/>
        <v/>
      </c>
      <c r="V260" t="str">
        <f t="array" ref="V260">INDEX(P:P,MAX(U$3:U260))</f>
        <v>IR#3MTR</v>
      </c>
      <c r="W260" t="str">
        <f t="shared" ca="1" si="72"/>
        <v/>
      </c>
      <c r="X260">
        <f t="shared" si="73"/>
        <v>11.4</v>
      </c>
      <c r="Y260">
        <f t="shared" si="74"/>
        <v>255</v>
      </c>
      <c r="Z260" t="str">
        <f t="shared" ref="Z260:Z323" si="78">LEFT(A260,2)</f>
        <v>社頭</v>
      </c>
    </row>
    <row r="261" spans="1:26" x14ac:dyDescent="0.25">
      <c r="A261" s="118" t="s">
        <v>411</v>
      </c>
      <c r="B261" s="119" t="s">
        <v>425</v>
      </c>
      <c r="C261" s="119">
        <v>159</v>
      </c>
      <c r="D261" s="118" t="s">
        <v>229</v>
      </c>
      <c r="E261" s="118">
        <v>139</v>
      </c>
      <c r="F261" s="118" t="s">
        <v>229</v>
      </c>
      <c r="G261" s="118">
        <v>132</v>
      </c>
      <c r="H261" s="118" t="s">
        <v>200</v>
      </c>
      <c r="I261" s="378">
        <v>159</v>
      </c>
      <c r="J261" s="117">
        <v>47</v>
      </c>
      <c r="K261" s="117" t="s">
        <v>229</v>
      </c>
      <c r="L261" t="str">
        <f t="shared" si="65"/>
        <v>IR36</v>
      </c>
      <c r="M261" t="str">
        <f t="shared" si="75"/>
        <v/>
      </c>
      <c r="N261" t="str">
        <f t="shared" si="76"/>
        <v/>
      </c>
      <c r="O261" t="str">
        <f t="shared" si="77"/>
        <v/>
      </c>
      <c r="P261" s="113" t="str">
        <f t="shared" si="66"/>
        <v>IR36</v>
      </c>
      <c r="Q261" s="114">
        <f t="shared" si="67"/>
        <v>159</v>
      </c>
      <c r="R261" s="114">
        <f t="shared" si="68"/>
        <v>143.33333333333334</v>
      </c>
      <c r="S261" s="113">
        <f t="shared" si="69"/>
        <v>132</v>
      </c>
      <c r="T261" s="111">
        <f t="shared" ca="1" si="70"/>
        <v>3.14</v>
      </c>
      <c r="U261" s="111" t="str">
        <f t="shared" si="71"/>
        <v/>
      </c>
      <c r="V261" t="str">
        <f t="array" ref="V261">INDEX(P:P,MAX(U$3:U261))</f>
        <v>IR#3MTR</v>
      </c>
      <c r="W261" t="str">
        <f t="shared" ca="1" si="72"/>
        <v/>
      </c>
      <c r="X261">
        <f t="shared" si="73"/>
        <v>11.4</v>
      </c>
      <c r="Y261">
        <f t="shared" si="74"/>
        <v>159</v>
      </c>
      <c r="Z261" t="str">
        <f t="shared" si="78"/>
        <v>社頭</v>
      </c>
    </row>
    <row r="262" spans="1:26" x14ac:dyDescent="0.25">
      <c r="A262" s="118" t="s">
        <v>411</v>
      </c>
      <c r="B262" s="119" t="s">
        <v>426</v>
      </c>
      <c r="C262" s="119">
        <v>24</v>
      </c>
      <c r="D262" s="118" t="s">
        <v>177</v>
      </c>
      <c r="E262" s="118">
        <v>39</v>
      </c>
      <c r="F262" s="118" t="s">
        <v>177</v>
      </c>
      <c r="G262" s="118">
        <v>48</v>
      </c>
      <c r="H262" s="118" t="s">
        <v>192</v>
      </c>
      <c r="I262" s="378">
        <v>48</v>
      </c>
      <c r="J262" s="117">
        <v>39</v>
      </c>
      <c r="K262" s="117" t="s">
        <v>203</v>
      </c>
      <c r="L262" t="str">
        <f t="shared" si="65"/>
        <v>IR40</v>
      </c>
      <c r="M262" t="str">
        <f t="shared" si="75"/>
        <v/>
      </c>
      <c r="N262" t="str">
        <f t="shared" si="76"/>
        <v/>
      </c>
      <c r="O262" t="str">
        <f t="shared" si="77"/>
        <v/>
      </c>
      <c r="P262" s="113" t="str">
        <f t="shared" si="66"/>
        <v>IR40</v>
      </c>
      <c r="Q262" s="114">
        <f t="shared" si="67"/>
        <v>48</v>
      </c>
      <c r="R262" s="114">
        <f t="shared" si="68"/>
        <v>37</v>
      </c>
      <c r="S262" s="113">
        <f t="shared" si="69"/>
        <v>24</v>
      </c>
      <c r="T262" s="111">
        <f t="shared" ca="1" si="70"/>
        <v>0.95</v>
      </c>
      <c r="U262" s="111" t="str">
        <f t="shared" si="71"/>
        <v/>
      </c>
      <c r="V262" t="str">
        <f t="array" ref="V262">INDEX(P:P,MAX(U$3:U262))</f>
        <v>IR#3MTR</v>
      </c>
      <c r="W262" t="str">
        <f t="shared" ca="1" si="72"/>
        <v/>
      </c>
      <c r="X262">
        <f t="shared" si="73"/>
        <v>11.4</v>
      </c>
      <c r="Y262">
        <f t="shared" si="74"/>
        <v>48</v>
      </c>
      <c r="Z262" t="str">
        <f t="shared" si="78"/>
        <v>社頭</v>
      </c>
    </row>
    <row r="263" spans="1:26" x14ac:dyDescent="0.25">
      <c r="A263" s="118" t="s">
        <v>411</v>
      </c>
      <c r="B263" s="119" t="s">
        <v>427</v>
      </c>
      <c r="C263" s="119">
        <v>579</v>
      </c>
      <c r="D263" s="118" t="s">
        <v>198</v>
      </c>
      <c r="E263" s="118">
        <v>633</v>
      </c>
      <c r="F263" s="118" t="s">
        <v>177</v>
      </c>
      <c r="G263" s="118">
        <v>583</v>
      </c>
      <c r="H263" s="118" t="s">
        <v>203</v>
      </c>
      <c r="I263" s="378">
        <v>633</v>
      </c>
      <c r="J263" s="117"/>
      <c r="K263" s="117"/>
      <c r="L263" t="str">
        <f t="shared" si="65"/>
        <v>IR#4MTR</v>
      </c>
      <c r="M263" t="str">
        <f t="shared" si="75"/>
        <v/>
      </c>
      <c r="N263" t="str">
        <f t="shared" si="76"/>
        <v>IR#4MTR</v>
      </c>
      <c r="O263" t="str">
        <f t="shared" si="77"/>
        <v/>
      </c>
      <c r="P263" s="113" t="str">
        <f t="shared" si="66"/>
        <v>IR#4MTR</v>
      </c>
      <c r="Q263" s="114">
        <f t="shared" si="67"/>
        <v>633</v>
      </c>
      <c r="R263" s="114">
        <f t="shared" si="68"/>
        <v>598.33333333333337</v>
      </c>
      <c r="S263" s="113">
        <f t="shared" si="69"/>
        <v>579</v>
      </c>
      <c r="T263" s="111">
        <f t="shared" ca="1" si="70"/>
        <v>12.5</v>
      </c>
      <c r="U263" s="111">
        <f t="shared" si="71"/>
        <v>263</v>
      </c>
      <c r="V263" t="str">
        <f t="array" ref="V263">INDEX(P:P,MAX(U$3:U263))</f>
        <v>IR#4MTR</v>
      </c>
      <c r="W263">
        <f t="shared" ca="1" si="72"/>
        <v>25</v>
      </c>
      <c r="X263" t="str">
        <f t="shared" si="73"/>
        <v/>
      </c>
      <c r="Y263">
        <f t="shared" si="74"/>
        <v>633</v>
      </c>
      <c r="Z263" t="str">
        <f t="shared" si="78"/>
        <v>社頭</v>
      </c>
    </row>
    <row r="264" spans="1:26" x14ac:dyDescent="0.25">
      <c r="A264" s="118" t="s">
        <v>411</v>
      </c>
      <c r="B264" s="119" t="s">
        <v>428</v>
      </c>
      <c r="C264" s="119">
        <v>72</v>
      </c>
      <c r="D264" s="118" t="s">
        <v>229</v>
      </c>
      <c r="E264" s="118">
        <v>78</v>
      </c>
      <c r="F264" s="118" t="s">
        <v>229</v>
      </c>
      <c r="G264" s="118">
        <v>26</v>
      </c>
      <c r="H264" s="118" t="s">
        <v>229</v>
      </c>
      <c r="I264" s="378">
        <v>78</v>
      </c>
      <c r="J264" s="117">
        <v>74</v>
      </c>
      <c r="K264" s="117" t="s">
        <v>229</v>
      </c>
      <c r="L264" t="str">
        <f t="shared" si="65"/>
        <v>IR23</v>
      </c>
      <c r="M264" t="str">
        <f t="shared" si="75"/>
        <v/>
      </c>
      <c r="N264" t="str">
        <f t="shared" si="76"/>
        <v/>
      </c>
      <c r="O264" t="str">
        <f t="shared" si="77"/>
        <v/>
      </c>
      <c r="P264" s="113" t="str">
        <f t="shared" si="66"/>
        <v>IR23</v>
      </c>
      <c r="Q264" s="114">
        <f t="shared" si="67"/>
        <v>78</v>
      </c>
      <c r="R264" s="114">
        <f t="shared" si="68"/>
        <v>58.666666666666664</v>
      </c>
      <c r="S264" s="113">
        <f t="shared" si="69"/>
        <v>26</v>
      </c>
      <c r="T264" s="111">
        <f t="shared" ca="1" si="70"/>
        <v>1.54</v>
      </c>
      <c r="U264" s="111" t="str">
        <f t="shared" si="71"/>
        <v/>
      </c>
      <c r="V264" t="str">
        <f t="array" ref="V264">INDEX(P:P,MAX(U$3:U264))</f>
        <v>IR#4MTR</v>
      </c>
      <c r="W264" t="str">
        <f t="shared" ca="1" si="72"/>
        <v/>
      </c>
      <c r="X264">
        <f t="shared" si="73"/>
        <v>11.4</v>
      </c>
      <c r="Y264">
        <f t="shared" si="74"/>
        <v>78</v>
      </c>
      <c r="Z264" t="str">
        <f t="shared" si="78"/>
        <v>社頭</v>
      </c>
    </row>
    <row r="265" spans="1:26" x14ac:dyDescent="0.25">
      <c r="A265" s="118" t="s">
        <v>411</v>
      </c>
      <c r="B265" s="119" t="s">
        <v>429</v>
      </c>
      <c r="C265" s="119">
        <v>45</v>
      </c>
      <c r="D265" s="118" t="s">
        <v>179</v>
      </c>
      <c r="E265" s="118">
        <v>58</v>
      </c>
      <c r="F265" s="118" t="s">
        <v>179</v>
      </c>
      <c r="G265" s="118">
        <v>48</v>
      </c>
      <c r="H265" s="118" t="s">
        <v>179</v>
      </c>
      <c r="I265" s="378">
        <v>58</v>
      </c>
      <c r="J265" s="117">
        <v>23</v>
      </c>
      <c r="K265" s="117" t="s">
        <v>214</v>
      </c>
      <c r="L265" t="str">
        <f t="shared" si="65"/>
        <v>IR28</v>
      </c>
      <c r="M265" t="str">
        <f t="shared" si="75"/>
        <v/>
      </c>
      <c r="N265" t="str">
        <f t="shared" si="76"/>
        <v/>
      </c>
      <c r="O265" t="str">
        <f t="shared" si="77"/>
        <v/>
      </c>
      <c r="P265" s="113" t="str">
        <f t="shared" si="66"/>
        <v>IR28</v>
      </c>
      <c r="Q265" s="114">
        <f t="shared" si="67"/>
        <v>58</v>
      </c>
      <c r="R265" s="114">
        <f t="shared" si="68"/>
        <v>50.333333333333336</v>
      </c>
      <c r="S265" s="113">
        <f t="shared" si="69"/>
        <v>45</v>
      </c>
      <c r="T265" s="111">
        <f t="shared" ca="1" si="70"/>
        <v>1.1499999999999999</v>
      </c>
      <c r="U265" s="111" t="str">
        <f t="shared" si="71"/>
        <v/>
      </c>
      <c r="V265" t="str">
        <f t="array" ref="V265">INDEX(P:P,MAX(U$3:U265))</f>
        <v>IR#4MTR</v>
      </c>
      <c r="W265" t="str">
        <f t="shared" ca="1" si="72"/>
        <v/>
      </c>
      <c r="X265">
        <f t="shared" si="73"/>
        <v>11.4</v>
      </c>
      <c r="Y265">
        <f t="shared" si="74"/>
        <v>58</v>
      </c>
      <c r="Z265" t="str">
        <f t="shared" si="78"/>
        <v>社頭</v>
      </c>
    </row>
    <row r="266" spans="1:26" x14ac:dyDescent="0.25">
      <c r="A266" s="118" t="s">
        <v>411</v>
      </c>
      <c r="B266" s="119" t="s">
        <v>430</v>
      </c>
      <c r="C266" s="119">
        <v>150</v>
      </c>
      <c r="D266" s="118" t="s">
        <v>183</v>
      </c>
      <c r="E266" s="118">
        <v>136</v>
      </c>
      <c r="F266" s="118" t="s">
        <v>177</v>
      </c>
      <c r="G266" s="118">
        <v>130</v>
      </c>
      <c r="H266" s="118" t="s">
        <v>183</v>
      </c>
      <c r="I266" s="378">
        <v>150</v>
      </c>
      <c r="J266" s="117">
        <v>49</v>
      </c>
      <c r="K266" s="117" t="s">
        <v>229</v>
      </c>
      <c r="L266" t="str">
        <f t="shared" si="65"/>
        <v>IR22</v>
      </c>
      <c r="M266" t="str">
        <f t="shared" si="75"/>
        <v/>
      </c>
      <c r="N266" t="str">
        <f t="shared" si="76"/>
        <v/>
      </c>
      <c r="O266" t="str">
        <f t="shared" si="77"/>
        <v/>
      </c>
      <c r="P266" s="113" t="str">
        <f t="shared" si="66"/>
        <v>IR22</v>
      </c>
      <c r="Q266" s="114">
        <f t="shared" si="67"/>
        <v>150</v>
      </c>
      <c r="R266" s="114">
        <f t="shared" si="68"/>
        <v>138.66666666666666</v>
      </c>
      <c r="S266" s="113">
        <f t="shared" si="69"/>
        <v>130</v>
      </c>
      <c r="T266" s="111">
        <f t="shared" ca="1" si="70"/>
        <v>2.96</v>
      </c>
      <c r="U266" s="111" t="str">
        <f t="shared" si="71"/>
        <v/>
      </c>
      <c r="V266" t="str">
        <f t="array" ref="V266">INDEX(P:P,MAX(U$3:U266))</f>
        <v>IR#4MTR</v>
      </c>
      <c r="W266" t="str">
        <f t="shared" ca="1" si="72"/>
        <v/>
      </c>
      <c r="X266">
        <f t="shared" si="73"/>
        <v>11.4</v>
      </c>
      <c r="Y266">
        <f t="shared" si="74"/>
        <v>150</v>
      </c>
      <c r="Z266" t="str">
        <f t="shared" si="78"/>
        <v>社頭</v>
      </c>
    </row>
    <row r="267" spans="1:26" x14ac:dyDescent="0.25">
      <c r="A267" s="118" t="s">
        <v>411</v>
      </c>
      <c r="B267" s="119" t="s">
        <v>431</v>
      </c>
      <c r="C267" s="119">
        <v>200</v>
      </c>
      <c r="D267" s="118" t="s">
        <v>192</v>
      </c>
      <c r="E267" s="118">
        <v>230</v>
      </c>
      <c r="F267" s="118" t="s">
        <v>177</v>
      </c>
      <c r="G267" s="118">
        <v>231</v>
      </c>
      <c r="H267" s="118" t="s">
        <v>177</v>
      </c>
      <c r="I267" s="378">
        <v>231</v>
      </c>
      <c r="J267" s="117">
        <v>47</v>
      </c>
      <c r="K267" s="117" t="s">
        <v>188</v>
      </c>
      <c r="L267" t="str">
        <f t="shared" si="65"/>
        <v>IR29</v>
      </c>
      <c r="M267" t="str">
        <f t="shared" si="75"/>
        <v/>
      </c>
      <c r="N267" t="str">
        <f t="shared" si="76"/>
        <v/>
      </c>
      <c r="O267" t="str">
        <f t="shared" si="77"/>
        <v/>
      </c>
      <c r="P267" s="113" t="str">
        <f t="shared" si="66"/>
        <v>IR29</v>
      </c>
      <c r="Q267" s="114">
        <f t="shared" si="67"/>
        <v>231</v>
      </c>
      <c r="R267" s="114">
        <f t="shared" si="68"/>
        <v>220.33333333333334</v>
      </c>
      <c r="S267" s="113">
        <f t="shared" si="69"/>
        <v>200</v>
      </c>
      <c r="T267" s="111">
        <f t="shared" ca="1" si="70"/>
        <v>4.5599999999999996</v>
      </c>
      <c r="U267" s="111" t="str">
        <f t="shared" si="71"/>
        <v/>
      </c>
      <c r="V267" t="str">
        <f t="array" ref="V267">INDEX(P:P,MAX(U$3:U267))</f>
        <v>IR#4MTR</v>
      </c>
      <c r="W267" t="str">
        <f t="shared" ca="1" si="72"/>
        <v/>
      </c>
      <c r="X267">
        <f t="shared" si="73"/>
        <v>11.4</v>
      </c>
      <c r="Y267">
        <f t="shared" si="74"/>
        <v>231</v>
      </c>
      <c r="Z267" t="str">
        <f t="shared" si="78"/>
        <v>社頭</v>
      </c>
    </row>
    <row r="268" spans="1:26" x14ac:dyDescent="0.25">
      <c r="A268" s="118" t="s">
        <v>411</v>
      </c>
      <c r="B268" s="119" t="s">
        <v>432</v>
      </c>
      <c r="C268" s="119">
        <v>171</v>
      </c>
      <c r="D268" s="118" t="s">
        <v>198</v>
      </c>
      <c r="E268" s="118">
        <v>170</v>
      </c>
      <c r="F268" s="118" t="s">
        <v>203</v>
      </c>
      <c r="G268" s="118">
        <v>198</v>
      </c>
      <c r="H268" s="118" t="s">
        <v>203</v>
      </c>
      <c r="I268" s="378">
        <v>198</v>
      </c>
      <c r="J268" s="117">
        <v>57</v>
      </c>
      <c r="K268" s="117" t="s">
        <v>207</v>
      </c>
      <c r="L268" t="str">
        <f t="shared" si="65"/>
        <v>IR24</v>
      </c>
      <c r="M268" t="str">
        <f t="shared" si="75"/>
        <v/>
      </c>
      <c r="N268" t="str">
        <f t="shared" si="76"/>
        <v/>
      </c>
      <c r="O268" t="str">
        <f t="shared" si="77"/>
        <v/>
      </c>
      <c r="P268" s="113" t="str">
        <f t="shared" si="66"/>
        <v>IR24</v>
      </c>
      <c r="Q268" s="114">
        <f t="shared" si="67"/>
        <v>198</v>
      </c>
      <c r="R268" s="114">
        <f t="shared" si="68"/>
        <v>179.66666666666666</v>
      </c>
      <c r="S268" s="113">
        <f t="shared" si="69"/>
        <v>170</v>
      </c>
      <c r="T268" s="111">
        <f t="shared" ca="1" si="70"/>
        <v>3.91</v>
      </c>
      <c r="U268" s="111" t="str">
        <f t="shared" si="71"/>
        <v/>
      </c>
      <c r="V268" t="str">
        <f t="array" ref="V268">INDEX(P:P,MAX(U$3:U268))</f>
        <v>IR#4MTR</v>
      </c>
      <c r="W268" t="str">
        <f t="shared" ca="1" si="72"/>
        <v/>
      </c>
      <c r="X268">
        <f t="shared" si="73"/>
        <v>11.4</v>
      </c>
      <c r="Y268">
        <f t="shared" si="74"/>
        <v>198</v>
      </c>
      <c r="Z268" t="str">
        <f t="shared" si="78"/>
        <v>社頭</v>
      </c>
    </row>
    <row r="269" spans="1:26" x14ac:dyDescent="0.25">
      <c r="A269" s="118" t="s">
        <v>433</v>
      </c>
      <c r="B269" s="119" t="s">
        <v>175</v>
      </c>
      <c r="C269" s="119">
        <v>722</v>
      </c>
      <c r="D269" s="118" t="s">
        <v>179</v>
      </c>
      <c r="E269" s="118">
        <v>701</v>
      </c>
      <c r="F269" s="118" t="s">
        <v>179</v>
      </c>
      <c r="G269" s="118">
        <v>712</v>
      </c>
      <c r="H269" s="118" t="s">
        <v>179</v>
      </c>
      <c r="I269" s="378">
        <v>722</v>
      </c>
      <c r="J269" s="117"/>
      <c r="K269" s="117"/>
      <c r="L269" t="str">
        <f t="shared" si="65"/>
        <v>IY#1MTR</v>
      </c>
      <c r="M269" t="str">
        <f t="shared" si="75"/>
        <v/>
      </c>
      <c r="N269" t="str">
        <f t="shared" si="76"/>
        <v>IY#1MTR</v>
      </c>
      <c r="O269" t="str">
        <f t="shared" si="77"/>
        <v/>
      </c>
      <c r="P269" s="113" t="str">
        <f t="shared" si="66"/>
        <v>IY#1MTR</v>
      </c>
      <c r="Q269" s="114">
        <f t="shared" si="67"/>
        <v>722</v>
      </c>
      <c r="R269" s="114">
        <f t="shared" si="68"/>
        <v>711.66666666666663</v>
      </c>
      <c r="S269" s="113">
        <f t="shared" si="69"/>
        <v>701</v>
      </c>
      <c r="T269" s="111">
        <f t="shared" ca="1" si="70"/>
        <v>14.26</v>
      </c>
      <c r="U269" s="111">
        <f t="shared" si="71"/>
        <v>269</v>
      </c>
      <c r="V269" t="str">
        <f t="array" ref="V269">INDEX(P:P,MAX(U$3:U269))</f>
        <v>IY#1MTR</v>
      </c>
      <c r="W269">
        <f t="shared" ca="1" si="72"/>
        <v>25</v>
      </c>
      <c r="X269" t="str">
        <f t="shared" si="73"/>
        <v/>
      </c>
      <c r="Y269">
        <f t="shared" si="74"/>
        <v>722</v>
      </c>
      <c r="Z269" t="str">
        <f t="shared" si="78"/>
        <v>芳苑</v>
      </c>
    </row>
    <row r="270" spans="1:26" x14ac:dyDescent="0.25">
      <c r="A270" s="118" t="s">
        <v>433</v>
      </c>
      <c r="B270" s="119" t="s">
        <v>434</v>
      </c>
      <c r="C270" s="119">
        <v>82</v>
      </c>
      <c r="D270" s="118" t="s">
        <v>179</v>
      </c>
      <c r="E270" s="118">
        <v>46</v>
      </c>
      <c r="F270" s="118" t="s">
        <v>188</v>
      </c>
      <c r="G270" s="118">
        <v>59</v>
      </c>
      <c r="H270" s="118" t="s">
        <v>177</v>
      </c>
      <c r="I270" s="378">
        <v>82</v>
      </c>
      <c r="J270" s="117">
        <v>45</v>
      </c>
      <c r="K270" s="117" t="s">
        <v>179</v>
      </c>
      <c r="L270" t="str">
        <f t="shared" si="65"/>
        <v>IY31</v>
      </c>
      <c r="M270" t="str">
        <f t="shared" si="75"/>
        <v/>
      </c>
      <c r="N270" t="str">
        <f t="shared" si="76"/>
        <v/>
      </c>
      <c r="O270" t="str">
        <f t="shared" si="77"/>
        <v/>
      </c>
      <c r="P270" s="113" t="str">
        <f t="shared" si="66"/>
        <v>IY31</v>
      </c>
      <c r="Q270" s="114">
        <f t="shared" si="67"/>
        <v>82</v>
      </c>
      <c r="R270" s="114">
        <f t="shared" si="68"/>
        <v>62.333333333333336</v>
      </c>
      <c r="S270" s="113">
        <f t="shared" si="69"/>
        <v>46</v>
      </c>
      <c r="T270" s="111">
        <f t="shared" ca="1" si="70"/>
        <v>1.62</v>
      </c>
      <c r="U270" s="111" t="str">
        <f t="shared" si="71"/>
        <v/>
      </c>
      <c r="V270" t="str">
        <f t="array" ref="V270">INDEX(P:P,MAX(U$3:U270))</f>
        <v>IY#1MTR</v>
      </c>
      <c r="W270" t="str">
        <f t="shared" ca="1" si="72"/>
        <v/>
      </c>
      <c r="X270">
        <f t="shared" si="73"/>
        <v>11.4</v>
      </c>
      <c r="Y270">
        <f t="shared" si="74"/>
        <v>82</v>
      </c>
      <c r="Z270" t="str">
        <f t="shared" si="78"/>
        <v>芳苑</v>
      </c>
    </row>
    <row r="271" spans="1:26" x14ac:dyDescent="0.25">
      <c r="A271" s="118" t="s">
        <v>433</v>
      </c>
      <c r="B271" s="119" t="s">
        <v>435</v>
      </c>
      <c r="C271" s="119">
        <v>293</v>
      </c>
      <c r="D271" s="118" t="s">
        <v>179</v>
      </c>
      <c r="E271" s="118">
        <v>299</v>
      </c>
      <c r="F271" s="118" t="s">
        <v>179</v>
      </c>
      <c r="G271" s="118">
        <v>296</v>
      </c>
      <c r="H271" s="118" t="s">
        <v>179</v>
      </c>
      <c r="I271" s="378">
        <v>299</v>
      </c>
      <c r="J271" s="117">
        <v>0</v>
      </c>
      <c r="K271" s="117" t="s">
        <v>194</v>
      </c>
      <c r="L271" t="str">
        <f t="shared" si="65"/>
        <v>IY21</v>
      </c>
      <c r="M271" t="str">
        <f t="shared" si="75"/>
        <v/>
      </c>
      <c r="N271" t="str">
        <f t="shared" si="76"/>
        <v/>
      </c>
      <c r="O271" t="str">
        <f t="shared" si="77"/>
        <v/>
      </c>
      <c r="P271" s="113" t="str">
        <f t="shared" si="66"/>
        <v>IY21</v>
      </c>
      <c r="Q271" s="114">
        <f t="shared" si="67"/>
        <v>299</v>
      </c>
      <c r="R271" s="114">
        <f t="shared" si="68"/>
        <v>296</v>
      </c>
      <c r="S271" s="113">
        <f t="shared" si="69"/>
        <v>293</v>
      </c>
      <c r="T271" s="111">
        <f t="shared" ca="1" si="70"/>
        <v>5.9</v>
      </c>
      <c r="U271" s="111" t="str">
        <f t="shared" si="71"/>
        <v/>
      </c>
      <c r="V271" t="str">
        <f t="array" ref="V271">INDEX(P:P,MAX(U$3:U271))</f>
        <v>IY#1MTR</v>
      </c>
      <c r="W271" t="str">
        <f t="shared" ca="1" si="72"/>
        <v/>
      </c>
      <c r="X271">
        <f t="shared" si="73"/>
        <v>11.4</v>
      </c>
      <c r="Y271">
        <f t="shared" si="74"/>
        <v>299</v>
      </c>
      <c r="Z271" t="str">
        <f t="shared" si="78"/>
        <v>芳苑</v>
      </c>
    </row>
    <row r="272" spans="1:26" x14ac:dyDescent="0.25">
      <c r="A272" s="118" t="s">
        <v>433</v>
      </c>
      <c r="B272" s="119" t="s">
        <v>436</v>
      </c>
      <c r="C272" s="119">
        <v>132</v>
      </c>
      <c r="D272" s="118" t="s">
        <v>376</v>
      </c>
      <c r="E272" s="118">
        <v>136</v>
      </c>
      <c r="F272" s="118" t="s">
        <v>194</v>
      </c>
      <c r="G272" s="118">
        <v>135</v>
      </c>
      <c r="H272" s="118" t="s">
        <v>194</v>
      </c>
      <c r="I272" s="378">
        <v>136</v>
      </c>
      <c r="J272" s="117">
        <v>3</v>
      </c>
      <c r="K272" s="117" t="s">
        <v>203</v>
      </c>
      <c r="L272" t="str">
        <f t="shared" si="65"/>
        <v>IY32</v>
      </c>
      <c r="M272" t="str">
        <f t="shared" si="75"/>
        <v/>
      </c>
      <c r="N272" t="str">
        <f t="shared" si="76"/>
        <v/>
      </c>
      <c r="O272" t="str">
        <f t="shared" si="77"/>
        <v/>
      </c>
      <c r="P272" s="113" t="str">
        <f t="shared" si="66"/>
        <v>IY32</v>
      </c>
      <c r="Q272" s="114">
        <f t="shared" si="67"/>
        <v>136</v>
      </c>
      <c r="R272" s="114">
        <f t="shared" si="68"/>
        <v>134.33333333333334</v>
      </c>
      <c r="S272" s="113">
        <f t="shared" si="69"/>
        <v>132</v>
      </c>
      <c r="T272" s="111">
        <f t="shared" ca="1" si="70"/>
        <v>2.69</v>
      </c>
      <c r="U272" s="111" t="str">
        <f t="shared" si="71"/>
        <v/>
      </c>
      <c r="V272" t="str">
        <f t="array" ref="V272">INDEX(P:P,MAX(U$3:U272))</f>
        <v>IY#1MTR</v>
      </c>
      <c r="W272" t="str">
        <f t="shared" ca="1" si="72"/>
        <v/>
      </c>
      <c r="X272">
        <f t="shared" si="73"/>
        <v>11.4</v>
      </c>
      <c r="Y272">
        <f t="shared" si="74"/>
        <v>136</v>
      </c>
      <c r="Z272" t="str">
        <f t="shared" si="78"/>
        <v>芳苑</v>
      </c>
    </row>
    <row r="273" spans="1:26" x14ac:dyDescent="0.25">
      <c r="A273" s="118" t="s">
        <v>433</v>
      </c>
      <c r="B273" s="119" t="s">
        <v>437</v>
      </c>
      <c r="C273" s="119">
        <v>169</v>
      </c>
      <c r="D273" s="118" t="s">
        <v>207</v>
      </c>
      <c r="E273" s="118">
        <v>168</v>
      </c>
      <c r="F273" s="118" t="s">
        <v>207</v>
      </c>
      <c r="G273" s="118">
        <v>168</v>
      </c>
      <c r="H273" s="118" t="s">
        <v>207</v>
      </c>
      <c r="I273" s="378">
        <v>169</v>
      </c>
      <c r="J273" s="117">
        <v>9</v>
      </c>
      <c r="K273" s="117" t="s">
        <v>183</v>
      </c>
      <c r="L273" t="str">
        <f t="shared" si="65"/>
        <v>IY28</v>
      </c>
      <c r="M273" t="str">
        <f t="shared" si="75"/>
        <v/>
      </c>
      <c r="N273" t="str">
        <f t="shared" si="76"/>
        <v/>
      </c>
      <c r="O273" t="str">
        <f t="shared" si="77"/>
        <v/>
      </c>
      <c r="P273" s="113" t="str">
        <f t="shared" si="66"/>
        <v>IY28</v>
      </c>
      <c r="Q273" s="114">
        <f t="shared" si="67"/>
        <v>169</v>
      </c>
      <c r="R273" s="114">
        <f t="shared" si="68"/>
        <v>168.33333333333334</v>
      </c>
      <c r="S273" s="113">
        <f t="shared" si="69"/>
        <v>168</v>
      </c>
      <c r="T273" s="111">
        <f t="shared" ca="1" si="70"/>
        <v>3.34</v>
      </c>
      <c r="U273" s="111" t="str">
        <f t="shared" si="71"/>
        <v/>
      </c>
      <c r="V273" t="str">
        <f t="array" ref="V273">INDEX(P:P,MAX(U$3:U273))</f>
        <v>IY#1MTR</v>
      </c>
      <c r="W273" t="str">
        <f t="shared" ca="1" si="72"/>
        <v/>
      </c>
      <c r="X273">
        <f t="shared" si="73"/>
        <v>11.4</v>
      </c>
      <c r="Y273">
        <f t="shared" si="74"/>
        <v>169</v>
      </c>
      <c r="Z273" t="str">
        <f t="shared" si="78"/>
        <v>芳苑</v>
      </c>
    </row>
    <row r="274" spans="1:26" x14ac:dyDescent="0.25">
      <c r="A274" s="118" t="s">
        <v>433</v>
      </c>
      <c r="B274" s="119" t="s">
        <v>438</v>
      </c>
      <c r="C274" s="119">
        <v>188</v>
      </c>
      <c r="D274" s="118" t="s">
        <v>192</v>
      </c>
      <c r="E274" s="118">
        <v>194</v>
      </c>
      <c r="F274" s="118" t="s">
        <v>192</v>
      </c>
      <c r="G274" s="118">
        <v>189</v>
      </c>
      <c r="H274" s="118" t="s">
        <v>192</v>
      </c>
      <c r="I274" s="378">
        <v>194</v>
      </c>
      <c r="J274" s="117">
        <v>0</v>
      </c>
      <c r="K274" s="117" t="s">
        <v>194</v>
      </c>
      <c r="L274" t="str">
        <f t="shared" si="65"/>
        <v>IY29</v>
      </c>
      <c r="M274" t="str">
        <f t="shared" si="75"/>
        <v/>
      </c>
      <c r="N274" t="str">
        <f t="shared" si="76"/>
        <v/>
      </c>
      <c r="O274" t="str">
        <f t="shared" si="77"/>
        <v/>
      </c>
      <c r="P274" s="113" t="str">
        <f t="shared" si="66"/>
        <v>IY29</v>
      </c>
      <c r="Q274" s="114">
        <f t="shared" si="67"/>
        <v>194</v>
      </c>
      <c r="R274" s="114">
        <f t="shared" si="68"/>
        <v>190.33333333333334</v>
      </c>
      <c r="S274" s="113">
        <f t="shared" si="69"/>
        <v>188</v>
      </c>
      <c r="T274" s="111">
        <f t="shared" ca="1" si="70"/>
        <v>3.83</v>
      </c>
      <c r="U274" s="111" t="str">
        <f t="shared" si="71"/>
        <v/>
      </c>
      <c r="V274" t="str">
        <f t="array" ref="V274">INDEX(P:P,MAX(U$3:U274))</f>
        <v>IY#1MTR</v>
      </c>
      <c r="W274" t="str">
        <f t="shared" ca="1" si="72"/>
        <v/>
      </c>
      <c r="X274">
        <f t="shared" si="73"/>
        <v>11.4</v>
      </c>
      <c r="Y274">
        <f t="shared" si="74"/>
        <v>194</v>
      </c>
      <c r="Z274" t="str">
        <f t="shared" si="78"/>
        <v>芳苑</v>
      </c>
    </row>
    <row r="275" spans="1:26" x14ac:dyDescent="0.25">
      <c r="A275" s="118" t="s">
        <v>433</v>
      </c>
      <c r="B275" s="119" t="s">
        <v>187</v>
      </c>
      <c r="C275" s="119">
        <v>464</v>
      </c>
      <c r="D275" s="118" t="s">
        <v>180</v>
      </c>
      <c r="E275" s="118">
        <v>464</v>
      </c>
      <c r="F275" s="118" t="s">
        <v>180</v>
      </c>
      <c r="G275" s="118">
        <v>487</v>
      </c>
      <c r="H275" s="118" t="s">
        <v>179</v>
      </c>
      <c r="I275" s="378">
        <v>487</v>
      </c>
      <c r="J275" s="117"/>
      <c r="K275" s="117"/>
      <c r="L275" t="str">
        <f t="shared" si="65"/>
        <v>IY#2MTR</v>
      </c>
      <c r="M275" t="str">
        <f t="shared" si="75"/>
        <v/>
      </c>
      <c r="N275" t="str">
        <f t="shared" si="76"/>
        <v>IY#2MTR</v>
      </c>
      <c r="O275" t="str">
        <f t="shared" si="77"/>
        <v/>
      </c>
      <c r="P275" s="113" t="str">
        <f t="shared" si="66"/>
        <v>IY#2MTR</v>
      </c>
      <c r="Q275" s="114">
        <f t="shared" si="67"/>
        <v>487</v>
      </c>
      <c r="R275" s="114">
        <f t="shared" si="68"/>
        <v>471.66666666666669</v>
      </c>
      <c r="S275" s="113">
        <f t="shared" si="69"/>
        <v>464</v>
      </c>
      <c r="T275" s="111">
        <f t="shared" ca="1" si="70"/>
        <v>9.6199999999999992</v>
      </c>
      <c r="U275" s="111">
        <f t="shared" si="71"/>
        <v>275</v>
      </c>
      <c r="V275" t="str">
        <f t="array" ref="V275">INDEX(P:P,MAX(U$3:U275))</f>
        <v>IY#2MTR</v>
      </c>
      <c r="W275">
        <f t="shared" ca="1" si="72"/>
        <v>25</v>
      </c>
      <c r="X275" t="str">
        <f t="shared" si="73"/>
        <v/>
      </c>
      <c r="Y275">
        <f t="shared" si="74"/>
        <v>487</v>
      </c>
      <c r="Z275" t="str">
        <f t="shared" si="78"/>
        <v>芳苑</v>
      </c>
    </row>
    <row r="276" spans="1:26" x14ac:dyDescent="0.25">
      <c r="A276" s="118" t="s">
        <v>433</v>
      </c>
      <c r="B276" s="119" t="s">
        <v>439</v>
      </c>
      <c r="C276" s="119">
        <v>189</v>
      </c>
      <c r="D276" s="118" t="s">
        <v>180</v>
      </c>
      <c r="E276" s="118">
        <v>200</v>
      </c>
      <c r="F276" s="118" t="s">
        <v>183</v>
      </c>
      <c r="G276" s="118">
        <v>170</v>
      </c>
      <c r="H276" s="118" t="s">
        <v>183</v>
      </c>
      <c r="I276" s="378">
        <v>200</v>
      </c>
      <c r="J276" s="117">
        <v>51</v>
      </c>
      <c r="K276" s="117" t="s">
        <v>200</v>
      </c>
      <c r="L276" t="str">
        <f t="shared" si="65"/>
        <v>IY33</v>
      </c>
      <c r="M276" t="str">
        <f t="shared" si="75"/>
        <v/>
      </c>
      <c r="N276" t="str">
        <f t="shared" si="76"/>
        <v/>
      </c>
      <c r="O276" t="str">
        <f t="shared" si="77"/>
        <v/>
      </c>
      <c r="P276" s="113" t="str">
        <f t="shared" si="66"/>
        <v>IY33</v>
      </c>
      <c r="Q276" s="114">
        <f t="shared" si="67"/>
        <v>200</v>
      </c>
      <c r="R276" s="114">
        <f t="shared" si="68"/>
        <v>186.33333333333334</v>
      </c>
      <c r="S276" s="113">
        <f t="shared" si="69"/>
        <v>170</v>
      </c>
      <c r="T276" s="111">
        <f t="shared" ca="1" si="70"/>
        <v>3.95</v>
      </c>
      <c r="U276" s="111" t="str">
        <f t="shared" si="71"/>
        <v/>
      </c>
      <c r="V276" t="str">
        <f t="array" ref="V276">INDEX(P:P,MAX(U$3:U276))</f>
        <v>IY#2MTR</v>
      </c>
      <c r="W276" t="str">
        <f t="shared" ca="1" si="72"/>
        <v/>
      </c>
      <c r="X276">
        <f t="shared" si="73"/>
        <v>11.4</v>
      </c>
      <c r="Y276">
        <f t="shared" si="74"/>
        <v>200</v>
      </c>
      <c r="Z276" t="str">
        <f t="shared" si="78"/>
        <v>芳苑</v>
      </c>
    </row>
    <row r="277" spans="1:26" x14ac:dyDescent="0.25">
      <c r="A277" s="118" t="s">
        <v>433</v>
      </c>
      <c r="B277" s="119" t="s">
        <v>440</v>
      </c>
      <c r="C277" s="119">
        <v>123</v>
      </c>
      <c r="D277" s="118" t="s">
        <v>177</v>
      </c>
      <c r="E277" s="118">
        <v>97</v>
      </c>
      <c r="F277" s="118" t="s">
        <v>183</v>
      </c>
      <c r="G277" s="118">
        <v>124</v>
      </c>
      <c r="H277" s="118" t="s">
        <v>183</v>
      </c>
      <c r="I277" s="378">
        <v>124</v>
      </c>
      <c r="J277" s="117">
        <v>40</v>
      </c>
      <c r="K277" s="117" t="s">
        <v>177</v>
      </c>
      <c r="L277" t="str">
        <f t="shared" si="65"/>
        <v>IY20</v>
      </c>
      <c r="M277" t="str">
        <f t="shared" si="75"/>
        <v/>
      </c>
      <c r="N277" t="str">
        <f t="shared" si="76"/>
        <v/>
      </c>
      <c r="O277" t="str">
        <f t="shared" si="77"/>
        <v/>
      </c>
      <c r="P277" s="113" t="str">
        <f t="shared" si="66"/>
        <v>IY20</v>
      </c>
      <c r="Q277" s="114">
        <f t="shared" si="67"/>
        <v>124</v>
      </c>
      <c r="R277" s="114">
        <f t="shared" si="68"/>
        <v>114.66666666666667</v>
      </c>
      <c r="S277" s="113">
        <f t="shared" si="69"/>
        <v>97</v>
      </c>
      <c r="T277" s="111">
        <f t="shared" ca="1" si="70"/>
        <v>2.4500000000000002</v>
      </c>
      <c r="U277" s="111" t="str">
        <f t="shared" si="71"/>
        <v/>
      </c>
      <c r="V277" t="str">
        <f t="array" ref="V277">INDEX(P:P,MAX(U$3:U277))</f>
        <v>IY#2MTR</v>
      </c>
      <c r="W277" t="str">
        <f t="shared" ca="1" si="72"/>
        <v/>
      </c>
      <c r="X277">
        <f t="shared" si="73"/>
        <v>11.4</v>
      </c>
      <c r="Y277">
        <f t="shared" si="74"/>
        <v>124</v>
      </c>
      <c r="Z277" t="str">
        <f t="shared" si="78"/>
        <v>芳苑</v>
      </c>
    </row>
    <row r="278" spans="1:26" x14ac:dyDescent="0.25">
      <c r="A278" s="118" t="s">
        <v>433</v>
      </c>
      <c r="B278" s="119" t="s">
        <v>441</v>
      </c>
      <c r="C278" s="119">
        <v>138</v>
      </c>
      <c r="D278" s="118" t="s">
        <v>192</v>
      </c>
      <c r="E278" s="118">
        <v>150</v>
      </c>
      <c r="F278" s="118" t="s">
        <v>177</v>
      </c>
      <c r="G278" s="118">
        <v>170</v>
      </c>
      <c r="H278" s="118" t="s">
        <v>177</v>
      </c>
      <c r="I278" s="378">
        <v>170</v>
      </c>
      <c r="J278" s="117">
        <v>49</v>
      </c>
      <c r="K278" s="117" t="s">
        <v>188</v>
      </c>
      <c r="L278" t="str">
        <f t="shared" si="65"/>
        <v>IY34</v>
      </c>
      <c r="M278" t="str">
        <f t="shared" si="75"/>
        <v/>
      </c>
      <c r="N278" t="str">
        <f t="shared" si="76"/>
        <v/>
      </c>
      <c r="O278" t="str">
        <f t="shared" si="77"/>
        <v/>
      </c>
      <c r="P278" s="113" t="str">
        <f t="shared" si="66"/>
        <v>IY34</v>
      </c>
      <c r="Q278" s="114">
        <f t="shared" si="67"/>
        <v>170</v>
      </c>
      <c r="R278" s="114">
        <f t="shared" si="68"/>
        <v>152.66666666666666</v>
      </c>
      <c r="S278" s="113">
        <f t="shared" si="69"/>
        <v>138</v>
      </c>
      <c r="T278" s="111">
        <f t="shared" ca="1" si="70"/>
        <v>3.36</v>
      </c>
      <c r="U278" s="111" t="str">
        <f t="shared" si="71"/>
        <v/>
      </c>
      <c r="V278" t="str">
        <f t="array" ref="V278">INDEX(P:P,MAX(U$3:U278))</f>
        <v>IY#2MTR</v>
      </c>
      <c r="W278" t="str">
        <f t="shared" ca="1" si="72"/>
        <v/>
      </c>
      <c r="X278">
        <f t="shared" si="73"/>
        <v>11.4</v>
      </c>
      <c r="Y278">
        <f t="shared" si="74"/>
        <v>170</v>
      </c>
      <c r="Z278" t="str">
        <f t="shared" si="78"/>
        <v>芳苑</v>
      </c>
    </row>
    <row r="279" spans="1:26" x14ac:dyDescent="0.25">
      <c r="A279" s="118" t="s">
        <v>433</v>
      </c>
      <c r="B279" s="119" t="s">
        <v>442</v>
      </c>
      <c r="C279" s="119">
        <v>69</v>
      </c>
      <c r="D279" s="118" t="s">
        <v>183</v>
      </c>
      <c r="E279" s="118">
        <v>82</v>
      </c>
      <c r="F279" s="118" t="s">
        <v>192</v>
      </c>
      <c r="G279" s="118">
        <v>77</v>
      </c>
      <c r="H279" s="118" t="s">
        <v>180</v>
      </c>
      <c r="I279" s="378">
        <v>82</v>
      </c>
      <c r="J279" s="117">
        <v>22</v>
      </c>
      <c r="K279" s="117" t="s">
        <v>214</v>
      </c>
      <c r="L279" t="str">
        <f t="shared" si="65"/>
        <v>IY35</v>
      </c>
      <c r="M279" t="str">
        <f t="shared" si="75"/>
        <v/>
      </c>
      <c r="N279" t="str">
        <f t="shared" si="76"/>
        <v/>
      </c>
      <c r="O279" t="str">
        <f t="shared" si="77"/>
        <v/>
      </c>
      <c r="P279" s="113" t="str">
        <f t="shared" si="66"/>
        <v>IY35</v>
      </c>
      <c r="Q279" s="114">
        <f t="shared" si="67"/>
        <v>82</v>
      </c>
      <c r="R279" s="114">
        <f t="shared" si="68"/>
        <v>76</v>
      </c>
      <c r="S279" s="113">
        <f t="shared" si="69"/>
        <v>69</v>
      </c>
      <c r="T279" s="111">
        <f t="shared" ca="1" si="70"/>
        <v>1.62</v>
      </c>
      <c r="U279" s="111" t="str">
        <f t="shared" si="71"/>
        <v/>
      </c>
      <c r="V279" t="str">
        <f t="array" ref="V279">INDEX(P:P,MAX(U$3:U279))</f>
        <v>IY#2MTR</v>
      </c>
      <c r="W279" t="str">
        <f t="shared" ca="1" si="72"/>
        <v/>
      </c>
      <c r="X279">
        <f t="shared" si="73"/>
        <v>11.4</v>
      </c>
      <c r="Y279">
        <f t="shared" si="74"/>
        <v>82</v>
      </c>
      <c r="Z279" t="str">
        <f t="shared" si="78"/>
        <v>芳苑</v>
      </c>
    </row>
    <row r="280" spans="1:26" x14ac:dyDescent="0.25">
      <c r="A280" s="118" t="s">
        <v>433</v>
      </c>
      <c r="B280" s="119" t="s">
        <v>443</v>
      </c>
      <c r="C280" s="119">
        <v>157</v>
      </c>
      <c r="D280" s="118" t="s">
        <v>179</v>
      </c>
      <c r="E280" s="118">
        <v>168</v>
      </c>
      <c r="F280" s="118" t="s">
        <v>179</v>
      </c>
      <c r="G280" s="118">
        <v>190</v>
      </c>
      <c r="H280" s="118" t="s">
        <v>179</v>
      </c>
      <c r="I280" s="378">
        <v>190</v>
      </c>
      <c r="J280" s="117">
        <v>41</v>
      </c>
      <c r="K280" s="117" t="s">
        <v>196</v>
      </c>
      <c r="L280" t="str">
        <f t="shared" si="65"/>
        <v>IY24</v>
      </c>
      <c r="M280" t="str">
        <f t="shared" si="75"/>
        <v/>
      </c>
      <c r="N280" t="str">
        <f t="shared" si="76"/>
        <v/>
      </c>
      <c r="O280" t="str">
        <f t="shared" si="77"/>
        <v/>
      </c>
      <c r="P280" s="113" t="str">
        <f t="shared" si="66"/>
        <v>IY24</v>
      </c>
      <c r="Q280" s="114">
        <f t="shared" si="67"/>
        <v>190</v>
      </c>
      <c r="R280" s="114">
        <f t="shared" si="68"/>
        <v>171.66666666666666</v>
      </c>
      <c r="S280" s="113">
        <f t="shared" si="69"/>
        <v>157</v>
      </c>
      <c r="T280" s="111">
        <f t="shared" ca="1" si="70"/>
        <v>3.75</v>
      </c>
      <c r="U280" s="111" t="str">
        <f t="shared" si="71"/>
        <v/>
      </c>
      <c r="V280" t="str">
        <f t="array" ref="V280">INDEX(P:P,MAX(U$3:U280))</f>
        <v>IY#2MTR</v>
      </c>
      <c r="W280" t="str">
        <f t="shared" ca="1" si="72"/>
        <v/>
      </c>
      <c r="X280">
        <f t="shared" si="73"/>
        <v>11.4</v>
      </c>
      <c r="Y280">
        <f t="shared" si="74"/>
        <v>190</v>
      </c>
      <c r="Z280" t="str">
        <f t="shared" si="78"/>
        <v>芳苑</v>
      </c>
    </row>
    <row r="281" spans="1:26" x14ac:dyDescent="0.25">
      <c r="A281" s="118" t="s">
        <v>433</v>
      </c>
      <c r="B281" s="119" t="s">
        <v>197</v>
      </c>
      <c r="C281" s="119">
        <v>706</v>
      </c>
      <c r="D281" s="118" t="s">
        <v>176</v>
      </c>
      <c r="E281" s="118">
        <v>711</v>
      </c>
      <c r="F281" s="118" t="s">
        <v>176</v>
      </c>
      <c r="G281" s="118">
        <v>714</v>
      </c>
      <c r="H281" s="118" t="s">
        <v>176</v>
      </c>
      <c r="I281" s="378">
        <v>714</v>
      </c>
      <c r="J281" s="117"/>
      <c r="K281" s="117"/>
      <c r="L281" t="str">
        <f t="shared" si="65"/>
        <v>IY#3MTR</v>
      </c>
      <c r="M281" t="str">
        <f t="shared" si="75"/>
        <v/>
      </c>
      <c r="N281" t="str">
        <f t="shared" si="76"/>
        <v>IY#3MTR</v>
      </c>
      <c r="O281" t="str">
        <f t="shared" si="77"/>
        <v/>
      </c>
      <c r="P281" s="113" t="str">
        <f t="shared" si="66"/>
        <v>IY#3MTR</v>
      </c>
      <c r="Q281" s="114">
        <f t="shared" si="67"/>
        <v>714</v>
      </c>
      <c r="R281" s="114">
        <f t="shared" si="68"/>
        <v>710.33333333333337</v>
      </c>
      <c r="S281" s="113">
        <f t="shared" si="69"/>
        <v>706</v>
      </c>
      <c r="T281" s="111">
        <f t="shared" ca="1" si="70"/>
        <v>14.1</v>
      </c>
      <c r="U281" s="111">
        <f t="shared" si="71"/>
        <v>281</v>
      </c>
      <c r="V281" t="str">
        <f t="array" ref="V281">INDEX(P:P,MAX(U$3:U281))</f>
        <v>IY#3MTR</v>
      </c>
      <c r="W281">
        <f t="shared" ca="1" si="72"/>
        <v>25</v>
      </c>
      <c r="X281" t="str">
        <f t="shared" si="73"/>
        <v/>
      </c>
      <c r="Y281">
        <f t="shared" si="74"/>
        <v>714</v>
      </c>
      <c r="Z281" t="str">
        <f t="shared" si="78"/>
        <v>芳苑</v>
      </c>
    </row>
    <row r="282" spans="1:26" x14ac:dyDescent="0.25">
      <c r="A282" s="118" t="s">
        <v>433</v>
      </c>
      <c r="B282" s="119" t="s">
        <v>444</v>
      </c>
      <c r="C282" s="119">
        <v>136</v>
      </c>
      <c r="D282" s="118" t="s">
        <v>247</v>
      </c>
      <c r="E282" s="118">
        <v>140</v>
      </c>
      <c r="F282" s="118" t="s">
        <v>194</v>
      </c>
      <c r="G282" s="118">
        <v>141</v>
      </c>
      <c r="H282" s="118" t="s">
        <v>247</v>
      </c>
      <c r="I282" s="378">
        <v>141</v>
      </c>
      <c r="J282" s="117">
        <v>0</v>
      </c>
      <c r="K282" s="117" t="s">
        <v>194</v>
      </c>
      <c r="L282" t="str">
        <f t="shared" si="65"/>
        <v>IY27</v>
      </c>
      <c r="M282" t="str">
        <f t="shared" si="75"/>
        <v/>
      </c>
      <c r="N282" t="str">
        <f t="shared" si="76"/>
        <v/>
      </c>
      <c r="O282" t="str">
        <f t="shared" si="77"/>
        <v/>
      </c>
      <c r="P282" s="113" t="str">
        <f t="shared" si="66"/>
        <v>IY27</v>
      </c>
      <c r="Q282" s="114">
        <f t="shared" si="67"/>
        <v>141</v>
      </c>
      <c r="R282" s="114">
        <f t="shared" si="68"/>
        <v>139</v>
      </c>
      <c r="S282" s="113">
        <f t="shared" si="69"/>
        <v>136</v>
      </c>
      <c r="T282" s="111">
        <f t="shared" ca="1" si="70"/>
        <v>2.78</v>
      </c>
      <c r="U282" s="111" t="str">
        <f t="shared" si="71"/>
        <v/>
      </c>
      <c r="V282" t="str">
        <f t="array" ref="V282">INDEX(P:P,MAX(U$3:U282))</f>
        <v>IY#3MTR</v>
      </c>
      <c r="W282" t="str">
        <f t="shared" ca="1" si="72"/>
        <v/>
      </c>
      <c r="X282">
        <f t="shared" si="73"/>
        <v>11.4</v>
      </c>
      <c r="Y282">
        <f t="shared" si="74"/>
        <v>141</v>
      </c>
      <c r="Z282" t="str">
        <f t="shared" si="78"/>
        <v>芳苑</v>
      </c>
    </row>
    <row r="283" spans="1:26" x14ac:dyDescent="0.25">
      <c r="A283" s="118" t="s">
        <v>433</v>
      </c>
      <c r="B283" s="119" t="s">
        <v>445</v>
      </c>
      <c r="C283" s="119">
        <v>284</v>
      </c>
      <c r="D283" s="118" t="s">
        <v>203</v>
      </c>
      <c r="E283" s="118">
        <v>280</v>
      </c>
      <c r="F283" s="118" t="s">
        <v>203</v>
      </c>
      <c r="G283" s="118">
        <v>286</v>
      </c>
      <c r="H283" s="118" t="s">
        <v>203</v>
      </c>
      <c r="I283" s="378">
        <v>286</v>
      </c>
      <c r="J283" s="117">
        <v>2</v>
      </c>
      <c r="K283" s="117" t="s">
        <v>196</v>
      </c>
      <c r="L283" t="str">
        <f t="shared" si="65"/>
        <v>IY26</v>
      </c>
      <c r="M283" t="str">
        <f t="shared" si="75"/>
        <v/>
      </c>
      <c r="N283" t="str">
        <f t="shared" si="76"/>
        <v/>
      </c>
      <c r="O283" t="str">
        <f t="shared" si="77"/>
        <v/>
      </c>
      <c r="P283" s="113" t="str">
        <f t="shared" si="66"/>
        <v>IY26</v>
      </c>
      <c r="Q283" s="114">
        <f t="shared" si="67"/>
        <v>286</v>
      </c>
      <c r="R283" s="114">
        <f t="shared" si="68"/>
        <v>283.33333333333331</v>
      </c>
      <c r="S283" s="113">
        <f t="shared" si="69"/>
        <v>280</v>
      </c>
      <c r="T283" s="111">
        <f t="shared" ca="1" si="70"/>
        <v>5.65</v>
      </c>
      <c r="U283" s="111" t="str">
        <f t="shared" si="71"/>
        <v/>
      </c>
      <c r="V283" t="str">
        <f t="array" ref="V283">INDEX(P:P,MAX(U$3:U283))</f>
        <v>IY#3MTR</v>
      </c>
      <c r="W283" t="str">
        <f t="shared" ca="1" si="72"/>
        <v/>
      </c>
      <c r="X283">
        <f t="shared" si="73"/>
        <v>11.4</v>
      </c>
      <c r="Y283">
        <f t="shared" si="74"/>
        <v>286</v>
      </c>
      <c r="Z283" t="str">
        <f t="shared" si="78"/>
        <v>芳苑</v>
      </c>
    </row>
    <row r="284" spans="1:26" x14ac:dyDescent="0.25">
      <c r="A284" s="118" t="s">
        <v>433</v>
      </c>
      <c r="B284" s="119" t="s">
        <v>446</v>
      </c>
      <c r="C284" s="119">
        <v>73</v>
      </c>
      <c r="D284" s="118" t="s">
        <v>188</v>
      </c>
      <c r="E284" s="118">
        <v>77</v>
      </c>
      <c r="F284" s="118" t="s">
        <v>211</v>
      </c>
      <c r="G284" s="118">
        <v>76</v>
      </c>
      <c r="H284" s="118" t="s">
        <v>188</v>
      </c>
      <c r="I284" s="378">
        <v>77</v>
      </c>
      <c r="J284" s="117">
        <v>14</v>
      </c>
      <c r="K284" s="117" t="s">
        <v>207</v>
      </c>
      <c r="L284" t="str">
        <f t="shared" si="65"/>
        <v>IY22</v>
      </c>
      <c r="M284" t="str">
        <f t="shared" si="75"/>
        <v/>
      </c>
      <c r="N284" t="str">
        <f t="shared" si="76"/>
        <v/>
      </c>
      <c r="O284" t="str">
        <f t="shared" si="77"/>
        <v/>
      </c>
      <c r="P284" s="113" t="str">
        <f t="shared" si="66"/>
        <v>IY22</v>
      </c>
      <c r="Q284" s="114">
        <f t="shared" si="67"/>
        <v>77</v>
      </c>
      <c r="R284" s="114">
        <f t="shared" si="68"/>
        <v>75.333333333333329</v>
      </c>
      <c r="S284" s="113">
        <f t="shared" si="69"/>
        <v>73</v>
      </c>
      <c r="T284" s="111">
        <f t="shared" ca="1" si="70"/>
        <v>1.52</v>
      </c>
      <c r="U284" s="111" t="str">
        <f t="shared" si="71"/>
        <v/>
      </c>
      <c r="V284" t="str">
        <f t="array" ref="V284">INDEX(P:P,MAX(U$3:U284))</f>
        <v>IY#3MTR</v>
      </c>
      <c r="W284" t="str">
        <f t="shared" ca="1" si="72"/>
        <v/>
      </c>
      <c r="X284">
        <f t="shared" si="73"/>
        <v>11.4</v>
      </c>
      <c r="Y284">
        <f t="shared" si="74"/>
        <v>77</v>
      </c>
      <c r="Z284" t="str">
        <f t="shared" si="78"/>
        <v>芳苑</v>
      </c>
    </row>
    <row r="285" spans="1:26" x14ac:dyDescent="0.25">
      <c r="A285" s="118" t="s">
        <v>433</v>
      </c>
      <c r="B285" s="119" t="s">
        <v>447</v>
      </c>
      <c r="C285" s="119">
        <v>182</v>
      </c>
      <c r="D285" s="118" t="s">
        <v>188</v>
      </c>
      <c r="E285" s="118">
        <v>180</v>
      </c>
      <c r="F285" s="118" t="s">
        <v>188</v>
      </c>
      <c r="G285" s="118">
        <v>175</v>
      </c>
      <c r="H285" s="118" t="s">
        <v>188</v>
      </c>
      <c r="I285" s="378">
        <v>182</v>
      </c>
      <c r="J285" s="117">
        <v>3</v>
      </c>
      <c r="K285" s="117" t="s">
        <v>198</v>
      </c>
      <c r="L285" t="str">
        <f t="shared" si="65"/>
        <v>IY23</v>
      </c>
      <c r="M285" t="str">
        <f t="shared" si="75"/>
        <v/>
      </c>
      <c r="N285" t="str">
        <f t="shared" si="76"/>
        <v/>
      </c>
      <c r="O285" t="str">
        <f t="shared" si="77"/>
        <v/>
      </c>
      <c r="P285" s="113" t="str">
        <f t="shared" si="66"/>
        <v>IY23</v>
      </c>
      <c r="Q285" s="114">
        <f t="shared" si="67"/>
        <v>182</v>
      </c>
      <c r="R285" s="114">
        <f t="shared" si="68"/>
        <v>179</v>
      </c>
      <c r="S285" s="113">
        <f t="shared" si="69"/>
        <v>175</v>
      </c>
      <c r="T285" s="111">
        <f t="shared" ca="1" si="70"/>
        <v>3.59</v>
      </c>
      <c r="U285" s="111" t="str">
        <f t="shared" si="71"/>
        <v/>
      </c>
      <c r="V285" t="str">
        <f t="array" ref="V285">INDEX(P:P,MAX(U$3:U285))</f>
        <v>IY#3MTR</v>
      </c>
      <c r="W285" t="str">
        <f t="shared" ca="1" si="72"/>
        <v/>
      </c>
      <c r="X285">
        <f t="shared" si="73"/>
        <v>11.4</v>
      </c>
      <c r="Y285">
        <f t="shared" si="74"/>
        <v>182</v>
      </c>
      <c r="Z285" t="str">
        <f t="shared" si="78"/>
        <v>芳苑</v>
      </c>
    </row>
    <row r="286" spans="1:26" x14ac:dyDescent="0.25">
      <c r="A286" s="118" t="s">
        <v>433</v>
      </c>
      <c r="B286" s="119" t="s">
        <v>448</v>
      </c>
      <c r="C286" s="119">
        <v>207</v>
      </c>
      <c r="D286" s="118" t="s">
        <v>184</v>
      </c>
      <c r="E286" s="118">
        <v>206</v>
      </c>
      <c r="F286" s="118" t="s">
        <v>184</v>
      </c>
      <c r="G286" s="118">
        <v>209</v>
      </c>
      <c r="H286" s="118" t="s">
        <v>179</v>
      </c>
      <c r="I286" s="378">
        <v>209</v>
      </c>
      <c r="J286" s="117">
        <v>8</v>
      </c>
      <c r="K286" s="117" t="s">
        <v>179</v>
      </c>
      <c r="L286" t="str">
        <f t="shared" si="65"/>
        <v>IY25</v>
      </c>
      <c r="M286" t="str">
        <f t="shared" si="75"/>
        <v/>
      </c>
      <c r="N286" t="str">
        <f t="shared" si="76"/>
        <v/>
      </c>
      <c r="O286" t="str">
        <f t="shared" si="77"/>
        <v/>
      </c>
      <c r="P286" s="113" t="str">
        <f t="shared" si="66"/>
        <v>IY25</v>
      </c>
      <c r="Q286" s="114">
        <f t="shared" si="67"/>
        <v>209</v>
      </c>
      <c r="R286" s="114">
        <f t="shared" si="68"/>
        <v>207.33333333333334</v>
      </c>
      <c r="S286" s="113">
        <f t="shared" si="69"/>
        <v>206</v>
      </c>
      <c r="T286" s="111">
        <f t="shared" ca="1" si="70"/>
        <v>4.13</v>
      </c>
      <c r="U286" s="111" t="str">
        <f t="shared" si="71"/>
        <v/>
      </c>
      <c r="V286" t="str">
        <f t="array" ref="V286">INDEX(P:P,MAX(U$3:U286))</f>
        <v>IY#3MTR</v>
      </c>
      <c r="W286" t="str">
        <f t="shared" ca="1" si="72"/>
        <v/>
      </c>
      <c r="X286">
        <f t="shared" si="73"/>
        <v>11.4</v>
      </c>
      <c r="Y286">
        <f t="shared" si="74"/>
        <v>209</v>
      </c>
      <c r="Z286" t="str">
        <f t="shared" si="78"/>
        <v>芳苑</v>
      </c>
    </row>
    <row r="287" spans="1:26" x14ac:dyDescent="0.25">
      <c r="A287" s="118" t="s">
        <v>449</v>
      </c>
      <c r="B287" s="119" t="s">
        <v>254</v>
      </c>
      <c r="C287" s="119">
        <v>417</v>
      </c>
      <c r="D287" s="118" t="s">
        <v>198</v>
      </c>
      <c r="E287" s="118">
        <v>388</v>
      </c>
      <c r="F287" s="118" t="s">
        <v>198</v>
      </c>
      <c r="G287" s="118">
        <v>438</v>
      </c>
      <c r="H287" s="118" t="s">
        <v>207</v>
      </c>
      <c r="I287" s="378">
        <v>438</v>
      </c>
      <c r="J287" s="117"/>
      <c r="K287" s="117"/>
      <c r="L287" t="str">
        <f t="shared" si="65"/>
        <v>9P#1DTR(A)</v>
      </c>
      <c r="M287" t="str">
        <f t="shared" si="75"/>
        <v>(A)</v>
      </c>
      <c r="N287" t="str">
        <f t="shared" si="76"/>
        <v>9P#1DTR</v>
      </c>
      <c r="O287" t="str">
        <f t="shared" si="77"/>
        <v>(A)</v>
      </c>
      <c r="P287" s="113" t="str">
        <f t="shared" si="66"/>
        <v>9P#1DTR(A)</v>
      </c>
      <c r="Q287" s="114">
        <f t="shared" si="67"/>
        <v>438</v>
      </c>
      <c r="R287" s="114">
        <f t="shared" si="68"/>
        <v>414.33333333333331</v>
      </c>
      <c r="S287" s="113">
        <f t="shared" si="69"/>
        <v>388</v>
      </c>
      <c r="T287" s="111">
        <f t="shared" ca="1" si="70"/>
        <v>8.65</v>
      </c>
      <c r="U287" s="111">
        <f t="shared" si="71"/>
        <v>287</v>
      </c>
      <c r="V287" t="str">
        <f t="array" ref="V287">INDEX(P:P,MAX(U$3:U287))</f>
        <v>9P#1DTR(A)</v>
      </c>
      <c r="W287">
        <f t="shared" ca="1" si="72"/>
        <v>30</v>
      </c>
      <c r="X287" t="str">
        <f t="shared" si="73"/>
        <v/>
      </c>
      <c r="Y287">
        <f t="shared" si="74"/>
        <v>438</v>
      </c>
      <c r="Z287" t="str">
        <f t="shared" si="78"/>
        <v>花壇</v>
      </c>
    </row>
    <row r="288" spans="1:26" x14ac:dyDescent="0.25">
      <c r="A288" s="118" t="s">
        <v>449</v>
      </c>
      <c r="B288" s="119" t="s">
        <v>450</v>
      </c>
      <c r="C288" s="119">
        <v>134</v>
      </c>
      <c r="D288" s="118" t="s">
        <v>179</v>
      </c>
      <c r="E288" s="118">
        <v>123</v>
      </c>
      <c r="F288" s="118" t="s">
        <v>203</v>
      </c>
      <c r="G288" s="118">
        <v>120</v>
      </c>
      <c r="H288" s="118" t="s">
        <v>180</v>
      </c>
      <c r="I288" s="378">
        <v>134</v>
      </c>
      <c r="J288" s="117">
        <v>41</v>
      </c>
      <c r="K288" s="117" t="s">
        <v>205</v>
      </c>
      <c r="L288" t="str">
        <f t="shared" si="65"/>
        <v>9P10</v>
      </c>
      <c r="M288" t="str">
        <f t="shared" si="75"/>
        <v/>
      </c>
      <c r="N288" t="str">
        <f t="shared" si="76"/>
        <v/>
      </c>
      <c r="O288" t="str">
        <f t="shared" si="77"/>
        <v/>
      </c>
      <c r="P288" s="113" t="str">
        <f t="shared" si="66"/>
        <v>9P10</v>
      </c>
      <c r="Q288" s="114">
        <f t="shared" si="67"/>
        <v>134</v>
      </c>
      <c r="R288" s="114">
        <f t="shared" si="68"/>
        <v>125.66666666666667</v>
      </c>
      <c r="S288" s="113">
        <f t="shared" si="69"/>
        <v>120</v>
      </c>
      <c r="T288" s="111">
        <f t="shared" ca="1" si="70"/>
        <v>2.65</v>
      </c>
      <c r="U288" s="111" t="str">
        <f t="shared" si="71"/>
        <v/>
      </c>
      <c r="V288" t="str">
        <f t="array" ref="V288">INDEX(P:P,MAX(U$3:U288))</f>
        <v>9P#1DTR(A)</v>
      </c>
      <c r="W288" t="str">
        <f t="shared" ca="1" si="72"/>
        <v/>
      </c>
      <c r="X288">
        <f t="shared" si="73"/>
        <v>11.4</v>
      </c>
      <c r="Y288">
        <f t="shared" si="74"/>
        <v>134</v>
      </c>
      <c r="Z288" t="str">
        <f t="shared" si="78"/>
        <v>花壇</v>
      </c>
    </row>
    <row r="289" spans="1:26" x14ac:dyDescent="0.25">
      <c r="A289" s="118" t="s">
        <v>449</v>
      </c>
      <c r="B289" s="119" t="s">
        <v>451</v>
      </c>
      <c r="C289" s="119">
        <v>202</v>
      </c>
      <c r="D289" s="118" t="s">
        <v>198</v>
      </c>
      <c r="E289" s="118">
        <v>184</v>
      </c>
      <c r="F289" s="118" t="s">
        <v>198</v>
      </c>
      <c r="G289" s="118">
        <v>213</v>
      </c>
      <c r="H289" s="118" t="s">
        <v>198</v>
      </c>
      <c r="I289" s="378">
        <v>213</v>
      </c>
      <c r="J289" s="117">
        <v>46</v>
      </c>
      <c r="K289" s="117" t="s">
        <v>179</v>
      </c>
      <c r="L289" t="str">
        <f t="shared" si="65"/>
        <v>9P11</v>
      </c>
      <c r="M289" t="str">
        <f t="shared" si="75"/>
        <v/>
      </c>
      <c r="N289" t="str">
        <f t="shared" si="76"/>
        <v/>
      </c>
      <c r="O289" t="str">
        <f t="shared" si="77"/>
        <v/>
      </c>
      <c r="P289" s="113" t="str">
        <f t="shared" si="66"/>
        <v>9P11</v>
      </c>
      <c r="Q289" s="114">
        <f t="shared" si="67"/>
        <v>213</v>
      </c>
      <c r="R289" s="114">
        <f t="shared" si="68"/>
        <v>199.66666666666666</v>
      </c>
      <c r="S289" s="113">
        <f t="shared" si="69"/>
        <v>184</v>
      </c>
      <c r="T289" s="111">
        <f t="shared" ca="1" si="70"/>
        <v>4.21</v>
      </c>
      <c r="U289" s="111" t="str">
        <f t="shared" si="71"/>
        <v/>
      </c>
      <c r="V289" t="str">
        <f t="array" ref="V289">INDEX(P:P,MAX(U$3:U289))</f>
        <v>9P#1DTR(A)</v>
      </c>
      <c r="W289" t="str">
        <f t="shared" ca="1" si="72"/>
        <v/>
      </c>
      <c r="X289">
        <f t="shared" si="73"/>
        <v>11.4</v>
      </c>
      <c r="Y289">
        <f t="shared" si="74"/>
        <v>213</v>
      </c>
      <c r="Z289" t="str">
        <f t="shared" si="78"/>
        <v>花壇</v>
      </c>
    </row>
    <row r="290" spans="1:26" x14ac:dyDescent="0.25">
      <c r="A290" s="118" t="s">
        <v>449</v>
      </c>
      <c r="B290" s="119" t="s">
        <v>452</v>
      </c>
      <c r="C290" s="119">
        <v>68</v>
      </c>
      <c r="D290" s="118" t="s">
        <v>229</v>
      </c>
      <c r="E290" s="118">
        <v>69</v>
      </c>
      <c r="F290" s="118" t="s">
        <v>229</v>
      </c>
      <c r="G290" s="118">
        <v>78</v>
      </c>
      <c r="H290" s="118" t="s">
        <v>229</v>
      </c>
      <c r="I290" s="378">
        <v>78</v>
      </c>
      <c r="J290" s="117">
        <v>22</v>
      </c>
      <c r="K290" s="117" t="s">
        <v>229</v>
      </c>
      <c r="L290" t="str">
        <f t="shared" si="65"/>
        <v>9P12</v>
      </c>
      <c r="M290" t="str">
        <f t="shared" si="75"/>
        <v/>
      </c>
      <c r="N290" t="str">
        <f t="shared" si="76"/>
        <v/>
      </c>
      <c r="O290" t="str">
        <f t="shared" si="77"/>
        <v/>
      </c>
      <c r="P290" s="113" t="str">
        <f t="shared" si="66"/>
        <v>9P12</v>
      </c>
      <c r="Q290" s="114">
        <f t="shared" si="67"/>
        <v>78</v>
      </c>
      <c r="R290" s="114">
        <f t="shared" si="68"/>
        <v>71.666666666666671</v>
      </c>
      <c r="S290" s="113">
        <f t="shared" si="69"/>
        <v>68</v>
      </c>
      <c r="T290" s="111">
        <f t="shared" ca="1" si="70"/>
        <v>1.54</v>
      </c>
      <c r="U290" s="111" t="str">
        <f t="shared" si="71"/>
        <v/>
      </c>
      <c r="V290" t="str">
        <f t="array" ref="V290">INDEX(P:P,MAX(U$3:U290))</f>
        <v>9P#1DTR(A)</v>
      </c>
      <c r="W290" t="str">
        <f t="shared" ca="1" si="72"/>
        <v/>
      </c>
      <c r="X290">
        <f t="shared" si="73"/>
        <v>11.4</v>
      </c>
      <c r="Y290">
        <f t="shared" si="74"/>
        <v>78</v>
      </c>
      <c r="Z290" t="str">
        <f t="shared" si="78"/>
        <v>花壇</v>
      </c>
    </row>
    <row r="291" spans="1:26" x14ac:dyDescent="0.25">
      <c r="A291" s="118" t="s">
        <v>449</v>
      </c>
      <c r="B291" s="119" t="s">
        <v>453</v>
      </c>
      <c r="C291" s="119">
        <v>38</v>
      </c>
      <c r="D291" s="118" t="s">
        <v>214</v>
      </c>
      <c r="E291" s="118">
        <v>42</v>
      </c>
      <c r="F291" s="118" t="s">
        <v>214</v>
      </c>
      <c r="G291" s="118">
        <v>39</v>
      </c>
      <c r="H291" s="118" t="s">
        <v>214</v>
      </c>
      <c r="I291" s="378">
        <v>42</v>
      </c>
      <c r="J291" s="117">
        <v>9</v>
      </c>
      <c r="K291" s="117" t="s">
        <v>177</v>
      </c>
      <c r="L291" t="str">
        <f t="shared" si="65"/>
        <v>9P13</v>
      </c>
      <c r="M291" t="str">
        <f t="shared" si="75"/>
        <v/>
      </c>
      <c r="N291" t="str">
        <f t="shared" si="76"/>
        <v/>
      </c>
      <c r="O291" t="str">
        <f t="shared" si="77"/>
        <v/>
      </c>
      <c r="P291" s="113" t="str">
        <f t="shared" si="66"/>
        <v>9P13</v>
      </c>
      <c r="Q291" s="114">
        <f t="shared" si="67"/>
        <v>42</v>
      </c>
      <c r="R291" s="114">
        <f t="shared" si="68"/>
        <v>39.666666666666664</v>
      </c>
      <c r="S291" s="113">
        <f t="shared" si="69"/>
        <v>38</v>
      </c>
      <c r="T291" s="111">
        <f t="shared" ca="1" si="70"/>
        <v>0.83</v>
      </c>
      <c r="U291" s="111" t="str">
        <f t="shared" si="71"/>
        <v/>
      </c>
      <c r="V291" t="str">
        <f t="array" ref="V291">INDEX(P:P,MAX(U$3:U291))</f>
        <v>9P#1DTR(A)</v>
      </c>
      <c r="W291" t="str">
        <f t="shared" ca="1" si="72"/>
        <v/>
      </c>
      <c r="X291">
        <f t="shared" si="73"/>
        <v>11.4</v>
      </c>
      <c r="Y291">
        <f t="shared" si="74"/>
        <v>42</v>
      </c>
      <c r="Z291" t="str">
        <f t="shared" si="78"/>
        <v>花壇</v>
      </c>
    </row>
    <row r="292" spans="1:26" x14ac:dyDescent="0.25">
      <c r="A292" s="118" t="s">
        <v>449</v>
      </c>
      <c r="B292" s="119" t="s">
        <v>454</v>
      </c>
      <c r="C292" s="119">
        <v>7</v>
      </c>
      <c r="D292" s="118" t="s">
        <v>176</v>
      </c>
      <c r="E292" s="118">
        <v>9</v>
      </c>
      <c r="F292" s="118" t="s">
        <v>198</v>
      </c>
      <c r="G292" s="118">
        <v>15</v>
      </c>
      <c r="H292" s="118" t="s">
        <v>203</v>
      </c>
      <c r="I292" s="378">
        <v>15</v>
      </c>
      <c r="J292" s="117">
        <v>10</v>
      </c>
      <c r="K292" s="117" t="s">
        <v>180</v>
      </c>
      <c r="L292" t="str">
        <f t="shared" si="65"/>
        <v>9P14</v>
      </c>
      <c r="M292" t="str">
        <f t="shared" si="75"/>
        <v/>
      </c>
      <c r="N292" t="str">
        <f t="shared" si="76"/>
        <v/>
      </c>
      <c r="O292" t="str">
        <f t="shared" si="77"/>
        <v/>
      </c>
      <c r="P292" s="113" t="str">
        <f t="shared" si="66"/>
        <v>9P14</v>
      </c>
      <c r="Q292" s="114">
        <f t="shared" si="67"/>
        <v>15</v>
      </c>
      <c r="R292" s="114">
        <f t="shared" si="68"/>
        <v>10.333333333333334</v>
      </c>
      <c r="S292" s="113">
        <f t="shared" si="69"/>
        <v>7</v>
      </c>
      <c r="T292" s="111">
        <f t="shared" ca="1" si="70"/>
        <v>0.3</v>
      </c>
      <c r="U292" s="111" t="str">
        <f t="shared" si="71"/>
        <v/>
      </c>
      <c r="V292" t="str">
        <f t="array" ref="V292">INDEX(P:P,MAX(U$3:U292))</f>
        <v>9P#1DTR(A)</v>
      </c>
      <c r="W292" t="str">
        <f t="shared" ca="1" si="72"/>
        <v/>
      </c>
      <c r="X292">
        <f t="shared" si="73"/>
        <v>11.4</v>
      </c>
      <c r="Y292">
        <f t="shared" si="74"/>
        <v>15</v>
      </c>
      <c r="Z292" t="str">
        <f t="shared" si="78"/>
        <v>花壇</v>
      </c>
    </row>
    <row r="293" spans="1:26" x14ac:dyDescent="0.25">
      <c r="A293" s="118" t="s">
        <v>449</v>
      </c>
      <c r="B293" s="119" t="s">
        <v>295</v>
      </c>
      <c r="C293" s="119">
        <v>368</v>
      </c>
      <c r="D293" s="118" t="s">
        <v>203</v>
      </c>
      <c r="E293" s="118">
        <v>349</v>
      </c>
      <c r="F293" s="118" t="s">
        <v>192</v>
      </c>
      <c r="G293" s="118">
        <v>379</v>
      </c>
      <c r="H293" s="118" t="s">
        <v>207</v>
      </c>
      <c r="I293" s="378">
        <v>379</v>
      </c>
      <c r="J293" s="117"/>
      <c r="K293" s="117"/>
      <c r="L293" t="str">
        <f t="shared" si="65"/>
        <v>9P#1DTR(B)</v>
      </c>
      <c r="M293" t="str">
        <f t="shared" si="75"/>
        <v>(B)</v>
      </c>
      <c r="N293" t="str">
        <f t="shared" si="76"/>
        <v>9P#1DTR</v>
      </c>
      <c r="O293" t="str">
        <f t="shared" si="77"/>
        <v>(B)</v>
      </c>
      <c r="P293" s="113" t="str">
        <f t="shared" si="66"/>
        <v>9P#1DTR(B)</v>
      </c>
      <c r="Q293" s="114">
        <f t="shared" si="67"/>
        <v>379</v>
      </c>
      <c r="R293" s="114">
        <f t="shared" si="68"/>
        <v>365.33333333333331</v>
      </c>
      <c r="S293" s="113">
        <f t="shared" si="69"/>
        <v>349</v>
      </c>
      <c r="T293" s="111">
        <f t="shared" ca="1" si="70"/>
        <v>7.48</v>
      </c>
      <c r="U293" s="111">
        <f t="shared" si="71"/>
        <v>293</v>
      </c>
      <c r="V293" t="str">
        <f t="array" ref="V293">INDEX(P:P,MAX(U$3:U293))</f>
        <v>9P#1DTR(B)</v>
      </c>
      <c r="W293">
        <f t="shared" ca="1" si="72"/>
        <v>30</v>
      </c>
      <c r="X293" t="str">
        <f t="shared" si="73"/>
        <v/>
      </c>
      <c r="Y293">
        <f t="shared" si="74"/>
        <v>379</v>
      </c>
      <c r="Z293" t="str">
        <f t="shared" si="78"/>
        <v>花壇</v>
      </c>
    </row>
    <row r="294" spans="1:26" x14ac:dyDescent="0.25">
      <c r="A294" s="118" t="s">
        <v>449</v>
      </c>
      <c r="B294" s="119" t="s">
        <v>455</v>
      </c>
      <c r="C294" s="119">
        <v>224</v>
      </c>
      <c r="D294" s="118" t="s">
        <v>180</v>
      </c>
      <c r="E294" s="118">
        <v>241</v>
      </c>
      <c r="F294" s="118" t="s">
        <v>180</v>
      </c>
      <c r="G294" s="118">
        <v>235</v>
      </c>
      <c r="H294" s="118" t="s">
        <v>192</v>
      </c>
      <c r="I294" s="378">
        <v>241</v>
      </c>
      <c r="J294" s="117">
        <v>41</v>
      </c>
      <c r="K294" s="117" t="s">
        <v>196</v>
      </c>
      <c r="L294" t="str">
        <f t="shared" si="65"/>
        <v>9P15</v>
      </c>
      <c r="M294" t="str">
        <f t="shared" si="75"/>
        <v/>
      </c>
      <c r="N294" t="str">
        <f t="shared" si="76"/>
        <v/>
      </c>
      <c r="O294" t="str">
        <f t="shared" si="77"/>
        <v/>
      </c>
      <c r="P294" s="113" t="str">
        <f t="shared" si="66"/>
        <v>9P15</v>
      </c>
      <c r="Q294" s="114">
        <f t="shared" si="67"/>
        <v>241</v>
      </c>
      <c r="R294" s="114">
        <f t="shared" si="68"/>
        <v>233.33333333333334</v>
      </c>
      <c r="S294" s="113">
        <f t="shared" si="69"/>
        <v>224</v>
      </c>
      <c r="T294" s="111">
        <f t="shared" ca="1" si="70"/>
        <v>4.76</v>
      </c>
      <c r="U294" s="111" t="str">
        <f t="shared" si="71"/>
        <v/>
      </c>
      <c r="V294" t="str">
        <f t="array" ref="V294">INDEX(P:P,MAX(U$3:U294))</f>
        <v>9P#1DTR(B)</v>
      </c>
      <c r="W294" t="str">
        <f t="shared" ca="1" si="72"/>
        <v/>
      </c>
      <c r="X294">
        <f t="shared" si="73"/>
        <v>11.4</v>
      </c>
      <c r="Y294">
        <f t="shared" si="74"/>
        <v>241</v>
      </c>
      <c r="Z294" t="str">
        <f t="shared" si="78"/>
        <v>花壇</v>
      </c>
    </row>
    <row r="295" spans="1:26" x14ac:dyDescent="0.25">
      <c r="A295" s="118" t="s">
        <v>449</v>
      </c>
      <c r="B295" s="119" t="s">
        <v>456</v>
      </c>
      <c r="C295" s="119">
        <v>187</v>
      </c>
      <c r="D295" s="118" t="s">
        <v>192</v>
      </c>
      <c r="E295" s="118">
        <v>178</v>
      </c>
      <c r="F295" s="118" t="s">
        <v>192</v>
      </c>
      <c r="G295" s="118">
        <v>167</v>
      </c>
      <c r="H295" s="118" t="s">
        <v>192</v>
      </c>
      <c r="I295" s="378">
        <v>187</v>
      </c>
      <c r="J295" s="117">
        <v>33</v>
      </c>
      <c r="K295" s="117" t="s">
        <v>229</v>
      </c>
      <c r="L295" t="str">
        <f t="shared" si="65"/>
        <v>9P16</v>
      </c>
      <c r="M295" t="str">
        <f t="shared" si="75"/>
        <v/>
      </c>
      <c r="N295" t="str">
        <f t="shared" si="76"/>
        <v/>
      </c>
      <c r="O295" t="str">
        <f t="shared" si="77"/>
        <v/>
      </c>
      <c r="P295" s="113" t="str">
        <f t="shared" si="66"/>
        <v>9P16</v>
      </c>
      <c r="Q295" s="114">
        <f t="shared" si="67"/>
        <v>187</v>
      </c>
      <c r="R295" s="114">
        <f t="shared" si="68"/>
        <v>177.33333333333334</v>
      </c>
      <c r="S295" s="113">
        <f t="shared" si="69"/>
        <v>167</v>
      </c>
      <c r="T295" s="111">
        <f t="shared" ca="1" si="70"/>
        <v>3.69</v>
      </c>
      <c r="U295" s="111" t="str">
        <f t="shared" si="71"/>
        <v/>
      </c>
      <c r="V295" t="str">
        <f t="array" ref="V295">INDEX(P:P,MAX(U$3:U295))</f>
        <v>9P#1DTR(B)</v>
      </c>
      <c r="W295" t="str">
        <f t="shared" ca="1" si="72"/>
        <v/>
      </c>
      <c r="X295">
        <f t="shared" si="73"/>
        <v>11.4</v>
      </c>
      <c r="Y295">
        <f t="shared" si="74"/>
        <v>187</v>
      </c>
      <c r="Z295" t="str">
        <f t="shared" si="78"/>
        <v>花壇</v>
      </c>
    </row>
    <row r="296" spans="1:26" x14ac:dyDescent="0.25">
      <c r="A296" s="118" t="s">
        <v>449</v>
      </c>
      <c r="B296" s="119" t="s">
        <v>457</v>
      </c>
      <c r="C296" s="119">
        <v>157</v>
      </c>
      <c r="D296" s="118" t="s">
        <v>198</v>
      </c>
      <c r="E296" s="118">
        <v>122</v>
      </c>
      <c r="F296" s="118" t="s">
        <v>198</v>
      </c>
      <c r="G296" s="118">
        <v>155</v>
      </c>
      <c r="H296" s="118" t="s">
        <v>198</v>
      </c>
      <c r="I296" s="378">
        <v>157</v>
      </c>
      <c r="J296" s="117">
        <v>63</v>
      </c>
      <c r="K296" s="117" t="s">
        <v>180</v>
      </c>
      <c r="L296" t="str">
        <f t="shared" si="65"/>
        <v>9P17</v>
      </c>
      <c r="M296" t="str">
        <f t="shared" si="75"/>
        <v/>
      </c>
      <c r="N296" t="str">
        <f t="shared" si="76"/>
        <v/>
      </c>
      <c r="O296" t="str">
        <f t="shared" si="77"/>
        <v/>
      </c>
      <c r="P296" s="113" t="str">
        <f t="shared" si="66"/>
        <v>9P17</v>
      </c>
      <c r="Q296" s="114">
        <f t="shared" si="67"/>
        <v>157</v>
      </c>
      <c r="R296" s="114">
        <f t="shared" si="68"/>
        <v>144.66666666666666</v>
      </c>
      <c r="S296" s="113">
        <f t="shared" si="69"/>
        <v>122</v>
      </c>
      <c r="T296" s="111">
        <f t="shared" ca="1" si="70"/>
        <v>3.1</v>
      </c>
      <c r="U296" s="111" t="str">
        <f t="shared" si="71"/>
        <v/>
      </c>
      <c r="V296" t="str">
        <f t="array" ref="V296">INDEX(P:P,MAX(U$3:U296))</f>
        <v>9P#1DTR(B)</v>
      </c>
      <c r="W296" t="str">
        <f t="shared" ca="1" si="72"/>
        <v/>
      </c>
      <c r="X296">
        <f t="shared" si="73"/>
        <v>11.4</v>
      </c>
      <c r="Y296">
        <f t="shared" si="74"/>
        <v>157</v>
      </c>
      <c r="Z296" t="str">
        <f t="shared" si="78"/>
        <v>花壇</v>
      </c>
    </row>
    <row r="297" spans="1:26" x14ac:dyDescent="0.25">
      <c r="A297" s="118" t="s">
        <v>449</v>
      </c>
      <c r="B297" s="119" t="s">
        <v>458</v>
      </c>
      <c r="C297" s="119">
        <v>0</v>
      </c>
      <c r="D297" s="118" t="s">
        <v>194</v>
      </c>
      <c r="E297" s="118">
        <v>0</v>
      </c>
      <c r="F297" s="118" t="s">
        <v>194</v>
      </c>
      <c r="G297" s="118">
        <v>0</v>
      </c>
      <c r="H297" s="118" t="s">
        <v>194</v>
      </c>
      <c r="I297" s="378">
        <v>0</v>
      </c>
      <c r="J297" s="117">
        <v>0</v>
      </c>
      <c r="K297" s="117" t="s">
        <v>194</v>
      </c>
      <c r="L297" t="str">
        <f t="shared" si="65"/>
        <v>9P18</v>
      </c>
      <c r="M297" t="str">
        <f t="shared" si="75"/>
        <v/>
      </c>
      <c r="N297" t="str">
        <f t="shared" si="76"/>
        <v/>
      </c>
      <c r="O297" t="str">
        <f t="shared" si="77"/>
        <v/>
      </c>
      <c r="P297" s="113" t="str">
        <f t="shared" si="66"/>
        <v>9P18</v>
      </c>
      <c r="Q297" s="114">
        <f t="shared" si="67"/>
        <v>0</v>
      </c>
      <c r="R297" s="114">
        <f t="shared" si="68"/>
        <v>0</v>
      </c>
      <c r="S297" s="113">
        <f t="shared" si="69"/>
        <v>0</v>
      </c>
      <c r="T297" s="111">
        <f t="shared" ca="1" si="70"/>
        <v>0</v>
      </c>
      <c r="U297" s="111" t="str">
        <f t="shared" si="71"/>
        <v/>
      </c>
      <c r="V297" t="str">
        <f t="array" ref="V297">INDEX(P:P,MAX(U$3:U297))</f>
        <v>9P#1DTR(B)</v>
      </c>
      <c r="W297" t="str">
        <f t="shared" ca="1" si="72"/>
        <v/>
      </c>
      <c r="X297">
        <f t="shared" si="73"/>
        <v>11.4</v>
      </c>
      <c r="Y297">
        <f t="shared" si="74"/>
        <v>0</v>
      </c>
      <c r="Z297" t="str">
        <f t="shared" si="78"/>
        <v>花壇</v>
      </c>
    </row>
    <row r="298" spans="1:26" x14ac:dyDescent="0.25">
      <c r="A298" s="118" t="s">
        <v>449</v>
      </c>
      <c r="B298" s="119" t="s">
        <v>459</v>
      </c>
      <c r="C298" s="119">
        <v>46</v>
      </c>
      <c r="D298" s="118" t="s">
        <v>188</v>
      </c>
      <c r="E298" s="118">
        <v>19</v>
      </c>
      <c r="F298" s="118" t="s">
        <v>183</v>
      </c>
      <c r="G298" s="118">
        <v>37</v>
      </c>
      <c r="H298" s="118" t="s">
        <v>188</v>
      </c>
      <c r="I298" s="378">
        <v>46</v>
      </c>
      <c r="J298" s="117">
        <v>39</v>
      </c>
      <c r="K298" s="117" t="s">
        <v>188</v>
      </c>
      <c r="L298" t="str">
        <f t="shared" si="65"/>
        <v>9P19</v>
      </c>
      <c r="M298" t="str">
        <f t="shared" si="75"/>
        <v/>
      </c>
      <c r="N298" t="str">
        <f t="shared" si="76"/>
        <v/>
      </c>
      <c r="O298" t="str">
        <f t="shared" si="77"/>
        <v/>
      </c>
      <c r="P298" s="113" t="str">
        <f t="shared" si="66"/>
        <v>9P19</v>
      </c>
      <c r="Q298" s="114">
        <f t="shared" si="67"/>
        <v>46</v>
      </c>
      <c r="R298" s="114">
        <f t="shared" si="68"/>
        <v>34</v>
      </c>
      <c r="S298" s="113">
        <f t="shared" si="69"/>
        <v>19</v>
      </c>
      <c r="T298" s="111">
        <f t="shared" ca="1" si="70"/>
        <v>0.91</v>
      </c>
      <c r="U298" s="111" t="str">
        <f t="shared" si="71"/>
        <v/>
      </c>
      <c r="V298" t="str">
        <f t="array" ref="V298">INDEX(P:P,MAX(U$3:U298))</f>
        <v>9P#1DTR(B)</v>
      </c>
      <c r="W298" t="str">
        <f t="shared" ca="1" si="72"/>
        <v/>
      </c>
      <c r="X298">
        <f t="shared" si="73"/>
        <v>11.4</v>
      </c>
      <c r="Y298">
        <f t="shared" si="74"/>
        <v>46</v>
      </c>
      <c r="Z298" t="str">
        <f t="shared" si="78"/>
        <v>花壇</v>
      </c>
    </row>
    <row r="299" spans="1:26" x14ac:dyDescent="0.25">
      <c r="A299" s="118" t="s">
        <v>449</v>
      </c>
      <c r="B299" s="119" t="s">
        <v>301</v>
      </c>
      <c r="C299" s="119">
        <v>486</v>
      </c>
      <c r="D299" s="118" t="s">
        <v>203</v>
      </c>
      <c r="E299" s="118">
        <v>496</v>
      </c>
      <c r="F299" s="118" t="s">
        <v>203</v>
      </c>
      <c r="G299" s="118">
        <v>532</v>
      </c>
      <c r="H299" s="118" t="s">
        <v>203</v>
      </c>
      <c r="I299" s="378">
        <v>532</v>
      </c>
      <c r="J299" s="117"/>
      <c r="K299" s="117"/>
      <c r="L299" t="str">
        <f t="shared" si="65"/>
        <v>9P#2DTR(A)</v>
      </c>
      <c r="M299" t="str">
        <f t="shared" si="75"/>
        <v>(A)</v>
      </c>
      <c r="N299" t="str">
        <f t="shared" si="76"/>
        <v>9P#2DTR</v>
      </c>
      <c r="O299" t="str">
        <f t="shared" si="77"/>
        <v>(A)</v>
      </c>
      <c r="P299" s="113" t="str">
        <f t="shared" si="66"/>
        <v>9P#2DTR(A)</v>
      </c>
      <c r="Q299" s="114">
        <f t="shared" si="67"/>
        <v>532</v>
      </c>
      <c r="R299" s="114">
        <f t="shared" si="68"/>
        <v>504.66666666666669</v>
      </c>
      <c r="S299" s="113">
        <f t="shared" si="69"/>
        <v>486</v>
      </c>
      <c r="T299" s="111">
        <f t="shared" ca="1" si="70"/>
        <v>10.5</v>
      </c>
      <c r="U299" s="111">
        <f t="shared" si="71"/>
        <v>299</v>
      </c>
      <c r="V299" t="str">
        <f t="array" ref="V299">INDEX(P:P,MAX(U$3:U299))</f>
        <v>9P#2DTR(A)</v>
      </c>
      <c r="W299">
        <f t="shared" ca="1" si="72"/>
        <v>30</v>
      </c>
      <c r="X299" t="str">
        <f t="shared" si="73"/>
        <v/>
      </c>
      <c r="Y299">
        <f t="shared" si="74"/>
        <v>532</v>
      </c>
      <c r="Z299" t="str">
        <f t="shared" si="78"/>
        <v>花壇</v>
      </c>
    </row>
    <row r="300" spans="1:26" x14ac:dyDescent="0.25">
      <c r="A300" s="118" t="s">
        <v>449</v>
      </c>
      <c r="B300" s="119" t="s">
        <v>460</v>
      </c>
      <c r="C300" s="119">
        <v>181</v>
      </c>
      <c r="D300" s="118" t="s">
        <v>203</v>
      </c>
      <c r="E300" s="118">
        <v>201</v>
      </c>
      <c r="F300" s="118" t="s">
        <v>198</v>
      </c>
      <c r="G300" s="118">
        <v>199</v>
      </c>
      <c r="H300" s="118" t="s">
        <v>198</v>
      </c>
      <c r="I300" s="378">
        <v>201</v>
      </c>
      <c r="J300" s="117">
        <v>46</v>
      </c>
      <c r="K300" s="117" t="s">
        <v>179</v>
      </c>
      <c r="L300" t="str">
        <f t="shared" si="65"/>
        <v>9P20</v>
      </c>
      <c r="M300" t="str">
        <f t="shared" si="75"/>
        <v/>
      </c>
      <c r="N300" t="str">
        <f t="shared" si="76"/>
        <v/>
      </c>
      <c r="O300" t="str">
        <f t="shared" si="77"/>
        <v/>
      </c>
      <c r="P300" s="113" t="str">
        <f t="shared" si="66"/>
        <v>9P20</v>
      </c>
      <c r="Q300" s="114">
        <f t="shared" si="67"/>
        <v>201</v>
      </c>
      <c r="R300" s="114">
        <f t="shared" si="68"/>
        <v>193.66666666666666</v>
      </c>
      <c r="S300" s="113">
        <f t="shared" si="69"/>
        <v>181</v>
      </c>
      <c r="T300" s="111">
        <f t="shared" ca="1" si="70"/>
        <v>3.97</v>
      </c>
      <c r="U300" s="111" t="str">
        <f t="shared" si="71"/>
        <v/>
      </c>
      <c r="V300" t="str">
        <f t="array" ref="V300">INDEX(P:P,MAX(U$3:U300))</f>
        <v>9P#2DTR(A)</v>
      </c>
      <c r="W300" t="str">
        <f t="shared" ca="1" si="72"/>
        <v/>
      </c>
      <c r="X300">
        <f t="shared" si="73"/>
        <v>11.4</v>
      </c>
      <c r="Y300">
        <f t="shared" si="74"/>
        <v>201</v>
      </c>
      <c r="Z300" t="str">
        <f t="shared" si="78"/>
        <v>花壇</v>
      </c>
    </row>
    <row r="301" spans="1:26" x14ac:dyDescent="0.25">
      <c r="A301" s="118" t="s">
        <v>449</v>
      </c>
      <c r="B301" s="119" t="s">
        <v>461</v>
      </c>
      <c r="C301" s="119">
        <v>187</v>
      </c>
      <c r="D301" s="118" t="s">
        <v>203</v>
      </c>
      <c r="E301" s="118">
        <v>177</v>
      </c>
      <c r="F301" s="118" t="s">
        <v>203</v>
      </c>
      <c r="G301" s="118">
        <v>163</v>
      </c>
      <c r="H301" s="118" t="s">
        <v>203</v>
      </c>
      <c r="I301" s="378">
        <v>187</v>
      </c>
      <c r="J301" s="117">
        <v>42</v>
      </c>
      <c r="K301" s="117" t="s">
        <v>203</v>
      </c>
      <c r="L301" t="str">
        <f t="shared" si="65"/>
        <v>9P21</v>
      </c>
      <c r="M301" t="str">
        <f t="shared" si="75"/>
        <v/>
      </c>
      <c r="N301" t="str">
        <f t="shared" si="76"/>
        <v/>
      </c>
      <c r="O301" t="str">
        <f t="shared" si="77"/>
        <v/>
      </c>
      <c r="P301" s="113" t="str">
        <f t="shared" si="66"/>
        <v>9P21</v>
      </c>
      <c r="Q301" s="114">
        <f t="shared" si="67"/>
        <v>187</v>
      </c>
      <c r="R301" s="114">
        <f t="shared" si="68"/>
        <v>175.66666666666666</v>
      </c>
      <c r="S301" s="113">
        <f t="shared" si="69"/>
        <v>163</v>
      </c>
      <c r="T301" s="111">
        <f t="shared" ca="1" si="70"/>
        <v>3.69</v>
      </c>
      <c r="U301" s="111" t="str">
        <f t="shared" si="71"/>
        <v/>
      </c>
      <c r="V301" t="str">
        <f t="array" ref="V301">INDEX(P:P,MAX(U$3:U301))</f>
        <v>9P#2DTR(A)</v>
      </c>
      <c r="W301" t="str">
        <f t="shared" ca="1" si="72"/>
        <v/>
      </c>
      <c r="X301">
        <f t="shared" si="73"/>
        <v>11.4</v>
      </c>
      <c r="Y301">
        <f t="shared" si="74"/>
        <v>187</v>
      </c>
      <c r="Z301" t="str">
        <f t="shared" si="78"/>
        <v>花壇</v>
      </c>
    </row>
    <row r="302" spans="1:26" x14ac:dyDescent="0.25">
      <c r="A302" s="118" t="s">
        <v>449</v>
      </c>
      <c r="B302" s="119" t="s">
        <v>462</v>
      </c>
      <c r="C302" s="119">
        <v>0</v>
      </c>
      <c r="D302" s="118" t="s">
        <v>194</v>
      </c>
      <c r="E302" s="118">
        <v>0</v>
      </c>
      <c r="F302" s="118" t="s">
        <v>194</v>
      </c>
      <c r="G302" s="118">
        <v>0</v>
      </c>
      <c r="H302" s="118" t="s">
        <v>194</v>
      </c>
      <c r="I302" s="378">
        <v>0</v>
      </c>
      <c r="J302" s="117">
        <v>0</v>
      </c>
      <c r="K302" s="117" t="s">
        <v>194</v>
      </c>
      <c r="L302" t="str">
        <f t="shared" si="65"/>
        <v>9P22</v>
      </c>
      <c r="M302" t="str">
        <f t="shared" si="75"/>
        <v/>
      </c>
      <c r="N302" t="str">
        <f t="shared" si="76"/>
        <v/>
      </c>
      <c r="O302" t="str">
        <f t="shared" si="77"/>
        <v/>
      </c>
      <c r="P302" s="113" t="str">
        <f t="shared" si="66"/>
        <v>9P22</v>
      </c>
      <c r="Q302" s="114">
        <f t="shared" si="67"/>
        <v>0</v>
      </c>
      <c r="R302" s="114">
        <f t="shared" si="68"/>
        <v>0</v>
      </c>
      <c r="S302" s="113">
        <f t="shared" si="69"/>
        <v>0</v>
      </c>
      <c r="T302" s="111">
        <f t="shared" ca="1" si="70"/>
        <v>0</v>
      </c>
      <c r="U302" s="111" t="str">
        <f t="shared" si="71"/>
        <v/>
      </c>
      <c r="V302" t="str">
        <f t="array" ref="V302">INDEX(P:P,MAX(U$3:U302))</f>
        <v>9P#2DTR(A)</v>
      </c>
      <c r="W302" t="str">
        <f t="shared" ca="1" si="72"/>
        <v/>
      </c>
      <c r="X302">
        <f t="shared" si="73"/>
        <v>11.4</v>
      </c>
      <c r="Y302">
        <f t="shared" si="74"/>
        <v>0</v>
      </c>
      <c r="Z302" t="str">
        <f t="shared" si="78"/>
        <v>花壇</v>
      </c>
    </row>
    <row r="303" spans="1:26" x14ac:dyDescent="0.25">
      <c r="A303" s="118" t="s">
        <v>449</v>
      </c>
      <c r="B303" s="119" t="s">
        <v>463</v>
      </c>
      <c r="C303" s="119">
        <v>82</v>
      </c>
      <c r="D303" s="118" t="s">
        <v>180</v>
      </c>
      <c r="E303" s="118">
        <v>122</v>
      </c>
      <c r="F303" s="118" t="s">
        <v>188</v>
      </c>
      <c r="G303" s="118">
        <v>135</v>
      </c>
      <c r="H303" s="118" t="s">
        <v>176</v>
      </c>
      <c r="I303" s="378">
        <v>135</v>
      </c>
      <c r="J303" s="117">
        <v>62</v>
      </c>
      <c r="K303" s="117" t="s">
        <v>188</v>
      </c>
      <c r="L303" t="str">
        <f t="shared" si="65"/>
        <v>9P23</v>
      </c>
      <c r="M303" t="str">
        <f t="shared" si="75"/>
        <v/>
      </c>
      <c r="N303" t="str">
        <f t="shared" si="76"/>
        <v/>
      </c>
      <c r="O303" t="str">
        <f t="shared" si="77"/>
        <v/>
      </c>
      <c r="P303" s="113" t="str">
        <f t="shared" si="66"/>
        <v>9P23</v>
      </c>
      <c r="Q303" s="114">
        <f t="shared" si="67"/>
        <v>135</v>
      </c>
      <c r="R303" s="114">
        <f t="shared" si="68"/>
        <v>113</v>
      </c>
      <c r="S303" s="113">
        <f t="shared" si="69"/>
        <v>82</v>
      </c>
      <c r="T303" s="111">
        <f t="shared" ca="1" si="70"/>
        <v>2.67</v>
      </c>
      <c r="U303" s="111" t="str">
        <f t="shared" si="71"/>
        <v/>
      </c>
      <c r="V303" t="str">
        <f t="array" ref="V303">INDEX(P:P,MAX(U$3:U303))</f>
        <v>9P#2DTR(A)</v>
      </c>
      <c r="W303" t="str">
        <f t="shared" ca="1" si="72"/>
        <v/>
      </c>
      <c r="X303">
        <f t="shared" si="73"/>
        <v>11.4</v>
      </c>
      <c r="Y303">
        <f t="shared" si="74"/>
        <v>135</v>
      </c>
      <c r="Z303" t="str">
        <f t="shared" si="78"/>
        <v>花壇</v>
      </c>
    </row>
    <row r="304" spans="1:26" x14ac:dyDescent="0.25">
      <c r="A304" s="118" t="s">
        <v>449</v>
      </c>
      <c r="B304" s="119" t="s">
        <v>464</v>
      </c>
      <c r="C304" s="119">
        <v>69</v>
      </c>
      <c r="D304" s="118" t="s">
        <v>188</v>
      </c>
      <c r="E304" s="118">
        <v>33</v>
      </c>
      <c r="F304" s="118" t="s">
        <v>196</v>
      </c>
      <c r="G304" s="118">
        <v>84</v>
      </c>
      <c r="H304" s="118" t="s">
        <v>176</v>
      </c>
      <c r="I304" s="378">
        <v>84</v>
      </c>
      <c r="J304" s="117">
        <v>61</v>
      </c>
      <c r="K304" s="117" t="s">
        <v>198</v>
      </c>
      <c r="L304" t="str">
        <f t="shared" si="65"/>
        <v>9P24</v>
      </c>
      <c r="M304" t="str">
        <f t="shared" si="75"/>
        <v/>
      </c>
      <c r="N304" t="str">
        <f t="shared" si="76"/>
        <v/>
      </c>
      <c r="O304" t="str">
        <f t="shared" si="77"/>
        <v/>
      </c>
      <c r="P304" s="113" t="str">
        <f t="shared" si="66"/>
        <v>9P24</v>
      </c>
      <c r="Q304" s="114">
        <f t="shared" si="67"/>
        <v>84</v>
      </c>
      <c r="R304" s="114">
        <f t="shared" si="68"/>
        <v>62</v>
      </c>
      <c r="S304" s="113">
        <f t="shared" si="69"/>
        <v>33</v>
      </c>
      <c r="T304" s="111">
        <f t="shared" ca="1" si="70"/>
        <v>1.66</v>
      </c>
      <c r="U304" s="111" t="str">
        <f t="shared" si="71"/>
        <v/>
      </c>
      <c r="V304" t="str">
        <f t="array" ref="V304">INDEX(P:P,MAX(U$3:U304))</f>
        <v>9P#2DTR(A)</v>
      </c>
      <c r="W304" t="str">
        <f t="shared" ca="1" si="72"/>
        <v/>
      </c>
      <c r="X304">
        <f t="shared" si="73"/>
        <v>11.4</v>
      </c>
      <c r="Y304">
        <f t="shared" si="74"/>
        <v>84</v>
      </c>
      <c r="Z304" t="str">
        <f t="shared" si="78"/>
        <v>花壇</v>
      </c>
    </row>
    <row r="305" spans="1:26" x14ac:dyDescent="0.25">
      <c r="A305" s="118" t="s">
        <v>449</v>
      </c>
      <c r="B305" s="119" t="s">
        <v>283</v>
      </c>
      <c r="C305" s="119">
        <v>640</v>
      </c>
      <c r="D305" s="118" t="s">
        <v>207</v>
      </c>
      <c r="E305" s="118">
        <v>663</v>
      </c>
      <c r="F305" s="118" t="s">
        <v>192</v>
      </c>
      <c r="G305" s="118">
        <v>625</v>
      </c>
      <c r="H305" s="118" t="s">
        <v>192</v>
      </c>
      <c r="I305" s="378">
        <v>663</v>
      </c>
      <c r="J305" s="117"/>
      <c r="K305" s="117"/>
      <c r="L305" t="str">
        <f t="shared" si="65"/>
        <v>9P#2DTR(B)</v>
      </c>
      <c r="M305" t="str">
        <f t="shared" si="75"/>
        <v>(B)</v>
      </c>
      <c r="N305" t="str">
        <f t="shared" si="76"/>
        <v>9P#2DTR</v>
      </c>
      <c r="O305" t="str">
        <f t="shared" si="77"/>
        <v>(B)</v>
      </c>
      <c r="P305" s="113" t="str">
        <f t="shared" si="66"/>
        <v>9P#2DTR(B)</v>
      </c>
      <c r="Q305" s="114">
        <f t="shared" si="67"/>
        <v>663</v>
      </c>
      <c r="R305" s="114">
        <f t="shared" si="68"/>
        <v>642.66666666666663</v>
      </c>
      <c r="S305" s="113">
        <f t="shared" si="69"/>
        <v>625</v>
      </c>
      <c r="T305" s="111">
        <f t="shared" ca="1" si="70"/>
        <v>13.09</v>
      </c>
      <c r="U305" s="111">
        <f t="shared" si="71"/>
        <v>305</v>
      </c>
      <c r="V305" t="str">
        <f t="array" ref="V305">INDEX(P:P,MAX(U$3:U305))</f>
        <v>9P#2DTR(B)</v>
      </c>
      <c r="W305">
        <f t="shared" ca="1" si="72"/>
        <v>30</v>
      </c>
      <c r="X305" t="str">
        <f t="shared" si="73"/>
        <v/>
      </c>
      <c r="Y305">
        <f t="shared" si="74"/>
        <v>663</v>
      </c>
      <c r="Z305" t="str">
        <f t="shared" si="78"/>
        <v>花壇</v>
      </c>
    </row>
    <row r="306" spans="1:26" x14ac:dyDescent="0.25">
      <c r="A306" s="118" t="s">
        <v>449</v>
      </c>
      <c r="B306" s="119" t="s">
        <v>465</v>
      </c>
      <c r="C306" s="119">
        <v>265</v>
      </c>
      <c r="D306" s="118" t="s">
        <v>207</v>
      </c>
      <c r="E306" s="118">
        <v>276</v>
      </c>
      <c r="F306" s="118" t="s">
        <v>203</v>
      </c>
      <c r="G306" s="118">
        <v>224</v>
      </c>
      <c r="H306" s="118" t="s">
        <v>192</v>
      </c>
      <c r="I306" s="378">
        <v>276</v>
      </c>
      <c r="J306" s="117">
        <v>88</v>
      </c>
      <c r="K306" s="117" t="s">
        <v>200</v>
      </c>
      <c r="L306" t="str">
        <f t="shared" si="65"/>
        <v>9P25</v>
      </c>
      <c r="M306" t="str">
        <f t="shared" si="75"/>
        <v/>
      </c>
      <c r="N306" t="str">
        <f t="shared" si="76"/>
        <v/>
      </c>
      <c r="O306" t="str">
        <f t="shared" si="77"/>
        <v/>
      </c>
      <c r="P306" s="113" t="str">
        <f t="shared" si="66"/>
        <v>9P25</v>
      </c>
      <c r="Q306" s="114">
        <f t="shared" si="67"/>
        <v>276</v>
      </c>
      <c r="R306" s="114">
        <f t="shared" si="68"/>
        <v>255</v>
      </c>
      <c r="S306" s="113">
        <f t="shared" si="69"/>
        <v>224</v>
      </c>
      <c r="T306" s="111">
        <f t="shared" ca="1" si="70"/>
        <v>5.45</v>
      </c>
      <c r="U306" s="111" t="str">
        <f t="shared" si="71"/>
        <v/>
      </c>
      <c r="V306" t="str">
        <f t="array" ref="V306">INDEX(P:P,MAX(U$3:U306))</f>
        <v>9P#2DTR(B)</v>
      </c>
      <c r="W306" t="str">
        <f t="shared" ca="1" si="72"/>
        <v/>
      </c>
      <c r="X306">
        <f t="shared" si="73"/>
        <v>11.4</v>
      </c>
      <c r="Y306">
        <f t="shared" si="74"/>
        <v>276</v>
      </c>
      <c r="Z306" t="str">
        <f t="shared" si="78"/>
        <v>花壇</v>
      </c>
    </row>
    <row r="307" spans="1:26" x14ac:dyDescent="0.25">
      <c r="A307" s="118" t="s">
        <v>449</v>
      </c>
      <c r="B307" s="119" t="s">
        <v>466</v>
      </c>
      <c r="C307" s="119">
        <v>210</v>
      </c>
      <c r="D307" s="118" t="s">
        <v>198</v>
      </c>
      <c r="E307" s="118">
        <v>204</v>
      </c>
      <c r="F307" s="118" t="s">
        <v>198</v>
      </c>
      <c r="G307" s="118">
        <v>205</v>
      </c>
      <c r="H307" s="118" t="s">
        <v>198</v>
      </c>
      <c r="I307" s="378">
        <v>210</v>
      </c>
      <c r="J307" s="117">
        <v>66</v>
      </c>
      <c r="K307" s="117" t="s">
        <v>211</v>
      </c>
      <c r="L307" t="str">
        <f t="shared" si="65"/>
        <v>9P26</v>
      </c>
      <c r="M307" t="str">
        <f t="shared" si="75"/>
        <v/>
      </c>
      <c r="N307" t="str">
        <f t="shared" si="76"/>
        <v/>
      </c>
      <c r="O307" t="str">
        <f t="shared" si="77"/>
        <v/>
      </c>
      <c r="P307" s="113" t="str">
        <f t="shared" si="66"/>
        <v>9P26</v>
      </c>
      <c r="Q307" s="114">
        <f t="shared" si="67"/>
        <v>210</v>
      </c>
      <c r="R307" s="114">
        <f t="shared" si="68"/>
        <v>206.33333333333334</v>
      </c>
      <c r="S307" s="113">
        <f t="shared" si="69"/>
        <v>204</v>
      </c>
      <c r="T307" s="111">
        <f t="shared" ca="1" si="70"/>
        <v>4.1500000000000004</v>
      </c>
      <c r="U307" s="111" t="str">
        <f t="shared" si="71"/>
        <v/>
      </c>
      <c r="V307" t="str">
        <f t="array" ref="V307">INDEX(P:P,MAX(U$3:U307))</f>
        <v>9P#2DTR(B)</v>
      </c>
      <c r="W307" t="str">
        <f t="shared" ca="1" si="72"/>
        <v/>
      </c>
      <c r="X307">
        <f t="shared" si="73"/>
        <v>11.4</v>
      </c>
      <c r="Y307">
        <f t="shared" si="74"/>
        <v>210</v>
      </c>
      <c r="Z307" t="str">
        <f t="shared" si="78"/>
        <v>花壇</v>
      </c>
    </row>
    <row r="308" spans="1:26" x14ac:dyDescent="0.25">
      <c r="A308" s="118" t="s">
        <v>449</v>
      </c>
      <c r="B308" s="119" t="s">
        <v>467</v>
      </c>
      <c r="C308" s="119">
        <v>29</v>
      </c>
      <c r="D308" s="118" t="s">
        <v>183</v>
      </c>
      <c r="E308" s="118">
        <v>39</v>
      </c>
      <c r="F308" s="118" t="s">
        <v>183</v>
      </c>
      <c r="G308" s="118">
        <v>32</v>
      </c>
      <c r="H308" s="118" t="s">
        <v>192</v>
      </c>
      <c r="I308" s="378">
        <v>39</v>
      </c>
      <c r="J308" s="117">
        <v>32</v>
      </c>
      <c r="K308" s="117" t="s">
        <v>184</v>
      </c>
      <c r="L308" t="str">
        <f t="shared" si="65"/>
        <v>9P27</v>
      </c>
      <c r="M308" t="str">
        <f t="shared" si="75"/>
        <v/>
      </c>
      <c r="N308" t="str">
        <f t="shared" si="76"/>
        <v/>
      </c>
      <c r="O308" t="str">
        <f t="shared" si="77"/>
        <v/>
      </c>
      <c r="P308" s="113" t="str">
        <f t="shared" si="66"/>
        <v>9P27</v>
      </c>
      <c r="Q308" s="114">
        <f t="shared" si="67"/>
        <v>39</v>
      </c>
      <c r="R308" s="114">
        <f t="shared" si="68"/>
        <v>33.333333333333336</v>
      </c>
      <c r="S308" s="113">
        <f t="shared" si="69"/>
        <v>29</v>
      </c>
      <c r="T308" s="111">
        <f t="shared" ca="1" si="70"/>
        <v>0.77</v>
      </c>
      <c r="U308" s="111" t="str">
        <f t="shared" si="71"/>
        <v/>
      </c>
      <c r="V308" t="str">
        <f t="array" ref="V308">INDEX(P:P,MAX(U$3:U308))</f>
        <v>9P#2DTR(B)</v>
      </c>
      <c r="W308" t="str">
        <f t="shared" ca="1" si="72"/>
        <v/>
      </c>
      <c r="X308">
        <f t="shared" si="73"/>
        <v>11.4</v>
      </c>
      <c r="Y308">
        <f t="shared" si="74"/>
        <v>39</v>
      </c>
      <c r="Z308" t="str">
        <f t="shared" si="78"/>
        <v>花壇</v>
      </c>
    </row>
    <row r="309" spans="1:26" x14ac:dyDescent="0.25">
      <c r="A309" s="118" t="s">
        <v>449</v>
      </c>
      <c r="B309" s="119" t="s">
        <v>468</v>
      </c>
      <c r="C309" s="119">
        <v>24</v>
      </c>
      <c r="D309" s="118" t="s">
        <v>177</v>
      </c>
      <c r="E309" s="118">
        <v>45</v>
      </c>
      <c r="F309" s="118" t="s">
        <v>177</v>
      </c>
      <c r="G309" s="118">
        <v>50</v>
      </c>
      <c r="H309" s="118" t="s">
        <v>177</v>
      </c>
      <c r="I309" s="378">
        <v>50</v>
      </c>
      <c r="J309" s="117">
        <v>45</v>
      </c>
      <c r="K309" s="117" t="s">
        <v>183</v>
      </c>
      <c r="L309" t="str">
        <f t="shared" si="65"/>
        <v>9P28</v>
      </c>
      <c r="M309" t="str">
        <f t="shared" si="75"/>
        <v/>
      </c>
      <c r="N309" t="str">
        <f t="shared" si="76"/>
        <v/>
      </c>
      <c r="O309" t="str">
        <f t="shared" si="77"/>
        <v/>
      </c>
      <c r="P309" s="113" t="str">
        <f t="shared" si="66"/>
        <v>9P28</v>
      </c>
      <c r="Q309" s="114">
        <f t="shared" si="67"/>
        <v>50</v>
      </c>
      <c r="R309" s="114">
        <f t="shared" si="68"/>
        <v>39.666666666666664</v>
      </c>
      <c r="S309" s="113">
        <f t="shared" si="69"/>
        <v>24</v>
      </c>
      <c r="T309" s="111">
        <f t="shared" ca="1" si="70"/>
        <v>0.99</v>
      </c>
      <c r="U309" s="111" t="str">
        <f t="shared" si="71"/>
        <v/>
      </c>
      <c r="V309" t="str">
        <f t="array" ref="V309">INDEX(P:P,MAX(U$3:U309))</f>
        <v>9P#2DTR(B)</v>
      </c>
      <c r="W309" t="str">
        <f t="shared" ca="1" si="72"/>
        <v/>
      </c>
      <c r="X309">
        <f t="shared" si="73"/>
        <v>11.4</v>
      </c>
      <c r="Y309">
        <f t="shared" si="74"/>
        <v>50</v>
      </c>
      <c r="Z309" t="str">
        <f t="shared" si="78"/>
        <v>花壇</v>
      </c>
    </row>
    <row r="310" spans="1:26" x14ac:dyDescent="0.25">
      <c r="A310" s="118" t="s">
        <v>449</v>
      </c>
      <c r="B310" s="119" t="s">
        <v>469</v>
      </c>
      <c r="C310" s="119">
        <v>149</v>
      </c>
      <c r="D310" s="118" t="s">
        <v>207</v>
      </c>
      <c r="E310" s="118">
        <v>130</v>
      </c>
      <c r="F310" s="118" t="s">
        <v>192</v>
      </c>
      <c r="G310" s="118">
        <v>137</v>
      </c>
      <c r="H310" s="118" t="s">
        <v>207</v>
      </c>
      <c r="I310" s="378">
        <v>149</v>
      </c>
      <c r="J310" s="117">
        <v>36</v>
      </c>
      <c r="K310" s="117" t="s">
        <v>184</v>
      </c>
      <c r="L310" t="str">
        <f t="shared" si="65"/>
        <v>9P29</v>
      </c>
      <c r="M310" t="str">
        <f t="shared" si="75"/>
        <v/>
      </c>
      <c r="N310" t="str">
        <f t="shared" si="76"/>
        <v/>
      </c>
      <c r="O310" t="str">
        <f t="shared" si="77"/>
        <v/>
      </c>
      <c r="P310" s="113" t="str">
        <f t="shared" si="66"/>
        <v>9P29</v>
      </c>
      <c r="Q310" s="114">
        <f t="shared" si="67"/>
        <v>149</v>
      </c>
      <c r="R310" s="114">
        <f t="shared" si="68"/>
        <v>138.66666666666666</v>
      </c>
      <c r="S310" s="113">
        <f t="shared" si="69"/>
        <v>130</v>
      </c>
      <c r="T310" s="111">
        <f t="shared" ca="1" si="70"/>
        <v>2.94</v>
      </c>
      <c r="U310" s="111" t="str">
        <f t="shared" si="71"/>
        <v/>
      </c>
      <c r="V310" t="str">
        <f t="array" ref="V310">INDEX(P:P,MAX(U$3:U310))</f>
        <v>9P#2DTR(B)</v>
      </c>
      <c r="W310" t="str">
        <f t="shared" ca="1" si="72"/>
        <v/>
      </c>
      <c r="X310">
        <f t="shared" si="73"/>
        <v>11.4</v>
      </c>
      <c r="Y310">
        <f t="shared" si="74"/>
        <v>149</v>
      </c>
      <c r="Z310" t="str">
        <f t="shared" si="78"/>
        <v>花壇</v>
      </c>
    </row>
    <row r="311" spans="1:26" x14ac:dyDescent="0.25">
      <c r="A311" s="118" t="s">
        <v>470</v>
      </c>
      <c r="B311" s="119" t="s">
        <v>254</v>
      </c>
      <c r="C311" s="119">
        <v>445</v>
      </c>
      <c r="D311" s="118" t="s">
        <v>177</v>
      </c>
      <c r="E311" s="118">
        <v>509</v>
      </c>
      <c r="F311" s="118" t="s">
        <v>177</v>
      </c>
      <c r="G311" s="118">
        <v>435</v>
      </c>
      <c r="H311" s="118" t="s">
        <v>177</v>
      </c>
      <c r="I311" s="378">
        <v>509</v>
      </c>
      <c r="J311" s="117"/>
      <c r="K311" s="117"/>
      <c r="L311" t="str">
        <f t="shared" si="65"/>
        <v>IU#1DTR(A)</v>
      </c>
      <c r="M311" t="str">
        <f t="shared" si="75"/>
        <v>(A)</v>
      </c>
      <c r="N311" t="str">
        <f t="shared" si="76"/>
        <v>IU#1DTR</v>
      </c>
      <c r="O311" t="str">
        <f t="shared" si="77"/>
        <v>(A)</v>
      </c>
      <c r="P311" s="113" t="str">
        <f t="shared" si="66"/>
        <v>IU#1DTR(A)</v>
      </c>
      <c r="Q311" s="114">
        <f t="shared" si="67"/>
        <v>509</v>
      </c>
      <c r="R311" s="114">
        <f t="shared" si="68"/>
        <v>463</v>
      </c>
      <c r="S311" s="113">
        <f t="shared" si="69"/>
        <v>435</v>
      </c>
      <c r="T311" s="111">
        <f t="shared" ca="1" si="70"/>
        <v>10.050000000000001</v>
      </c>
      <c r="U311" s="111">
        <f t="shared" si="71"/>
        <v>311</v>
      </c>
      <c r="V311" t="str">
        <f t="array" ref="V311">INDEX(P:P,MAX(U$3:U311))</f>
        <v>IU#1DTR(A)</v>
      </c>
      <c r="W311">
        <f t="shared" ca="1" si="72"/>
        <v>30</v>
      </c>
      <c r="X311" t="str">
        <f t="shared" si="73"/>
        <v/>
      </c>
      <c r="Y311">
        <f t="shared" si="74"/>
        <v>509</v>
      </c>
      <c r="Z311" t="str">
        <f t="shared" si="78"/>
        <v>員東</v>
      </c>
    </row>
    <row r="312" spans="1:26" x14ac:dyDescent="0.25">
      <c r="A312" s="118" t="s">
        <v>470</v>
      </c>
      <c r="B312" s="119" t="s">
        <v>471</v>
      </c>
      <c r="C312" s="119">
        <v>94</v>
      </c>
      <c r="D312" s="118" t="s">
        <v>198</v>
      </c>
      <c r="E312" s="118">
        <v>130</v>
      </c>
      <c r="F312" s="118" t="s">
        <v>198</v>
      </c>
      <c r="G312" s="118">
        <v>98</v>
      </c>
      <c r="H312" s="118" t="s">
        <v>198</v>
      </c>
      <c r="I312" s="378">
        <v>130</v>
      </c>
      <c r="J312" s="117">
        <v>48</v>
      </c>
      <c r="K312" s="117" t="s">
        <v>192</v>
      </c>
      <c r="L312" t="str">
        <f t="shared" si="65"/>
        <v>IU21</v>
      </c>
      <c r="M312" t="str">
        <f t="shared" si="75"/>
        <v/>
      </c>
      <c r="N312" t="str">
        <f t="shared" si="76"/>
        <v/>
      </c>
      <c r="O312" t="str">
        <f t="shared" si="77"/>
        <v/>
      </c>
      <c r="P312" s="113" t="str">
        <f t="shared" si="66"/>
        <v>IU21</v>
      </c>
      <c r="Q312" s="114">
        <f t="shared" si="67"/>
        <v>130</v>
      </c>
      <c r="R312" s="114">
        <f t="shared" si="68"/>
        <v>107.33333333333333</v>
      </c>
      <c r="S312" s="113">
        <f t="shared" si="69"/>
        <v>94</v>
      </c>
      <c r="T312" s="111">
        <f t="shared" ca="1" si="70"/>
        <v>2.57</v>
      </c>
      <c r="U312" s="111" t="str">
        <f t="shared" si="71"/>
        <v/>
      </c>
      <c r="V312" t="str">
        <f t="array" ref="V312">INDEX(P:P,MAX(U$3:U312))</f>
        <v>IU#1DTR(A)</v>
      </c>
      <c r="W312" t="str">
        <f t="shared" ca="1" si="72"/>
        <v/>
      </c>
      <c r="X312">
        <f t="shared" si="73"/>
        <v>11.4</v>
      </c>
      <c r="Y312">
        <f t="shared" si="74"/>
        <v>130</v>
      </c>
      <c r="Z312" t="str">
        <f t="shared" si="78"/>
        <v>員東</v>
      </c>
    </row>
    <row r="313" spans="1:26" x14ac:dyDescent="0.25">
      <c r="A313" s="118" t="s">
        <v>470</v>
      </c>
      <c r="B313" s="119" t="s">
        <v>472</v>
      </c>
      <c r="C313" s="119">
        <v>136</v>
      </c>
      <c r="D313" s="118" t="s">
        <v>200</v>
      </c>
      <c r="E313" s="118">
        <v>140</v>
      </c>
      <c r="F313" s="118" t="s">
        <v>200</v>
      </c>
      <c r="G313" s="118">
        <v>129</v>
      </c>
      <c r="H313" s="118" t="s">
        <v>200</v>
      </c>
      <c r="I313" s="378">
        <v>140</v>
      </c>
      <c r="J313" s="117">
        <v>24</v>
      </c>
      <c r="K313" s="117" t="s">
        <v>180</v>
      </c>
      <c r="L313" t="str">
        <f t="shared" si="65"/>
        <v>IU22</v>
      </c>
      <c r="M313" t="str">
        <f t="shared" si="75"/>
        <v/>
      </c>
      <c r="N313" t="str">
        <f t="shared" si="76"/>
        <v/>
      </c>
      <c r="O313" t="str">
        <f t="shared" si="77"/>
        <v/>
      </c>
      <c r="P313" s="113" t="str">
        <f t="shared" si="66"/>
        <v>IU22</v>
      </c>
      <c r="Q313" s="114">
        <f t="shared" si="67"/>
        <v>140</v>
      </c>
      <c r="R313" s="114">
        <f t="shared" si="68"/>
        <v>135</v>
      </c>
      <c r="S313" s="113">
        <f t="shared" si="69"/>
        <v>129</v>
      </c>
      <c r="T313" s="111">
        <f t="shared" ca="1" si="70"/>
        <v>2.76</v>
      </c>
      <c r="U313" s="111" t="str">
        <f t="shared" si="71"/>
        <v/>
      </c>
      <c r="V313" t="str">
        <f t="array" ref="V313">INDEX(P:P,MAX(U$3:U313))</f>
        <v>IU#1DTR(A)</v>
      </c>
      <c r="W313" t="str">
        <f t="shared" ca="1" si="72"/>
        <v/>
      </c>
      <c r="X313">
        <f t="shared" si="73"/>
        <v>11.4</v>
      </c>
      <c r="Y313">
        <f t="shared" si="74"/>
        <v>140</v>
      </c>
      <c r="Z313" t="str">
        <f t="shared" si="78"/>
        <v>員東</v>
      </c>
    </row>
    <row r="314" spans="1:26" x14ac:dyDescent="0.25">
      <c r="A314" s="118" t="s">
        <v>470</v>
      </c>
      <c r="B314" s="119" t="s">
        <v>473</v>
      </c>
      <c r="C314" s="119">
        <v>117</v>
      </c>
      <c r="D314" s="118" t="s">
        <v>203</v>
      </c>
      <c r="E314" s="118">
        <v>107</v>
      </c>
      <c r="F314" s="118" t="s">
        <v>177</v>
      </c>
      <c r="G314" s="118">
        <v>125</v>
      </c>
      <c r="H314" s="118" t="s">
        <v>179</v>
      </c>
      <c r="I314" s="378">
        <v>125</v>
      </c>
      <c r="J314" s="117">
        <v>32</v>
      </c>
      <c r="K314" s="117" t="s">
        <v>179</v>
      </c>
      <c r="L314" t="str">
        <f t="shared" si="65"/>
        <v>IU23</v>
      </c>
      <c r="M314" t="str">
        <f t="shared" si="75"/>
        <v/>
      </c>
      <c r="N314" t="str">
        <f t="shared" si="76"/>
        <v/>
      </c>
      <c r="O314" t="str">
        <f t="shared" si="77"/>
        <v/>
      </c>
      <c r="P314" s="113" t="str">
        <f t="shared" si="66"/>
        <v>IU23</v>
      </c>
      <c r="Q314" s="114">
        <f t="shared" si="67"/>
        <v>125</v>
      </c>
      <c r="R314" s="114">
        <f t="shared" si="68"/>
        <v>116.33333333333333</v>
      </c>
      <c r="S314" s="113">
        <f t="shared" si="69"/>
        <v>107</v>
      </c>
      <c r="T314" s="111">
        <f t="shared" ca="1" si="70"/>
        <v>2.4700000000000002</v>
      </c>
      <c r="U314" s="111" t="str">
        <f t="shared" si="71"/>
        <v/>
      </c>
      <c r="V314" t="str">
        <f t="array" ref="V314">INDEX(P:P,MAX(U$3:U314))</f>
        <v>IU#1DTR(A)</v>
      </c>
      <c r="W314" t="str">
        <f t="shared" ca="1" si="72"/>
        <v/>
      </c>
      <c r="X314">
        <f t="shared" si="73"/>
        <v>11.4</v>
      </c>
      <c r="Y314">
        <f t="shared" si="74"/>
        <v>125</v>
      </c>
      <c r="Z314" t="str">
        <f t="shared" si="78"/>
        <v>員東</v>
      </c>
    </row>
    <row r="315" spans="1:26" x14ac:dyDescent="0.25">
      <c r="A315" s="118" t="s">
        <v>470</v>
      </c>
      <c r="B315" s="119" t="s">
        <v>474</v>
      </c>
      <c r="C315" s="119">
        <v>85</v>
      </c>
      <c r="D315" s="118" t="s">
        <v>188</v>
      </c>
      <c r="E315" s="118">
        <v>84</v>
      </c>
      <c r="F315" s="118" t="s">
        <v>198</v>
      </c>
      <c r="G315" s="118">
        <v>79</v>
      </c>
      <c r="H315" s="118" t="s">
        <v>177</v>
      </c>
      <c r="I315" s="378">
        <v>85</v>
      </c>
      <c r="J315" s="117">
        <v>33</v>
      </c>
      <c r="K315" s="117" t="s">
        <v>188</v>
      </c>
      <c r="L315" t="str">
        <f t="shared" si="65"/>
        <v>IU24</v>
      </c>
      <c r="M315" t="str">
        <f t="shared" si="75"/>
        <v/>
      </c>
      <c r="N315" t="str">
        <f t="shared" si="76"/>
        <v/>
      </c>
      <c r="O315" t="str">
        <f t="shared" si="77"/>
        <v/>
      </c>
      <c r="P315" s="113" t="str">
        <f t="shared" si="66"/>
        <v>IU24</v>
      </c>
      <c r="Q315" s="114">
        <f t="shared" si="67"/>
        <v>85</v>
      </c>
      <c r="R315" s="114">
        <f t="shared" si="68"/>
        <v>82.666666666666671</v>
      </c>
      <c r="S315" s="113">
        <f t="shared" si="69"/>
        <v>79</v>
      </c>
      <c r="T315" s="111">
        <f t="shared" ca="1" si="70"/>
        <v>1.68</v>
      </c>
      <c r="U315" s="111" t="str">
        <f t="shared" si="71"/>
        <v/>
      </c>
      <c r="V315" t="str">
        <f t="array" ref="V315">INDEX(P:P,MAX(U$3:U315))</f>
        <v>IU#1DTR(A)</v>
      </c>
      <c r="W315" t="str">
        <f t="shared" ca="1" si="72"/>
        <v/>
      </c>
      <c r="X315">
        <f t="shared" si="73"/>
        <v>11.4</v>
      </c>
      <c r="Y315">
        <f t="shared" si="74"/>
        <v>85</v>
      </c>
      <c r="Z315" t="str">
        <f t="shared" si="78"/>
        <v>員東</v>
      </c>
    </row>
    <row r="316" spans="1:26" x14ac:dyDescent="0.25">
      <c r="A316" s="118" t="s">
        <v>470</v>
      </c>
      <c r="B316" s="119" t="s">
        <v>475</v>
      </c>
      <c r="C316" s="119">
        <v>198</v>
      </c>
      <c r="D316" s="118" t="s">
        <v>188</v>
      </c>
      <c r="E316" s="118">
        <v>218</v>
      </c>
      <c r="F316" s="118" t="s">
        <v>188</v>
      </c>
      <c r="G316" s="118">
        <v>181</v>
      </c>
      <c r="H316" s="118" t="s">
        <v>177</v>
      </c>
      <c r="I316" s="378">
        <v>218</v>
      </c>
      <c r="J316" s="117">
        <v>50</v>
      </c>
      <c r="K316" s="117" t="s">
        <v>188</v>
      </c>
      <c r="L316" t="str">
        <f t="shared" si="65"/>
        <v>IU25</v>
      </c>
      <c r="M316" t="str">
        <f t="shared" si="75"/>
        <v/>
      </c>
      <c r="N316" t="str">
        <f t="shared" si="76"/>
        <v/>
      </c>
      <c r="O316" t="str">
        <f t="shared" si="77"/>
        <v/>
      </c>
      <c r="P316" s="113" t="str">
        <f t="shared" si="66"/>
        <v>IU25</v>
      </c>
      <c r="Q316" s="114">
        <f t="shared" si="67"/>
        <v>218</v>
      </c>
      <c r="R316" s="114">
        <f t="shared" si="68"/>
        <v>199</v>
      </c>
      <c r="S316" s="113">
        <f t="shared" si="69"/>
        <v>181</v>
      </c>
      <c r="T316" s="111">
        <f t="shared" ca="1" si="70"/>
        <v>4.3</v>
      </c>
      <c r="U316" s="111" t="str">
        <f t="shared" si="71"/>
        <v/>
      </c>
      <c r="V316" t="str">
        <f t="array" ref="V316">INDEX(P:P,MAX(U$3:U316))</f>
        <v>IU#1DTR(A)</v>
      </c>
      <c r="W316" t="str">
        <f t="shared" ca="1" si="72"/>
        <v/>
      </c>
      <c r="X316">
        <f t="shared" si="73"/>
        <v>11.4</v>
      </c>
      <c r="Y316">
        <f t="shared" si="74"/>
        <v>218</v>
      </c>
      <c r="Z316" t="str">
        <f t="shared" si="78"/>
        <v>員東</v>
      </c>
    </row>
    <row r="317" spans="1:26" x14ac:dyDescent="0.25">
      <c r="A317" s="118" t="s">
        <v>470</v>
      </c>
      <c r="B317" s="119" t="s">
        <v>476</v>
      </c>
      <c r="C317" s="119">
        <v>103</v>
      </c>
      <c r="D317" s="118" t="s">
        <v>176</v>
      </c>
      <c r="E317" s="118">
        <v>134</v>
      </c>
      <c r="F317" s="118" t="s">
        <v>177</v>
      </c>
      <c r="G317" s="118">
        <v>87</v>
      </c>
      <c r="H317" s="118" t="s">
        <v>188</v>
      </c>
      <c r="I317" s="378">
        <v>134</v>
      </c>
      <c r="J317" s="117">
        <v>67</v>
      </c>
      <c r="K317" s="117" t="s">
        <v>183</v>
      </c>
      <c r="L317" t="str">
        <f t="shared" si="65"/>
        <v>IU26</v>
      </c>
      <c r="M317" t="str">
        <f t="shared" si="75"/>
        <v/>
      </c>
      <c r="N317" t="str">
        <f t="shared" si="76"/>
        <v/>
      </c>
      <c r="O317" t="str">
        <f t="shared" si="77"/>
        <v/>
      </c>
      <c r="P317" s="113" t="str">
        <f t="shared" si="66"/>
        <v>IU26</v>
      </c>
      <c r="Q317" s="114">
        <f t="shared" si="67"/>
        <v>134</v>
      </c>
      <c r="R317" s="114">
        <f t="shared" si="68"/>
        <v>108</v>
      </c>
      <c r="S317" s="113">
        <f t="shared" si="69"/>
        <v>87</v>
      </c>
      <c r="T317" s="111">
        <f t="shared" ca="1" si="70"/>
        <v>2.65</v>
      </c>
      <c r="U317" s="111" t="str">
        <f t="shared" si="71"/>
        <v/>
      </c>
      <c r="V317" t="str">
        <f t="array" ref="V317">INDEX(P:P,MAX(U$3:U317))</f>
        <v>IU#1DTR(A)</v>
      </c>
      <c r="W317" t="str">
        <f t="shared" ca="1" si="72"/>
        <v/>
      </c>
      <c r="X317">
        <f t="shared" si="73"/>
        <v>11.4</v>
      </c>
      <c r="Y317">
        <f t="shared" si="74"/>
        <v>134</v>
      </c>
      <c r="Z317" t="str">
        <f t="shared" si="78"/>
        <v>員東</v>
      </c>
    </row>
    <row r="318" spans="1:26" x14ac:dyDescent="0.25">
      <c r="A318" s="118" t="s">
        <v>470</v>
      </c>
      <c r="B318" s="119" t="s">
        <v>295</v>
      </c>
      <c r="C318" s="119">
        <v>412</v>
      </c>
      <c r="D318" s="118" t="s">
        <v>203</v>
      </c>
      <c r="E318" s="118">
        <v>406</v>
      </c>
      <c r="F318" s="118" t="s">
        <v>192</v>
      </c>
      <c r="G318" s="118">
        <v>415</v>
      </c>
      <c r="H318" s="118" t="s">
        <v>192</v>
      </c>
      <c r="I318" s="378">
        <v>415</v>
      </c>
      <c r="J318" s="117"/>
      <c r="K318" s="117"/>
      <c r="L318" t="str">
        <f t="shared" si="65"/>
        <v>IU#1DTR(B)</v>
      </c>
      <c r="M318" t="str">
        <f t="shared" si="75"/>
        <v>(B)</v>
      </c>
      <c r="N318" t="str">
        <f t="shared" si="76"/>
        <v>IU#1DTR</v>
      </c>
      <c r="O318" t="str">
        <f t="shared" si="77"/>
        <v>(B)</v>
      </c>
      <c r="P318" s="113" t="str">
        <f t="shared" si="66"/>
        <v>IU#1DTR(B)</v>
      </c>
      <c r="Q318" s="114">
        <f t="shared" si="67"/>
        <v>415</v>
      </c>
      <c r="R318" s="114">
        <f t="shared" si="68"/>
        <v>411</v>
      </c>
      <c r="S318" s="113">
        <f t="shared" si="69"/>
        <v>406</v>
      </c>
      <c r="T318" s="111">
        <f t="shared" ca="1" si="70"/>
        <v>8.19</v>
      </c>
      <c r="U318" s="111">
        <f t="shared" si="71"/>
        <v>318</v>
      </c>
      <c r="V318" t="str">
        <f t="array" ref="V318">INDEX(P:P,MAX(U$3:U318))</f>
        <v>IU#1DTR(B)</v>
      </c>
      <c r="W318">
        <f t="shared" ca="1" si="72"/>
        <v>30</v>
      </c>
      <c r="X318" t="str">
        <f t="shared" si="73"/>
        <v/>
      </c>
      <c r="Y318">
        <f t="shared" si="74"/>
        <v>415</v>
      </c>
      <c r="Z318" t="str">
        <f t="shared" si="78"/>
        <v>員東</v>
      </c>
    </row>
    <row r="319" spans="1:26" x14ac:dyDescent="0.25">
      <c r="A319" s="118" t="s">
        <v>470</v>
      </c>
      <c r="B319" s="119" t="s">
        <v>477</v>
      </c>
      <c r="C319" s="119">
        <v>201</v>
      </c>
      <c r="D319" s="118" t="s">
        <v>203</v>
      </c>
      <c r="E319" s="118">
        <v>174</v>
      </c>
      <c r="F319" s="118" t="s">
        <v>203</v>
      </c>
      <c r="G319" s="118">
        <v>185</v>
      </c>
      <c r="H319" s="118" t="s">
        <v>203</v>
      </c>
      <c r="I319" s="378">
        <v>201</v>
      </c>
      <c r="J319" s="117">
        <v>51</v>
      </c>
      <c r="K319" s="117" t="s">
        <v>188</v>
      </c>
      <c r="L319" t="str">
        <f t="shared" si="65"/>
        <v>IU31</v>
      </c>
      <c r="M319" t="str">
        <f t="shared" si="75"/>
        <v/>
      </c>
      <c r="N319" t="str">
        <f t="shared" si="76"/>
        <v/>
      </c>
      <c r="O319" t="str">
        <f t="shared" si="77"/>
        <v/>
      </c>
      <c r="P319" s="113" t="str">
        <f t="shared" si="66"/>
        <v>IU31</v>
      </c>
      <c r="Q319" s="114">
        <f t="shared" si="67"/>
        <v>201</v>
      </c>
      <c r="R319" s="114">
        <f t="shared" si="68"/>
        <v>186.66666666666666</v>
      </c>
      <c r="S319" s="113">
        <f t="shared" si="69"/>
        <v>174</v>
      </c>
      <c r="T319" s="111">
        <f t="shared" ca="1" si="70"/>
        <v>3.97</v>
      </c>
      <c r="U319" s="111" t="str">
        <f t="shared" si="71"/>
        <v/>
      </c>
      <c r="V319" t="str">
        <f t="array" ref="V319">INDEX(P:P,MAX(U$3:U319))</f>
        <v>IU#1DTR(B)</v>
      </c>
      <c r="W319" t="str">
        <f t="shared" ca="1" si="72"/>
        <v/>
      </c>
      <c r="X319">
        <f t="shared" si="73"/>
        <v>11.4</v>
      </c>
      <c r="Y319">
        <f t="shared" si="74"/>
        <v>201</v>
      </c>
      <c r="Z319" t="str">
        <f t="shared" si="78"/>
        <v>員東</v>
      </c>
    </row>
    <row r="320" spans="1:26" x14ac:dyDescent="0.25">
      <c r="A320" s="118" t="s">
        <v>470</v>
      </c>
      <c r="B320" s="119" t="s">
        <v>478</v>
      </c>
      <c r="C320" s="119">
        <v>129</v>
      </c>
      <c r="D320" s="118" t="s">
        <v>176</v>
      </c>
      <c r="E320" s="118">
        <v>140</v>
      </c>
      <c r="F320" s="118" t="s">
        <v>176</v>
      </c>
      <c r="G320" s="118">
        <v>125</v>
      </c>
      <c r="H320" s="118" t="s">
        <v>177</v>
      </c>
      <c r="I320" s="378">
        <v>140</v>
      </c>
      <c r="J320" s="117">
        <v>55</v>
      </c>
      <c r="K320" s="117" t="s">
        <v>200</v>
      </c>
      <c r="L320" t="str">
        <f t="shared" si="65"/>
        <v>IU32</v>
      </c>
      <c r="M320" t="str">
        <f t="shared" si="75"/>
        <v/>
      </c>
      <c r="N320" t="str">
        <f t="shared" si="76"/>
        <v/>
      </c>
      <c r="O320" t="str">
        <f t="shared" si="77"/>
        <v/>
      </c>
      <c r="P320" s="113" t="str">
        <f t="shared" si="66"/>
        <v>IU32</v>
      </c>
      <c r="Q320" s="114">
        <f t="shared" si="67"/>
        <v>140</v>
      </c>
      <c r="R320" s="114">
        <f t="shared" si="68"/>
        <v>131.33333333333334</v>
      </c>
      <c r="S320" s="113">
        <f t="shared" si="69"/>
        <v>125</v>
      </c>
      <c r="T320" s="111">
        <f t="shared" ca="1" si="70"/>
        <v>2.76</v>
      </c>
      <c r="U320" s="111" t="str">
        <f t="shared" si="71"/>
        <v/>
      </c>
      <c r="V320" t="str">
        <f t="array" ref="V320">INDEX(P:P,MAX(U$3:U320))</f>
        <v>IU#1DTR(B)</v>
      </c>
      <c r="W320" t="str">
        <f t="shared" ca="1" si="72"/>
        <v/>
      </c>
      <c r="X320">
        <f t="shared" si="73"/>
        <v>11.4</v>
      </c>
      <c r="Y320">
        <f t="shared" si="74"/>
        <v>140</v>
      </c>
      <c r="Z320" t="str">
        <f t="shared" si="78"/>
        <v>員東</v>
      </c>
    </row>
    <row r="321" spans="1:26" x14ac:dyDescent="0.25">
      <c r="A321" s="118" t="s">
        <v>470</v>
      </c>
      <c r="B321" s="119" t="s">
        <v>479</v>
      </c>
      <c r="C321" s="119">
        <v>178</v>
      </c>
      <c r="D321" s="118" t="s">
        <v>183</v>
      </c>
      <c r="E321" s="118">
        <v>211</v>
      </c>
      <c r="F321" s="118" t="s">
        <v>177</v>
      </c>
      <c r="G321" s="118">
        <v>234</v>
      </c>
      <c r="H321" s="118" t="s">
        <v>177</v>
      </c>
      <c r="I321" s="378">
        <v>234</v>
      </c>
      <c r="J321" s="117">
        <v>76</v>
      </c>
      <c r="K321" s="117" t="s">
        <v>188</v>
      </c>
      <c r="L321" t="str">
        <f t="shared" si="65"/>
        <v>IU33</v>
      </c>
      <c r="M321" t="str">
        <f t="shared" si="75"/>
        <v/>
      </c>
      <c r="N321" t="str">
        <f t="shared" si="76"/>
        <v/>
      </c>
      <c r="O321" t="str">
        <f t="shared" si="77"/>
        <v/>
      </c>
      <c r="P321" s="113" t="str">
        <f t="shared" si="66"/>
        <v>IU33</v>
      </c>
      <c r="Q321" s="114">
        <f t="shared" si="67"/>
        <v>234</v>
      </c>
      <c r="R321" s="114">
        <f t="shared" si="68"/>
        <v>207.66666666666666</v>
      </c>
      <c r="S321" s="113">
        <f t="shared" si="69"/>
        <v>178</v>
      </c>
      <c r="T321" s="111">
        <f t="shared" ca="1" si="70"/>
        <v>4.62</v>
      </c>
      <c r="U321" s="111" t="str">
        <f t="shared" si="71"/>
        <v/>
      </c>
      <c r="V321" t="str">
        <f t="array" ref="V321">INDEX(P:P,MAX(U$3:U321))</f>
        <v>IU#1DTR(B)</v>
      </c>
      <c r="W321" t="str">
        <f t="shared" ca="1" si="72"/>
        <v/>
      </c>
      <c r="X321">
        <f t="shared" si="73"/>
        <v>11.4</v>
      </c>
      <c r="Y321">
        <f t="shared" si="74"/>
        <v>234</v>
      </c>
      <c r="Z321" t="str">
        <f t="shared" si="78"/>
        <v>員東</v>
      </c>
    </row>
    <row r="322" spans="1:26" x14ac:dyDescent="0.25">
      <c r="A322" s="118" t="s">
        <v>470</v>
      </c>
      <c r="B322" s="119" t="s">
        <v>480</v>
      </c>
      <c r="C322" s="119">
        <v>167</v>
      </c>
      <c r="D322" s="118" t="s">
        <v>177</v>
      </c>
      <c r="E322" s="118">
        <v>143</v>
      </c>
      <c r="F322" s="118" t="s">
        <v>183</v>
      </c>
      <c r="G322" s="118">
        <v>143</v>
      </c>
      <c r="H322" s="118" t="s">
        <v>176</v>
      </c>
      <c r="I322" s="378">
        <v>167</v>
      </c>
      <c r="J322" s="117">
        <v>65</v>
      </c>
      <c r="K322" s="117" t="s">
        <v>177</v>
      </c>
      <c r="L322" t="str">
        <f t="shared" si="65"/>
        <v>IU34</v>
      </c>
      <c r="M322" t="str">
        <f t="shared" si="75"/>
        <v/>
      </c>
      <c r="N322" t="str">
        <f t="shared" si="76"/>
        <v/>
      </c>
      <c r="O322" t="str">
        <f t="shared" si="77"/>
        <v/>
      </c>
      <c r="P322" s="113" t="str">
        <f t="shared" si="66"/>
        <v>IU34</v>
      </c>
      <c r="Q322" s="114">
        <f t="shared" si="67"/>
        <v>167</v>
      </c>
      <c r="R322" s="114">
        <f t="shared" si="68"/>
        <v>151</v>
      </c>
      <c r="S322" s="113">
        <f t="shared" si="69"/>
        <v>143</v>
      </c>
      <c r="T322" s="111">
        <f t="shared" ca="1" si="70"/>
        <v>3.3</v>
      </c>
      <c r="U322" s="111" t="str">
        <f t="shared" si="71"/>
        <v/>
      </c>
      <c r="V322" t="str">
        <f t="array" ref="V322">INDEX(P:P,MAX(U$3:U322))</f>
        <v>IU#1DTR(B)</v>
      </c>
      <c r="W322" t="str">
        <f t="shared" ca="1" si="72"/>
        <v/>
      </c>
      <c r="X322">
        <f t="shared" si="73"/>
        <v>11.4</v>
      </c>
      <c r="Y322">
        <f t="shared" si="74"/>
        <v>167</v>
      </c>
      <c r="Z322" t="str">
        <f t="shared" si="78"/>
        <v>員東</v>
      </c>
    </row>
    <row r="323" spans="1:26" x14ac:dyDescent="0.25">
      <c r="A323" s="118" t="s">
        <v>470</v>
      </c>
      <c r="B323" s="119" t="s">
        <v>301</v>
      </c>
      <c r="C323" s="119">
        <v>616</v>
      </c>
      <c r="D323" s="118" t="s">
        <v>198</v>
      </c>
      <c r="E323" s="118">
        <v>590</v>
      </c>
      <c r="F323" s="118" t="s">
        <v>179</v>
      </c>
      <c r="G323" s="118">
        <v>577</v>
      </c>
      <c r="H323" s="118" t="s">
        <v>184</v>
      </c>
      <c r="I323" s="378">
        <v>616</v>
      </c>
      <c r="J323" s="117"/>
      <c r="K323" s="117"/>
      <c r="L323" t="str">
        <f t="shared" ref="L323:L386" si="79">IF(COUNTIF(B323,"*TR*")&gt;0,SUBSTITUTE(RIGHT(TRIM(A323),2) &amp; B323," ",""),MID(B323,FIND("(",B323)+1,4))</f>
        <v>IU#2DTR(A)</v>
      </c>
      <c r="M323" t="str">
        <f t="shared" si="75"/>
        <v>(A)</v>
      </c>
      <c r="N323" t="str">
        <f t="shared" si="76"/>
        <v>IU#2DTR</v>
      </c>
      <c r="O323" t="str">
        <f t="shared" si="77"/>
        <v>(A)</v>
      </c>
      <c r="P323" s="113" t="str">
        <f t="shared" ref="P323:P386" si="80">IF(COUNTIF(B323,"*TR*")&gt;0,SUBSTITUTE(RIGHT(TRIM(A323),2) &amp; B323," ",""),MID(B323,FIND("(",B323)+1,4))</f>
        <v>IU#2DTR(A)</v>
      </c>
      <c r="Q323" s="114">
        <f t="shared" ref="Q323:Q386" si="81">VALUE(I323)</f>
        <v>616</v>
      </c>
      <c r="R323" s="114">
        <f t="shared" ref="R323:R386" si="82">AVERAGE(C323*1,E323*1,G323*1)</f>
        <v>594.33333333333337</v>
      </c>
      <c r="S323" s="113">
        <f t="shared" ref="S323:S386" si="83">MIN(C323*1,E323*1,G323*1)</f>
        <v>577</v>
      </c>
      <c r="T323" s="111">
        <f t="shared" ref="T323:T386" ca="1" si="84">IF(LEFT(TRIM(B323),1)="#",ROUND(OFFSET(X323,1,0,1,1)*Y323*SQRT(3)/1000,2),ROUND(Q323*X323*SQRT(3)/1000,2))</f>
        <v>12.16</v>
      </c>
      <c r="U323" s="111">
        <f t="shared" ref="U323:U386" si="85">IF(ISNUMBER(FIND("#",B323)),ROW(),"")</f>
        <v>323</v>
      </c>
      <c r="V323" t="str">
        <f t="array" ref="V323">INDEX(P:P,MAX(U$3:U323))</f>
        <v>IU#2DTR(A)</v>
      </c>
      <c r="W323">
        <f t="shared" ref="W323:W386" ca="1" si="86">IF(LEFT(TRIM(B323),1)="#",IF(ISNUMBER(FIND("DTR",B323)),IF(MID(OFFSET(P323,1,0,1,1),3,1)*1&lt;5,30,60),25),"")</f>
        <v>30</v>
      </c>
      <c r="X323" t="str">
        <f t="shared" ref="X323:X386" si="87">IF(LEFT(TRIM(B323),1)= "#","",IF(MID(P323,3,1)*1&lt;5,11.4,22.8))</f>
        <v/>
      </c>
      <c r="Y323">
        <f t="shared" ref="Y323:Y386" si="88">SUMIF(L:L,L323,I:I)</f>
        <v>616</v>
      </c>
      <c r="Z323" t="str">
        <f t="shared" si="78"/>
        <v>員東</v>
      </c>
    </row>
    <row r="324" spans="1:26" x14ac:dyDescent="0.25">
      <c r="A324" s="118" t="s">
        <v>470</v>
      </c>
      <c r="B324" s="119" t="s">
        <v>481</v>
      </c>
      <c r="C324" s="119">
        <v>99</v>
      </c>
      <c r="D324" s="118" t="s">
        <v>207</v>
      </c>
      <c r="E324" s="118">
        <v>104</v>
      </c>
      <c r="F324" s="118" t="s">
        <v>196</v>
      </c>
      <c r="G324" s="118">
        <v>82</v>
      </c>
      <c r="H324" s="118" t="s">
        <v>177</v>
      </c>
      <c r="I324" s="378">
        <v>104</v>
      </c>
      <c r="J324" s="117">
        <v>60</v>
      </c>
      <c r="K324" s="117" t="s">
        <v>198</v>
      </c>
      <c r="L324" t="str">
        <f t="shared" si="79"/>
        <v>IU27</v>
      </c>
      <c r="M324" t="str">
        <f t="shared" ref="M324:M387" si="89">IF(LEFT(B324,1)="#",IF(LEN(B324)&lt;&gt;5,MID(B324,6,3),""),"")</f>
        <v/>
      </c>
      <c r="N324" t="str">
        <f t="shared" ref="N324:N387" si="90">IF(LEFT(B324,1)="#",IF(LEN(B324)=5,RIGHT(A324,2)&amp;B324,RIGHT(A324,2)&amp;LEFT(B324,2)&amp;"DTR"),"")</f>
        <v/>
      </c>
      <c r="O324" t="str">
        <f t="shared" ref="O324:O387" si="91">IF(LEFT(B324,1)="#",IF(LEN(B324)&lt;&gt;5,IF(LEN(B324)&lt;&gt;7,MID(B324,6,3),"("&amp;MID(B324,3,2)&amp;")"),""),"")</f>
        <v/>
      </c>
      <c r="P324" s="113" t="str">
        <f t="shared" si="80"/>
        <v>IU27</v>
      </c>
      <c r="Q324" s="114">
        <f t="shared" si="81"/>
        <v>104</v>
      </c>
      <c r="R324" s="114">
        <f t="shared" si="82"/>
        <v>95</v>
      </c>
      <c r="S324" s="113">
        <f t="shared" si="83"/>
        <v>82</v>
      </c>
      <c r="T324" s="111">
        <f t="shared" ca="1" si="84"/>
        <v>2.0499999999999998</v>
      </c>
      <c r="U324" s="111" t="str">
        <f t="shared" si="85"/>
        <v/>
      </c>
      <c r="V324" t="str">
        <f t="array" ref="V324">INDEX(P:P,MAX(U$3:U324))</f>
        <v>IU#2DTR(A)</v>
      </c>
      <c r="W324" t="str">
        <f t="shared" ca="1" si="86"/>
        <v/>
      </c>
      <c r="X324">
        <f t="shared" si="87"/>
        <v>11.4</v>
      </c>
      <c r="Y324">
        <f t="shared" si="88"/>
        <v>104</v>
      </c>
      <c r="Z324" t="str">
        <f t="shared" ref="Z324:Z387" si="92">LEFT(A324,2)</f>
        <v>員東</v>
      </c>
    </row>
    <row r="325" spans="1:26" x14ac:dyDescent="0.25">
      <c r="A325" s="118" t="s">
        <v>470</v>
      </c>
      <c r="B325" s="119" t="s">
        <v>482</v>
      </c>
      <c r="C325" s="119">
        <v>240</v>
      </c>
      <c r="D325" s="118" t="s">
        <v>192</v>
      </c>
      <c r="E325" s="118">
        <v>232</v>
      </c>
      <c r="F325" s="118" t="s">
        <v>188</v>
      </c>
      <c r="G325" s="118">
        <v>238</v>
      </c>
      <c r="H325" s="118" t="s">
        <v>192</v>
      </c>
      <c r="I325" s="378">
        <v>240</v>
      </c>
      <c r="J325" s="117">
        <v>56</v>
      </c>
      <c r="K325" s="117" t="s">
        <v>192</v>
      </c>
      <c r="L325" t="str">
        <f t="shared" si="79"/>
        <v>IU28</v>
      </c>
      <c r="M325" t="str">
        <f t="shared" si="89"/>
        <v/>
      </c>
      <c r="N325" t="str">
        <f t="shared" si="90"/>
        <v/>
      </c>
      <c r="O325" t="str">
        <f t="shared" si="91"/>
        <v/>
      </c>
      <c r="P325" s="113" t="str">
        <f t="shared" si="80"/>
        <v>IU28</v>
      </c>
      <c r="Q325" s="114">
        <f t="shared" si="81"/>
        <v>240</v>
      </c>
      <c r="R325" s="114">
        <f t="shared" si="82"/>
        <v>236.66666666666666</v>
      </c>
      <c r="S325" s="113">
        <f t="shared" si="83"/>
        <v>232</v>
      </c>
      <c r="T325" s="111">
        <f t="shared" ca="1" si="84"/>
        <v>4.74</v>
      </c>
      <c r="U325" s="111" t="str">
        <f t="shared" si="85"/>
        <v/>
      </c>
      <c r="V325" t="str">
        <f t="array" ref="V325">INDEX(P:P,MAX(U$3:U325))</f>
        <v>IU#2DTR(A)</v>
      </c>
      <c r="W325" t="str">
        <f t="shared" ca="1" si="86"/>
        <v/>
      </c>
      <c r="X325">
        <f t="shared" si="87"/>
        <v>11.4</v>
      </c>
      <c r="Y325">
        <f t="shared" si="88"/>
        <v>240</v>
      </c>
      <c r="Z325" t="str">
        <f t="shared" si="92"/>
        <v>員東</v>
      </c>
    </row>
    <row r="326" spans="1:26" x14ac:dyDescent="0.25">
      <c r="A326" s="118" t="s">
        <v>470</v>
      </c>
      <c r="B326" s="119" t="s">
        <v>483</v>
      </c>
      <c r="C326" s="119">
        <v>183</v>
      </c>
      <c r="D326" s="118" t="s">
        <v>180</v>
      </c>
      <c r="E326" s="118">
        <v>197</v>
      </c>
      <c r="F326" s="118" t="s">
        <v>179</v>
      </c>
      <c r="G326" s="118">
        <v>152</v>
      </c>
      <c r="H326" s="118" t="s">
        <v>177</v>
      </c>
      <c r="I326" s="378">
        <v>197</v>
      </c>
      <c r="J326" s="117">
        <v>76</v>
      </c>
      <c r="K326" s="117" t="s">
        <v>184</v>
      </c>
      <c r="L326" t="str">
        <f t="shared" si="79"/>
        <v>IU29</v>
      </c>
      <c r="M326" t="str">
        <f t="shared" si="89"/>
        <v/>
      </c>
      <c r="N326" t="str">
        <f t="shared" si="90"/>
        <v/>
      </c>
      <c r="O326" t="str">
        <f t="shared" si="91"/>
        <v/>
      </c>
      <c r="P326" s="113" t="str">
        <f t="shared" si="80"/>
        <v>IU29</v>
      </c>
      <c r="Q326" s="114">
        <f t="shared" si="81"/>
        <v>197</v>
      </c>
      <c r="R326" s="114">
        <f t="shared" si="82"/>
        <v>177.33333333333334</v>
      </c>
      <c r="S326" s="113">
        <f t="shared" si="83"/>
        <v>152</v>
      </c>
      <c r="T326" s="111">
        <f t="shared" ca="1" si="84"/>
        <v>3.89</v>
      </c>
      <c r="U326" s="111" t="str">
        <f t="shared" si="85"/>
        <v/>
      </c>
      <c r="V326" t="str">
        <f t="array" ref="V326">INDEX(P:P,MAX(U$3:U326))</f>
        <v>IU#2DTR(A)</v>
      </c>
      <c r="W326" t="str">
        <f t="shared" ca="1" si="86"/>
        <v/>
      </c>
      <c r="X326">
        <f t="shared" si="87"/>
        <v>11.4</v>
      </c>
      <c r="Y326">
        <f t="shared" si="88"/>
        <v>197</v>
      </c>
      <c r="Z326" t="str">
        <f t="shared" si="92"/>
        <v>員東</v>
      </c>
    </row>
    <row r="327" spans="1:26" x14ac:dyDescent="0.25">
      <c r="A327" s="118" t="s">
        <v>470</v>
      </c>
      <c r="B327" s="119" t="s">
        <v>484</v>
      </c>
      <c r="C327" s="119">
        <v>125</v>
      </c>
      <c r="D327" s="118" t="s">
        <v>177</v>
      </c>
      <c r="E327" s="118">
        <v>84</v>
      </c>
      <c r="F327" s="118" t="s">
        <v>207</v>
      </c>
      <c r="G327" s="118">
        <v>148</v>
      </c>
      <c r="H327" s="118" t="s">
        <v>184</v>
      </c>
      <c r="I327" s="378">
        <v>148</v>
      </c>
      <c r="J327" s="117">
        <v>69</v>
      </c>
      <c r="K327" s="117" t="s">
        <v>203</v>
      </c>
      <c r="L327" t="str">
        <f t="shared" si="79"/>
        <v>IU30</v>
      </c>
      <c r="M327" t="str">
        <f t="shared" si="89"/>
        <v/>
      </c>
      <c r="N327" t="str">
        <f t="shared" si="90"/>
        <v/>
      </c>
      <c r="O327" t="str">
        <f t="shared" si="91"/>
        <v/>
      </c>
      <c r="P327" s="113" t="str">
        <f t="shared" si="80"/>
        <v>IU30</v>
      </c>
      <c r="Q327" s="114">
        <f t="shared" si="81"/>
        <v>148</v>
      </c>
      <c r="R327" s="114">
        <f t="shared" si="82"/>
        <v>119</v>
      </c>
      <c r="S327" s="113">
        <f t="shared" si="83"/>
        <v>84</v>
      </c>
      <c r="T327" s="111">
        <f t="shared" ca="1" si="84"/>
        <v>2.92</v>
      </c>
      <c r="U327" s="111" t="str">
        <f t="shared" si="85"/>
        <v/>
      </c>
      <c r="V327" t="str">
        <f t="array" ref="V327">INDEX(P:P,MAX(U$3:U327))</f>
        <v>IU#2DTR(A)</v>
      </c>
      <c r="W327" t="str">
        <f t="shared" ca="1" si="86"/>
        <v/>
      </c>
      <c r="X327">
        <f t="shared" si="87"/>
        <v>11.4</v>
      </c>
      <c r="Y327">
        <f t="shared" si="88"/>
        <v>148</v>
      </c>
      <c r="Z327" t="str">
        <f t="shared" si="92"/>
        <v>員東</v>
      </c>
    </row>
    <row r="328" spans="1:26" x14ac:dyDescent="0.25">
      <c r="A328" s="118" t="s">
        <v>470</v>
      </c>
      <c r="B328" s="119" t="s">
        <v>283</v>
      </c>
      <c r="C328" s="119">
        <v>546</v>
      </c>
      <c r="D328" s="118" t="s">
        <v>177</v>
      </c>
      <c r="E328" s="118">
        <v>616</v>
      </c>
      <c r="F328" s="118" t="s">
        <v>179</v>
      </c>
      <c r="G328" s="118">
        <v>544</v>
      </c>
      <c r="H328" s="118" t="s">
        <v>177</v>
      </c>
      <c r="I328" s="378">
        <v>616</v>
      </c>
      <c r="J328" s="117"/>
      <c r="K328" s="117"/>
      <c r="L328" t="str">
        <f t="shared" si="79"/>
        <v>IU#2DTR(B)</v>
      </c>
      <c r="M328" t="str">
        <f t="shared" si="89"/>
        <v>(B)</v>
      </c>
      <c r="N328" t="str">
        <f t="shared" si="90"/>
        <v>IU#2DTR</v>
      </c>
      <c r="O328" t="str">
        <f t="shared" si="91"/>
        <v>(B)</v>
      </c>
      <c r="P328" s="113" t="str">
        <f t="shared" si="80"/>
        <v>IU#2DTR(B)</v>
      </c>
      <c r="Q328" s="114">
        <f t="shared" si="81"/>
        <v>616</v>
      </c>
      <c r="R328" s="114">
        <f t="shared" si="82"/>
        <v>568.66666666666663</v>
      </c>
      <c r="S328" s="113">
        <f t="shared" si="83"/>
        <v>544</v>
      </c>
      <c r="T328" s="111">
        <f t="shared" ca="1" si="84"/>
        <v>12.16</v>
      </c>
      <c r="U328" s="111">
        <f t="shared" si="85"/>
        <v>328</v>
      </c>
      <c r="V328" t="str">
        <f t="array" ref="V328">INDEX(P:P,MAX(U$3:U328))</f>
        <v>IU#2DTR(B)</v>
      </c>
      <c r="W328">
        <f t="shared" ca="1" si="86"/>
        <v>30</v>
      </c>
      <c r="X328" t="str">
        <f t="shared" si="87"/>
        <v/>
      </c>
      <c r="Y328">
        <f t="shared" si="88"/>
        <v>616</v>
      </c>
      <c r="Z328" t="str">
        <f t="shared" si="92"/>
        <v>員東</v>
      </c>
    </row>
    <row r="329" spans="1:26" x14ac:dyDescent="0.25">
      <c r="A329" s="118" t="s">
        <v>470</v>
      </c>
      <c r="B329" s="119" t="s">
        <v>485</v>
      </c>
      <c r="C329" s="119">
        <v>186</v>
      </c>
      <c r="D329" s="118" t="s">
        <v>177</v>
      </c>
      <c r="E329" s="118">
        <v>204</v>
      </c>
      <c r="F329" s="118" t="s">
        <v>177</v>
      </c>
      <c r="G329" s="118">
        <v>170</v>
      </c>
      <c r="H329" s="118" t="s">
        <v>177</v>
      </c>
      <c r="I329" s="378">
        <v>204</v>
      </c>
      <c r="J329" s="117">
        <v>59</v>
      </c>
      <c r="K329" s="117" t="s">
        <v>184</v>
      </c>
      <c r="L329" t="str">
        <f t="shared" si="79"/>
        <v>IU35</v>
      </c>
      <c r="M329" t="str">
        <f t="shared" si="89"/>
        <v/>
      </c>
      <c r="N329" t="str">
        <f t="shared" si="90"/>
        <v/>
      </c>
      <c r="O329" t="str">
        <f t="shared" si="91"/>
        <v/>
      </c>
      <c r="P329" s="113" t="str">
        <f t="shared" si="80"/>
        <v>IU35</v>
      </c>
      <c r="Q329" s="114">
        <f t="shared" si="81"/>
        <v>204</v>
      </c>
      <c r="R329" s="114">
        <f t="shared" si="82"/>
        <v>186.66666666666666</v>
      </c>
      <c r="S329" s="113">
        <f t="shared" si="83"/>
        <v>170</v>
      </c>
      <c r="T329" s="111">
        <f t="shared" ca="1" si="84"/>
        <v>4.03</v>
      </c>
      <c r="U329" s="111" t="str">
        <f t="shared" si="85"/>
        <v/>
      </c>
      <c r="V329" t="str">
        <f t="array" ref="V329">INDEX(P:P,MAX(U$3:U329))</f>
        <v>IU#2DTR(B)</v>
      </c>
      <c r="W329" t="str">
        <f t="shared" ca="1" si="86"/>
        <v/>
      </c>
      <c r="X329">
        <f t="shared" si="87"/>
        <v>11.4</v>
      </c>
      <c r="Y329">
        <f t="shared" si="88"/>
        <v>204</v>
      </c>
      <c r="Z329" t="str">
        <f t="shared" si="92"/>
        <v>員東</v>
      </c>
    </row>
    <row r="330" spans="1:26" x14ac:dyDescent="0.25">
      <c r="A330" s="118" t="s">
        <v>470</v>
      </c>
      <c r="B330" s="119" t="s">
        <v>486</v>
      </c>
      <c r="C330" s="119">
        <v>205</v>
      </c>
      <c r="D330" s="118" t="s">
        <v>188</v>
      </c>
      <c r="E330" s="118">
        <v>215</v>
      </c>
      <c r="F330" s="118" t="s">
        <v>188</v>
      </c>
      <c r="G330" s="118">
        <v>164</v>
      </c>
      <c r="H330" s="118" t="s">
        <v>188</v>
      </c>
      <c r="I330" s="378">
        <v>215</v>
      </c>
      <c r="J330" s="117">
        <v>56</v>
      </c>
      <c r="K330" s="117" t="s">
        <v>188</v>
      </c>
      <c r="L330" t="str">
        <f t="shared" si="79"/>
        <v>IU36</v>
      </c>
      <c r="M330" t="str">
        <f t="shared" si="89"/>
        <v/>
      </c>
      <c r="N330" t="str">
        <f t="shared" si="90"/>
        <v/>
      </c>
      <c r="O330" t="str">
        <f t="shared" si="91"/>
        <v/>
      </c>
      <c r="P330" s="113" t="str">
        <f t="shared" si="80"/>
        <v>IU36</v>
      </c>
      <c r="Q330" s="114">
        <f t="shared" si="81"/>
        <v>215</v>
      </c>
      <c r="R330" s="114">
        <f t="shared" si="82"/>
        <v>194.66666666666666</v>
      </c>
      <c r="S330" s="113">
        <f t="shared" si="83"/>
        <v>164</v>
      </c>
      <c r="T330" s="111">
        <f t="shared" ca="1" si="84"/>
        <v>4.25</v>
      </c>
      <c r="U330" s="111" t="str">
        <f t="shared" si="85"/>
        <v/>
      </c>
      <c r="V330" t="str">
        <f t="array" ref="V330">INDEX(P:P,MAX(U$3:U330))</f>
        <v>IU#2DTR(B)</v>
      </c>
      <c r="W330" t="str">
        <f t="shared" ca="1" si="86"/>
        <v/>
      </c>
      <c r="X330">
        <f t="shared" si="87"/>
        <v>11.4</v>
      </c>
      <c r="Y330">
        <f t="shared" si="88"/>
        <v>215</v>
      </c>
      <c r="Z330" t="str">
        <f t="shared" si="92"/>
        <v>員東</v>
      </c>
    </row>
    <row r="331" spans="1:26" x14ac:dyDescent="0.25">
      <c r="A331" s="118" t="s">
        <v>470</v>
      </c>
      <c r="B331" s="119" t="s">
        <v>487</v>
      </c>
      <c r="C331" s="119">
        <v>55</v>
      </c>
      <c r="D331" s="118" t="s">
        <v>184</v>
      </c>
      <c r="E331" s="118">
        <v>46</v>
      </c>
      <c r="F331" s="118" t="s">
        <v>184</v>
      </c>
      <c r="G331" s="118">
        <v>47</v>
      </c>
      <c r="H331" s="118" t="s">
        <v>188</v>
      </c>
      <c r="I331" s="378">
        <v>55</v>
      </c>
      <c r="J331" s="117">
        <v>33</v>
      </c>
      <c r="K331" s="117" t="s">
        <v>184</v>
      </c>
      <c r="L331" t="str">
        <f t="shared" si="79"/>
        <v>IU37</v>
      </c>
      <c r="M331" t="str">
        <f t="shared" si="89"/>
        <v/>
      </c>
      <c r="N331" t="str">
        <f t="shared" si="90"/>
        <v/>
      </c>
      <c r="O331" t="str">
        <f t="shared" si="91"/>
        <v/>
      </c>
      <c r="P331" s="113" t="str">
        <f t="shared" si="80"/>
        <v>IU37</v>
      </c>
      <c r="Q331" s="114">
        <f t="shared" si="81"/>
        <v>55</v>
      </c>
      <c r="R331" s="114">
        <f t="shared" si="82"/>
        <v>49.333333333333336</v>
      </c>
      <c r="S331" s="113">
        <f t="shared" si="83"/>
        <v>46</v>
      </c>
      <c r="T331" s="111">
        <f t="shared" ca="1" si="84"/>
        <v>1.0900000000000001</v>
      </c>
      <c r="U331" s="111" t="str">
        <f t="shared" si="85"/>
        <v/>
      </c>
      <c r="V331" t="str">
        <f t="array" ref="V331">INDEX(P:P,MAX(U$3:U331))</f>
        <v>IU#2DTR(B)</v>
      </c>
      <c r="W331" t="str">
        <f t="shared" ca="1" si="86"/>
        <v/>
      </c>
      <c r="X331">
        <f t="shared" si="87"/>
        <v>11.4</v>
      </c>
      <c r="Y331">
        <f t="shared" si="88"/>
        <v>55</v>
      </c>
      <c r="Z331" t="str">
        <f t="shared" si="92"/>
        <v>員東</v>
      </c>
    </row>
    <row r="332" spans="1:26" x14ac:dyDescent="0.25">
      <c r="A332" s="118" t="s">
        <v>470</v>
      </c>
      <c r="B332" s="119" t="s">
        <v>488</v>
      </c>
      <c r="C332" s="119">
        <v>163</v>
      </c>
      <c r="D332" s="118" t="s">
        <v>200</v>
      </c>
      <c r="E332" s="118">
        <v>192</v>
      </c>
      <c r="F332" s="118" t="s">
        <v>200</v>
      </c>
      <c r="G332" s="118">
        <v>205</v>
      </c>
      <c r="H332" s="118" t="s">
        <v>200</v>
      </c>
      <c r="I332" s="378">
        <v>205</v>
      </c>
      <c r="J332" s="117">
        <v>61</v>
      </c>
      <c r="K332" s="117" t="s">
        <v>180</v>
      </c>
      <c r="L332" t="str">
        <f t="shared" si="79"/>
        <v>IU38</v>
      </c>
      <c r="M332" t="str">
        <f t="shared" si="89"/>
        <v/>
      </c>
      <c r="N332" t="str">
        <f t="shared" si="90"/>
        <v/>
      </c>
      <c r="O332" t="str">
        <f t="shared" si="91"/>
        <v/>
      </c>
      <c r="P332" s="113" t="str">
        <f t="shared" si="80"/>
        <v>IU38</v>
      </c>
      <c r="Q332" s="114">
        <f t="shared" si="81"/>
        <v>205</v>
      </c>
      <c r="R332" s="114">
        <f t="shared" si="82"/>
        <v>186.66666666666666</v>
      </c>
      <c r="S332" s="113">
        <f t="shared" si="83"/>
        <v>163</v>
      </c>
      <c r="T332" s="111">
        <f t="shared" ca="1" si="84"/>
        <v>4.05</v>
      </c>
      <c r="U332" s="111" t="str">
        <f t="shared" si="85"/>
        <v/>
      </c>
      <c r="V332" t="str">
        <f t="array" ref="V332">INDEX(P:P,MAX(U$3:U332))</f>
        <v>IU#2DTR(B)</v>
      </c>
      <c r="W332" t="str">
        <f t="shared" ca="1" si="86"/>
        <v/>
      </c>
      <c r="X332">
        <f t="shared" si="87"/>
        <v>11.4</v>
      </c>
      <c r="Y332">
        <f t="shared" si="88"/>
        <v>205</v>
      </c>
      <c r="Z332" t="str">
        <f t="shared" si="92"/>
        <v>員東</v>
      </c>
    </row>
    <row r="333" spans="1:26" x14ac:dyDescent="0.25">
      <c r="A333" s="118" t="s">
        <v>470</v>
      </c>
      <c r="B333" s="119" t="s">
        <v>489</v>
      </c>
      <c r="C333" s="119">
        <v>65</v>
      </c>
      <c r="D333" s="118" t="s">
        <v>188</v>
      </c>
      <c r="E333" s="118">
        <v>42</v>
      </c>
      <c r="F333" s="118" t="s">
        <v>177</v>
      </c>
      <c r="G333" s="118">
        <v>90</v>
      </c>
      <c r="H333" s="118" t="s">
        <v>176</v>
      </c>
      <c r="I333" s="378">
        <v>90</v>
      </c>
      <c r="J333" s="117">
        <v>48</v>
      </c>
      <c r="K333" s="117" t="s">
        <v>196</v>
      </c>
      <c r="L333" t="str">
        <f t="shared" si="79"/>
        <v>IU39</v>
      </c>
      <c r="M333" t="str">
        <f t="shared" si="89"/>
        <v/>
      </c>
      <c r="N333" t="str">
        <f t="shared" si="90"/>
        <v/>
      </c>
      <c r="O333" t="str">
        <f t="shared" si="91"/>
        <v/>
      </c>
      <c r="P333" s="113" t="str">
        <f t="shared" si="80"/>
        <v>IU39</v>
      </c>
      <c r="Q333" s="114">
        <f t="shared" si="81"/>
        <v>90</v>
      </c>
      <c r="R333" s="114">
        <f t="shared" si="82"/>
        <v>65.666666666666671</v>
      </c>
      <c r="S333" s="113">
        <f t="shared" si="83"/>
        <v>42</v>
      </c>
      <c r="T333" s="111">
        <f t="shared" ca="1" si="84"/>
        <v>1.78</v>
      </c>
      <c r="U333" s="111" t="str">
        <f t="shared" si="85"/>
        <v/>
      </c>
      <c r="V333" t="str">
        <f t="array" ref="V333">INDEX(P:P,MAX(U$3:U333))</f>
        <v>IU#2DTR(B)</v>
      </c>
      <c r="W333" t="str">
        <f t="shared" ca="1" si="86"/>
        <v/>
      </c>
      <c r="X333">
        <f t="shared" si="87"/>
        <v>11.4</v>
      </c>
      <c r="Y333">
        <f t="shared" si="88"/>
        <v>90</v>
      </c>
      <c r="Z333" t="str">
        <f t="shared" si="92"/>
        <v>員東</v>
      </c>
    </row>
    <row r="334" spans="1:26" x14ac:dyDescent="0.25">
      <c r="A334" s="118" t="s">
        <v>470</v>
      </c>
      <c r="B334" s="119" t="s">
        <v>490</v>
      </c>
      <c r="C334" s="119">
        <v>104</v>
      </c>
      <c r="D334" s="118" t="s">
        <v>184</v>
      </c>
      <c r="E334" s="118">
        <v>163</v>
      </c>
      <c r="F334" s="118" t="s">
        <v>177</v>
      </c>
      <c r="G334" s="118">
        <v>109</v>
      </c>
      <c r="H334" s="118" t="s">
        <v>177</v>
      </c>
      <c r="I334" s="378">
        <v>163</v>
      </c>
      <c r="J334" s="117">
        <v>63</v>
      </c>
      <c r="K334" s="117" t="s">
        <v>179</v>
      </c>
      <c r="L334" t="str">
        <f t="shared" si="79"/>
        <v>IU40</v>
      </c>
      <c r="M334" t="str">
        <f t="shared" si="89"/>
        <v/>
      </c>
      <c r="N334" t="str">
        <f t="shared" si="90"/>
        <v/>
      </c>
      <c r="O334" t="str">
        <f t="shared" si="91"/>
        <v/>
      </c>
      <c r="P334" s="113" t="str">
        <f t="shared" si="80"/>
        <v>IU40</v>
      </c>
      <c r="Q334" s="114">
        <f t="shared" si="81"/>
        <v>163</v>
      </c>
      <c r="R334" s="114">
        <f t="shared" si="82"/>
        <v>125.33333333333333</v>
      </c>
      <c r="S334" s="113">
        <f t="shared" si="83"/>
        <v>104</v>
      </c>
      <c r="T334" s="111">
        <f t="shared" ca="1" si="84"/>
        <v>3.22</v>
      </c>
      <c r="U334" s="111" t="str">
        <f t="shared" si="85"/>
        <v/>
      </c>
      <c r="V334" t="str">
        <f t="array" ref="V334">INDEX(P:P,MAX(U$3:U334))</f>
        <v>IU#2DTR(B)</v>
      </c>
      <c r="W334" t="str">
        <f t="shared" ca="1" si="86"/>
        <v/>
      </c>
      <c r="X334">
        <f t="shared" si="87"/>
        <v>11.4</v>
      </c>
      <c r="Y334">
        <f t="shared" si="88"/>
        <v>163</v>
      </c>
      <c r="Z334" t="str">
        <f t="shared" si="92"/>
        <v>員東</v>
      </c>
    </row>
    <row r="335" spans="1:26" x14ac:dyDescent="0.25">
      <c r="A335" s="118" t="s">
        <v>491</v>
      </c>
      <c r="B335" s="119" t="s">
        <v>254</v>
      </c>
      <c r="C335" s="119">
        <v>544</v>
      </c>
      <c r="D335" s="118" t="s">
        <v>177</v>
      </c>
      <c r="E335" s="118">
        <v>627</v>
      </c>
      <c r="F335" s="118" t="s">
        <v>179</v>
      </c>
      <c r="G335" s="118">
        <v>657</v>
      </c>
      <c r="H335" s="118" t="s">
        <v>183</v>
      </c>
      <c r="I335" s="378">
        <v>657</v>
      </c>
      <c r="J335" s="117"/>
      <c r="K335" s="117"/>
      <c r="L335" t="str">
        <f t="shared" si="79"/>
        <v>9C#1DTR(A)</v>
      </c>
      <c r="M335" t="str">
        <f t="shared" si="89"/>
        <v>(A)</v>
      </c>
      <c r="N335" t="str">
        <f t="shared" si="90"/>
        <v>9C#1DTR</v>
      </c>
      <c r="O335" t="str">
        <f t="shared" si="91"/>
        <v>(A)</v>
      </c>
      <c r="P335" s="113" t="str">
        <f t="shared" si="80"/>
        <v>9C#1DTR(A)</v>
      </c>
      <c r="Q335" s="114">
        <f t="shared" si="81"/>
        <v>657</v>
      </c>
      <c r="R335" s="114">
        <f t="shared" si="82"/>
        <v>609.33333333333337</v>
      </c>
      <c r="S335" s="113">
        <f t="shared" si="83"/>
        <v>544</v>
      </c>
      <c r="T335" s="111">
        <f t="shared" ca="1" si="84"/>
        <v>12.97</v>
      </c>
      <c r="U335" s="111">
        <f t="shared" si="85"/>
        <v>335</v>
      </c>
      <c r="V335" t="str">
        <f t="array" ref="V335">INDEX(P:P,MAX(U$3:U335))</f>
        <v>9C#1DTR(A)</v>
      </c>
      <c r="W335">
        <f t="shared" ca="1" si="86"/>
        <v>30</v>
      </c>
      <c r="X335" t="str">
        <f t="shared" si="87"/>
        <v/>
      </c>
      <c r="Y335">
        <f t="shared" si="88"/>
        <v>657</v>
      </c>
      <c r="Z335" t="str">
        <f t="shared" si="92"/>
        <v>員林</v>
      </c>
    </row>
    <row r="336" spans="1:26" x14ac:dyDescent="0.25">
      <c r="A336" s="118" t="s">
        <v>491</v>
      </c>
      <c r="B336" s="119" t="s">
        <v>492</v>
      </c>
      <c r="C336" s="119">
        <v>84</v>
      </c>
      <c r="D336" s="118" t="s">
        <v>203</v>
      </c>
      <c r="E336" s="118">
        <v>135</v>
      </c>
      <c r="F336" s="118" t="s">
        <v>203</v>
      </c>
      <c r="G336" s="118">
        <v>110</v>
      </c>
      <c r="H336" s="118" t="s">
        <v>203</v>
      </c>
      <c r="I336" s="378">
        <v>135</v>
      </c>
      <c r="J336" s="117">
        <v>61</v>
      </c>
      <c r="K336" s="117" t="s">
        <v>192</v>
      </c>
      <c r="L336" t="str">
        <f t="shared" si="79"/>
        <v>9C20</v>
      </c>
      <c r="M336" t="str">
        <f t="shared" si="89"/>
        <v/>
      </c>
      <c r="N336" t="str">
        <f t="shared" si="90"/>
        <v/>
      </c>
      <c r="O336" t="str">
        <f t="shared" si="91"/>
        <v/>
      </c>
      <c r="P336" s="113" t="str">
        <f t="shared" si="80"/>
        <v>9C20</v>
      </c>
      <c r="Q336" s="114">
        <f t="shared" si="81"/>
        <v>135</v>
      </c>
      <c r="R336" s="114">
        <f t="shared" si="82"/>
        <v>109.66666666666667</v>
      </c>
      <c r="S336" s="113">
        <f t="shared" si="83"/>
        <v>84</v>
      </c>
      <c r="T336" s="111">
        <f t="shared" ca="1" si="84"/>
        <v>2.67</v>
      </c>
      <c r="U336" s="111" t="str">
        <f t="shared" si="85"/>
        <v/>
      </c>
      <c r="V336" t="str">
        <f t="array" ref="V336">INDEX(P:P,MAX(U$3:U336))</f>
        <v>9C#1DTR(A)</v>
      </c>
      <c r="W336" t="str">
        <f t="shared" ca="1" si="86"/>
        <v/>
      </c>
      <c r="X336">
        <f t="shared" si="87"/>
        <v>11.4</v>
      </c>
      <c r="Y336">
        <f t="shared" si="88"/>
        <v>135</v>
      </c>
      <c r="Z336" t="str">
        <f t="shared" si="92"/>
        <v>員林</v>
      </c>
    </row>
    <row r="337" spans="1:26" x14ac:dyDescent="0.25">
      <c r="A337" s="118" t="s">
        <v>491</v>
      </c>
      <c r="B337" s="119" t="s">
        <v>493</v>
      </c>
      <c r="C337" s="119">
        <v>0</v>
      </c>
      <c r="D337" s="118" t="s">
        <v>194</v>
      </c>
      <c r="E337" s="118">
        <v>0</v>
      </c>
      <c r="F337" s="118" t="s">
        <v>194</v>
      </c>
      <c r="G337" s="118">
        <v>0</v>
      </c>
      <c r="H337" s="118" t="s">
        <v>194</v>
      </c>
      <c r="I337" s="378">
        <v>0</v>
      </c>
      <c r="J337" s="117">
        <v>0</v>
      </c>
      <c r="K337" s="117" t="s">
        <v>194</v>
      </c>
      <c r="L337" t="str">
        <f t="shared" si="79"/>
        <v>9C21</v>
      </c>
      <c r="M337" t="str">
        <f t="shared" si="89"/>
        <v/>
      </c>
      <c r="N337" t="str">
        <f t="shared" si="90"/>
        <v/>
      </c>
      <c r="O337" t="str">
        <f t="shared" si="91"/>
        <v/>
      </c>
      <c r="P337" s="113" t="str">
        <f t="shared" si="80"/>
        <v>9C21</v>
      </c>
      <c r="Q337" s="114">
        <f t="shared" si="81"/>
        <v>0</v>
      </c>
      <c r="R337" s="114">
        <f t="shared" si="82"/>
        <v>0</v>
      </c>
      <c r="S337" s="113">
        <f t="shared" si="83"/>
        <v>0</v>
      </c>
      <c r="T337" s="111">
        <f t="shared" ca="1" si="84"/>
        <v>0</v>
      </c>
      <c r="U337" s="111" t="str">
        <f t="shared" si="85"/>
        <v/>
      </c>
      <c r="V337" t="str">
        <f t="array" ref="V337">INDEX(P:P,MAX(U$3:U337))</f>
        <v>9C#1DTR(A)</v>
      </c>
      <c r="W337" t="str">
        <f t="shared" ca="1" si="86"/>
        <v/>
      </c>
      <c r="X337">
        <f t="shared" si="87"/>
        <v>11.4</v>
      </c>
      <c r="Y337">
        <f t="shared" si="88"/>
        <v>0</v>
      </c>
      <c r="Z337" t="str">
        <f t="shared" si="92"/>
        <v>員林</v>
      </c>
    </row>
    <row r="338" spans="1:26" x14ac:dyDescent="0.25">
      <c r="A338" s="118" t="s">
        <v>491</v>
      </c>
      <c r="B338" s="119" t="s">
        <v>494</v>
      </c>
      <c r="C338" s="119">
        <v>234</v>
      </c>
      <c r="D338" s="118" t="s">
        <v>183</v>
      </c>
      <c r="E338" s="118">
        <v>190</v>
      </c>
      <c r="F338" s="118" t="s">
        <v>179</v>
      </c>
      <c r="G338" s="118">
        <v>229</v>
      </c>
      <c r="H338" s="118" t="s">
        <v>183</v>
      </c>
      <c r="I338" s="378">
        <v>234</v>
      </c>
      <c r="J338" s="117">
        <v>57</v>
      </c>
      <c r="K338" s="117" t="s">
        <v>214</v>
      </c>
      <c r="L338" t="str">
        <f t="shared" si="79"/>
        <v>9C22</v>
      </c>
      <c r="M338" t="str">
        <f t="shared" si="89"/>
        <v/>
      </c>
      <c r="N338" t="str">
        <f t="shared" si="90"/>
        <v/>
      </c>
      <c r="O338" t="str">
        <f t="shared" si="91"/>
        <v/>
      </c>
      <c r="P338" s="113" t="str">
        <f t="shared" si="80"/>
        <v>9C22</v>
      </c>
      <c r="Q338" s="114">
        <f t="shared" si="81"/>
        <v>234</v>
      </c>
      <c r="R338" s="114">
        <f t="shared" si="82"/>
        <v>217.66666666666666</v>
      </c>
      <c r="S338" s="113">
        <f t="shared" si="83"/>
        <v>190</v>
      </c>
      <c r="T338" s="111">
        <f t="shared" ca="1" si="84"/>
        <v>4.62</v>
      </c>
      <c r="U338" s="111" t="str">
        <f t="shared" si="85"/>
        <v/>
      </c>
      <c r="V338" t="str">
        <f t="array" ref="V338">INDEX(P:P,MAX(U$3:U338))</f>
        <v>9C#1DTR(A)</v>
      </c>
      <c r="W338" t="str">
        <f t="shared" ca="1" si="86"/>
        <v/>
      </c>
      <c r="X338">
        <f t="shared" si="87"/>
        <v>11.4</v>
      </c>
      <c r="Y338">
        <f t="shared" si="88"/>
        <v>234</v>
      </c>
      <c r="Z338" t="str">
        <f t="shared" si="92"/>
        <v>員林</v>
      </c>
    </row>
    <row r="339" spans="1:26" x14ac:dyDescent="0.25">
      <c r="A339" s="118" t="s">
        <v>491</v>
      </c>
      <c r="B339" s="119" t="s">
        <v>495</v>
      </c>
      <c r="C339" s="119">
        <v>165</v>
      </c>
      <c r="D339" s="118" t="s">
        <v>188</v>
      </c>
      <c r="E339" s="118">
        <v>228</v>
      </c>
      <c r="F339" s="118" t="s">
        <v>177</v>
      </c>
      <c r="G339" s="118">
        <v>245</v>
      </c>
      <c r="H339" s="118" t="s">
        <v>188</v>
      </c>
      <c r="I339" s="378">
        <v>245</v>
      </c>
      <c r="J339" s="117">
        <v>102</v>
      </c>
      <c r="K339" s="117" t="s">
        <v>200</v>
      </c>
      <c r="L339" t="str">
        <f t="shared" si="79"/>
        <v>9C23</v>
      </c>
      <c r="M339" t="str">
        <f t="shared" si="89"/>
        <v/>
      </c>
      <c r="N339" t="str">
        <f t="shared" si="90"/>
        <v/>
      </c>
      <c r="O339" t="str">
        <f t="shared" si="91"/>
        <v/>
      </c>
      <c r="P339" s="113" t="str">
        <f t="shared" si="80"/>
        <v>9C23</v>
      </c>
      <c r="Q339" s="114">
        <f t="shared" si="81"/>
        <v>245</v>
      </c>
      <c r="R339" s="114">
        <f t="shared" si="82"/>
        <v>212.66666666666666</v>
      </c>
      <c r="S339" s="113">
        <f t="shared" si="83"/>
        <v>165</v>
      </c>
      <c r="T339" s="111">
        <f t="shared" ca="1" si="84"/>
        <v>4.84</v>
      </c>
      <c r="U339" s="111" t="str">
        <f t="shared" si="85"/>
        <v/>
      </c>
      <c r="V339" t="str">
        <f t="array" ref="V339">INDEX(P:P,MAX(U$3:U339))</f>
        <v>9C#1DTR(A)</v>
      </c>
      <c r="W339" t="str">
        <f t="shared" ca="1" si="86"/>
        <v/>
      </c>
      <c r="X339">
        <f t="shared" si="87"/>
        <v>11.4</v>
      </c>
      <c r="Y339">
        <f t="shared" si="88"/>
        <v>245</v>
      </c>
      <c r="Z339" t="str">
        <f t="shared" si="92"/>
        <v>員林</v>
      </c>
    </row>
    <row r="340" spans="1:26" x14ac:dyDescent="0.25">
      <c r="A340" s="118" t="s">
        <v>491</v>
      </c>
      <c r="B340" s="119" t="s">
        <v>496</v>
      </c>
      <c r="C340" s="119">
        <v>109</v>
      </c>
      <c r="D340" s="118" t="s">
        <v>177</v>
      </c>
      <c r="E340" s="118">
        <v>109</v>
      </c>
      <c r="F340" s="118" t="s">
        <v>192</v>
      </c>
      <c r="G340" s="118">
        <v>128</v>
      </c>
      <c r="H340" s="118" t="s">
        <v>192</v>
      </c>
      <c r="I340" s="378">
        <v>128</v>
      </c>
      <c r="J340" s="117">
        <v>51</v>
      </c>
      <c r="K340" s="117" t="s">
        <v>192</v>
      </c>
      <c r="L340" t="str">
        <f t="shared" si="79"/>
        <v>9C24</v>
      </c>
      <c r="M340" t="str">
        <f t="shared" si="89"/>
        <v/>
      </c>
      <c r="N340" t="str">
        <f t="shared" si="90"/>
        <v/>
      </c>
      <c r="O340" t="str">
        <f t="shared" si="91"/>
        <v/>
      </c>
      <c r="P340" s="113" t="str">
        <f t="shared" si="80"/>
        <v>9C24</v>
      </c>
      <c r="Q340" s="114">
        <f t="shared" si="81"/>
        <v>128</v>
      </c>
      <c r="R340" s="114">
        <f t="shared" si="82"/>
        <v>115.33333333333333</v>
      </c>
      <c r="S340" s="113">
        <f t="shared" si="83"/>
        <v>109</v>
      </c>
      <c r="T340" s="111">
        <f t="shared" ca="1" si="84"/>
        <v>2.5299999999999998</v>
      </c>
      <c r="U340" s="111" t="str">
        <f t="shared" si="85"/>
        <v/>
      </c>
      <c r="V340" t="str">
        <f t="array" ref="V340">INDEX(P:P,MAX(U$3:U340))</f>
        <v>9C#1DTR(A)</v>
      </c>
      <c r="W340" t="str">
        <f t="shared" ca="1" si="86"/>
        <v/>
      </c>
      <c r="X340">
        <f t="shared" si="87"/>
        <v>11.4</v>
      </c>
      <c r="Y340">
        <f t="shared" si="88"/>
        <v>128</v>
      </c>
      <c r="Z340" t="str">
        <f t="shared" si="92"/>
        <v>員林</v>
      </c>
    </row>
    <row r="341" spans="1:26" x14ac:dyDescent="0.25">
      <c r="A341" s="118" t="s">
        <v>491</v>
      </c>
      <c r="B341" s="119" t="s">
        <v>295</v>
      </c>
      <c r="C341" s="119">
        <v>645</v>
      </c>
      <c r="D341" s="118" t="s">
        <v>207</v>
      </c>
      <c r="E341" s="118">
        <v>622</v>
      </c>
      <c r="F341" s="118" t="s">
        <v>207</v>
      </c>
      <c r="G341" s="118">
        <v>604</v>
      </c>
      <c r="H341" s="118" t="s">
        <v>207</v>
      </c>
      <c r="I341" s="378">
        <v>645</v>
      </c>
      <c r="J341" s="117"/>
      <c r="K341" s="117"/>
      <c r="L341" t="str">
        <f t="shared" si="79"/>
        <v>9C#1DTR(B)</v>
      </c>
      <c r="M341" t="str">
        <f t="shared" si="89"/>
        <v>(B)</v>
      </c>
      <c r="N341" t="str">
        <f t="shared" si="90"/>
        <v>9C#1DTR</v>
      </c>
      <c r="O341" t="str">
        <f t="shared" si="91"/>
        <v>(B)</v>
      </c>
      <c r="P341" s="113" t="str">
        <f t="shared" si="80"/>
        <v>9C#1DTR(B)</v>
      </c>
      <c r="Q341" s="114">
        <f t="shared" si="81"/>
        <v>645</v>
      </c>
      <c r="R341" s="114">
        <f t="shared" si="82"/>
        <v>623.66666666666663</v>
      </c>
      <c r="S341" s="113">
        <f t="shared" si="83"/>
        <v>604</v>
      </c>
      <c r="T341" s="111">
        <f t="shared" ca="1" si="84"/>
        <v>12.74</v>
      </c>
      <c r="U341" s="111">
        <f t="shared" si="85"/>
        <v>341</v>
      </c>
      <c r="V341" t="str">
        <f t="array" ref="V341">INDEX(P:P,MAX(U$3:U341))</f>
        <v>9C#1DTR(B)</v>
      </c>
      <c r="W341">
        <f t="shared" ca="1" si="86"/>
        <v>30</v>
      </c>
      <c r="X341" t="str">
        <f t="shared" si="87"/>
        <v/>
      </c>
      <c r="Y341">
        <f t="shared" si="88"/>
        <v>645</v>
      </c>
      <c r="Z341" t="str">
        <f t="shared" si="92"/>
        <v>員林</v>
      </c>
    </row>
    <row r="342" spans="1:26" x14ac:dyDescent="0.25">
      <c r="A342" s="118" t="s">
        <v>491</v>
      </c>
      <c r="B342" s="119" t="s">
        <v>497</v>
      </c>
      <c r="C342" s="119">
        <v>81</v>
      </c>
      <c r="D342" s="118" t="s">
        <v>177</v>
      </c>
      <c r="E342" s="118">
        <v>66</v>
      </c>
      <c r="F342" s="118" t="s">
        <v>180</v>
      </c>
      <c r="G342" s="118">
        <v>51</v>
      </c>
      <c r="H342" s="118" t="s">
        <v>180</v>
      </c>
      <c r="I342" s="378">
        <v>81</v>
      </c>
      <c r="J342" s="117">
        <v>39</v>
      </c>
      <c r="K342" s="117" t="s">
        <v>198</v>
      </c>
      <c r="L342" t="str">
        <f t="shared" si="79"/>
        <v>9C25</v>
      </c>
      <c r="M342" t="str">
        <f t="shared" si="89"/>
        <v/>
      </c>
      <c r="N342" t="str">
        <f t="shared" si="90"/>
        <v/>
      </c>
      <c r="O342" t="str">
        <f t="shared" si="91"/>
        <v/>
      </c>
      <c r="P342" s="113" t="str">
        <f t="shared" si="80"/>
        <v>9C25</v>
      </c>
      <c r="Q342" s="114">
        <f t="shared" si="81"/>
        <v>81</v>
      </c>
      <c r="R342" s="114">
        <f t="shared" si="82"/>
        <v>66</v>
      </c>
      <c r="S342" s="113">
        <f t="shared" si="83"/>
        <v>51</v>
      </c>
      <c r="T342" s="111">
        <f t="shared" ca="1" si="84"/>
        <v>1.6</v>
      </c>
      <c r="U342" s="111" t="str">
        <f t="shared" si="85"/>
        <v/>
      </c>
      <c r="V342" t="str">
        <f t="array" ref="V342">INDEX(P:P,MAX(U$3:U342))</f>
        <v>9C#1DTR(B)</v>
      </c>
      <c r="W342" t="str">
        <f t="shared" ca="1" si="86"/>
        <v/>
      </c>
      <c r="X342">
        <f t="shared" si="87"/>
        <v>11.4</v>
      </c>
      <c r="Y342">
        <f t="shared" si="88"/>
        <v>81</v>
      </c>
      <c r="Z342" t="str">
        <f t="shared" si="92"/>
        <v>員林</v>
      </c>
    </row>
    <row r="343" spans="1:26" x14ac:dyDescent="0.25">
      <c r="A343" s="118" t="s">
        <v>491</v>
      </c>
      <c r="B343" s="119" t="s">
        <v>498</v>
      </c>
      <c r="C343" s="119">
        <v>0</v>
      </c>
      <c r="D343" s="118" t="s">
        <v>194</v>
      </c>
      <c r="E343" s="118">
        <v>0</v>
      </c>
      <c r="F343" s="118" t="s">
        <v>194</v>
      </c>
      <c r="G343" s="118">
        <v>0</v>
      </c>
      <c r="H343" s="118" t="s">
        <v>194</v>
      </c>
      <c r="I343" s="378">
        <v>0</v>
      </c>
      <c r="J343" s="117">
        <v>0</v>
      </c>
      <c r="K343" s="117" t="s">
        <v>194</v>
      </c>
      <c r="L343" t="str">
        <f t="shared" si="79"/>
        <v>9C26</v>
      </c>
      <c r="M343" t="str">
        <f t="shared" si="89"/>
        <v/>
      </c>
      <c r="N343" t="str">
        <f t="shared" si="90"/>
        <v/>
      </c>
      <c r="O343" t="str">
        <f t="shared" si="91"/>
        <v/>
      </c>
      <c r="P343" s="113" t="str">
        <f t="shared" si="80"/>
        <v>9C26</v>
      </c>
      <c r="Q343" s="114">
        <f t="shared" si="81"/>
        <v>0</v>
      </c>
      <c r="R343" s="114">
        <f t="shared" si="82"/>
        <v>0</v>
      </c>
      <c r="S343" s="113">
        <f t="shared" si="83"/>
        <v>0</v>
      </c>
      <c r="T343" s="111">
        <f t="shared" ca="1" si="84"/>
        <v>0</v>
      </c>
      <c r="U343" s="111" t="str">
        <f t="shared" si="85"/>
        <v/>
      </c>
      <c r="V343" t="str">
        <f t="array" ref="V343">INDEX(P:P,MAX(U$3:U343))</f>
        <v>9C#1DTR(B)</v>
      </c>
      <c r="W343" t="str">
        <f t="shared" ca="1" si="86"/>
        <v/>
      </c>
      <c r="X343">
        <f t="shared" si="87"/>
        <v>11.4</v>
      </c>
      <c r="Y343">
        <f t="shared" si="88"/>
        <v>0</v>
      </c>
      <c r="Z343" t="str">
        <f t="shared" si="92"/>
        <v>員林</v>
      </c>
    </row>
    <row r="344" spans="1:26" x14ac:dyDescent="0.25">
      <c r="A344" s="118" t="s">
        <v>491</v>
      </c>
      <c r="B344" s="119" t="s">
        <v>499</v>
      </c>
      <c r="C344" s="119">
        <v>205</v>
      </c>
      <c r="D344" s="118" t="s">
        <v>207</v>
      </c>
      <c r="E344" s="118">
        <v>203</v>
      </c>
      <c r="F344" s="118" t="s">
        <v>207</v>
      </c>
      <c r="G344" s="118">
        <v>227</v>
      </c>
      <c r="H344" s="118" t="s">
        <v>207</v>
      </c>
      <c r="I344" s="378">
        <v>227</v>
      </c>
      <c r="J344" s="117">
        <v>45</v>
      </c>
      <c r="K344" s="117" t="s">
        <v>205</v>
      </c>
      <c r="L344" t="str">
        <f t="shared" si="79"/>
        <v>9C27</v>
      </c>
      <c r="M344" t="str">
        <f t="shared" si="89"/>
        <v/>
      </c>
      <c r="N344" t="str">
        <f t="shared" si="90"/>
        <v/>
      </c>
      <c r="O344" t="str">
        <f t="shared" si="91"/>
        <v/>
      </c>
      <c r="P344" s="113" t="str">
        <f t="shared" si="80"/>
        <v>9C27</v>
      </c>
      <c r="Q344" s="114">
        <f t="shared" si="81"/>
        <v>227</v>
      </c>
      <c r="R344" s="114">
        <f t="shared" si="82"/>
        <v>211.66666666666666</v>
      </c>
      <c r="S344" s="113">
        <f t="shared" si="83"/>
        <v>203</v>
      </c>
      <c r="T344" s="111">
        <f t="shared" ca="1" si="84"/>
        <v>4.4800000000000004</v>
      </c>
      <c r="U344" s="111" t="str">
        <f t="shared" si="85"/>
        <v/>
      </c>
      <c r="V344" t="str">
        <f t="array" ref="V344">INDEX(P:P,MAX(U$3:U344))</f>
        <v>9C#1DTR(B)</v>
      </c>
      <c r="W344" t="str">
        <f t="shared" ca="1" si="86"/>
        <v/>
      </c>
      <c r="X344">
        <f t="shared" si="87"/>
        <v>11.4</v>
      </c>
      <c r="Y344">
        <f t="shared" si="88"/>
        <v>227</v>
      </c>
      <c r="Z344" t="str">
        <f t="shared" si="92"/>
        <v>員林</v>
      </c>
    </row>
    <row r="345" spans="1:26" x14ac:dyDescent="0.25">
      <c r="A345" s="118" t="s">
        <v>491</v>
      </c>
      <c r="B345" s="119" t="s">
        <v>500</v>
      </c>
      <c r="C345" s="119">
        <v>204</v>
      </c>
      <c r="D345" s="118" t="s">
        <v>192</v>
      </c>
      <c r="E345" s="118">
        <v>195</v>
      </c>
      <c r="F345" s="118" t="s">
        <v>192</v>
      </c>
      <c r="G345" s="118">
        <v>176</v>
      </c>
      <c r="H345" s="118" t="s">
        <v>192</v>
      </c>
      <c r="I345" s="378">
        <v>204</v>
      </c>
      <c r="J345" s="117">
        <v>59</v>
      </c>
      <c r="K345" s="117" t="s">
        <v>229</v>
      </c>
      <c r="L345" t="str">
        <f t="shared" si="79"/>
        <v>9C28</v>
      </c>
      <c r="M345" t="str">
        <f t="shared" si="89"/>
        <v/>
      </c>
      <c r="N345" t="str">
        <f t="shared" si="90"/>
        <v/>
      </c>
      <c r="O345" t="str">
        <f t="shared" si="91"/>
        <v/>
      </c>
      <c r="P345" s="113" t="str">
        <f t="shared" si="80"/>
        <v>9C28</v>
      </c>
      <c r="Q345" s="114">
        <f t="shared" si="81"/>
        <v>204</v>
      </c>
      <c r="R345" s="114">
        <f t="shared" si="82"/>
        <v>191.66666666666666</v>
      </c>
      <c r="S345" s="113">
        <f t="shared" si="83"/>
        <v>176</v>
      </c>
      <c r="T345" s="111">
        <f t="shared" ca="1" si="84"/>
        <v>4.03</v>
      </c>
      <c r="U345" s="111" t="str">
        <f t="shared" si="85"/>
        <v/>
      </c>
      <c r="V345" t="str">
        <f t="array" ref="V345">INDEX(P:P,MAX(U$3:U345))</f>
        <v>9C#1DTR(B)</v>
      </c>
      <c r="W345" t="str">
        <f t="shared" ca="1" si="86"/>
        <v/>
      </c>
      <c r="X345">
        <f t="shared" si="87"/>
        <v>11.4</v>
      </c>
      <c r="Y345">
        <f t="shared" si="88"/>
        <v>204</v>
      </c>
      <c r="Z345" t="str">
        <f t="shared" si="92"/>
        <v>員林</v>
      </c>
    </row>
    <row r="346" spans="1:26" x14ac:dyDescent="0.25">
      <c r="A346" s="118" t="s">
        <v>491</v>
      </c>
      <c r="B346" s="119" t="s">
        <v>501</v>
      </c>
      <c r="C346" s="119">
        <v>236</v>
      </c>
      <c r="D346" s="118" t="s">
        <v>188</v>
      </c>
      <c r="E346" s="118">
        <v>203</v>
      </c>
      <c r="F346" s="118" t="s">
        <v>188</v>
      </c>
      <c r="G346" s="118">
        <v>200</v>
      </c>
      <c r="H346" s="118" t="s">
        <v>207</v>
      </c>
      <c r="I346" s="378">
        <v>236</v>
      </c>
      <c r="J346" s="117">
        <v>59</v>
      </c>
      <c r="K346" s="117" t="s">
        <v>196</v>
      </c>
      <c r="L346" t="str">
        <f t="shared" si="79"/>
        <v>9C29</v>
      </c>
      <c r="M346" t="str">
        <f t="shared" si="89"/>
        <v/>
      </c>
      <c r="N346" t="str">
        <f t="shared" si="90"/>
        <v/>
      </c>
      <c r="O346" t="str">
        <f t="shared" si="91"/>
        <v/>
      </c>
      <c r="P346" s="113" t="str">
        <f t="shared" si="80"/>
        <v>9C29</v>
      </c>
      <c r="Q346" s="114">
        <f t="shared" si="81"/>
        <v>236</v>
      </c>
      <c r="R346" s="114">
        <f t="shared" si="82"/>
        <v>213</v>
      </c>
      <c r="S346" s="113">
        <f t="shared" si="83"/>
        <v>200</v>
      </c>
      <c r="T346" s="111">
        <f t="shared" ca="1" si="84"/>
        <v>4.66</v>
      </c>
      <c r="U346" s="111" t="str">
        <f t="shared" si="85"/>
        <v/>
      </c>
      <c r="V346" t="str">
        <f t="array" ref="V346">INDEX(P:P,MAX(U$3:U346))</f>
        <v>9C#1DTR(B)</v>
      </c>
      <c r="W346" t="str">
        <f t="shared" ca="1" si="86"/>
        <v/>
      </c>
      <c r="X346">
        <f t="shared" si="87"/>
        <v>11.4</v>
      </c>
      <c r="Y346">
        <f t="shared" si="88"/>
        <v>236</v>
      </c>
      <c r="Z346" t="str">
        <f t="shared" si="92"/>
        <v>員林</v>
      </c>
    </row>
    <row r="347" spans="1:26" x14ac:dyDescent="0.25">
      <c r="A347" s="118" t="s">
        <v>491</v>
      </c>
      <c r="B347" s="119" t="s">
        <v>301</v>
      </c>
      <c r="C347" s="119">
        <v>334</v>
      </c>
      <c r="D347" s="118" t="s">
        <v>198</v>
      </c>
      <c r="E347" s="118">
        <v>304</v>
      </c>
      <c r="F347" s="118" t="s">
        <v>198</v>
      </c>
      <c r="G347" s="118">
        <v>336</v>
      </c>
      <c r="H347" s="118" t="s">
        <v>198</v>
      </c>
      <c r="I347" s="378">
        <v>336</v>
      </c>
      <c r="J347" s="117"/>
      <c r="K347" s="117"/>
      <c r="L347" t="str">
        <f t="shared" si="79"/>
        <v>9C#2DTR(A)</v>
      </c>
      <c r="M347" t="str">
        <f t="shared" si="89"/>
        <v>(A)</v>
      </c>
      <c r="N347" t="str">
        <f t="shared" si="90"/>
        <v>9C#2DTR</v>
      </c>
      <c r="O347" t="str">
        <f t="shared" si="91"/>
        <v>(A)</v>
      </c>
      <c r="P347" s="113" t="str">
        <f t="shared" si="80"/>
        <v>9C#2DTR(A)</v>
      </c>
      <c r="Q347" s="114">
        <f t="shared" si="81"/>
        <v>336</v>
      </c>
      <c r="R347" s="114">
        <f t="shared" si="82"/>
        <v>324.66666666666669</v>
      </c>
      <c r="S347" s="113">
        <f t="shared" si="83"/>
        <v>304</v>
      </c>
      <c r="T347" s="111">
        <f t="shared" ca="1" si="84"/>
        <v>6.63</v>
      </c>
      <c r="U347" s="111">
        <f t="shared" si="85"/>
        <v>347</v>
      </c>
      <c r="V347" t="str">
        <f t="array" ref="V347">INDEX(P:P,MAX(U$3:U347))</f>
        <v>9C#2DTR(A)</v>
      </c>
      <c r="W347">
        <f t="shared" ca="1" si="86"/>
        <v>30</v>
      </c>
      <c r="X347" t="str">
        <f t="shared" si="87"/>
        <v/>
      </c>
      <c r="Y347">
        <f t="shared" si="88"/>
        <v>336</v>
      </c>
      <c r="Z347" t="str">
        <f t="shared" si="92"/>
        <v>員林</v>
      </c>
    </row>
    <row r="348" spans="1:26" x14ac:dyDescent="0.25">
      <c r="A348" s="118" t="s">
        <v>491</v>
      </c>
      <c r="B348" s="119" t="s">
        <v>502</v>
      </c>
      <c r="C348" s="119">
        <v>138</v>
      </c>
      <c r="D348" s="118" t="s">
        <v>192</v>
      </c>
      <c r="E348" s="118">
        <v>126</v>
      </c>
      <c r="F348" s="118" t="s">
        <v>192</v>
      </c>
      <c r="G348" s="118">
        <v>90</v>
      </c>
      <c r="H348" s="118" t="s">
        <v>192</v>
      </c>
      <c r="I348" s="378">
        <v>138</v>
      </c>
      <c r="J348" s="117">
        <v>71</v>
      </c>
      <c r="K348" s="117" t="s">
        <v>203</v>
      </c>
      <c r="L348" t="str">
        <f t="shared" si="79"/>
        <v>9C30</v>
      </c>
      <c r="M348" t="str">
        <f t="shared" si="89"/>
        <v/>
      </c>
      <c r="N348" t="str">
        <f t="shared" si="90"/>
        <v/>
      </c>
      <c r="O348" t="str">
        <f t="shared" si="91"/>
        <v/>
      </c>
      <c r="P348" s="113" t="str">
        <f t="shared" si="80"/>
        <v>9C30</v>
      </c>
      <c r="Q348" s="114">
        <f t="shared" si="81"/>
        <v>138</v>
      </c>
      <c r="R348" s="114">
        <f t="shared" si="82"/>
        <v>118</v>
      </c>
      <c r="S348" s="113">
        <f t="shared" si="83"/>
        <v>90</v>
      </c>
      <c r="T348" s="111">
        <f t="shared" ca="1" si="84"/>
        <v>2.72</v>
      </c>
      <c r="U348" s="111" t="str">
        <f t="shared" si="85"/>
        <v/>
      </c>
      <c r="V348" t="str">
        <f t="array" ref="V348">INDEX(P:P,MAX(U$3:U348))</f>
        <v>9C#2DTR(A)</v>
      </c>
      <c r="W348" t="str">
        <f t="shared" ca="1" si="86"/>
        <v/>
      </c>
      <c r="X348">
        <f t="shared" si="87"/>
        <v>11.4</v>
      </c>
      <c r="Y348">
        <f t="shared" si="88"/>
        <v>138</v>
      </c>
      <c r="Z348" t="str">
        <f t="shared" si="92"/>
        <v>員林</v>
      </c>
    </row>
    <row r="349" spans="1:26" x14ac:dyDescent="0.25">
      <c r="A349" s="118" t="s">
        <v>491</v>
      </c>
      <c r="B349" s="119" t="s">
        <v>503</v>
      </c>
      <c r="C349" s="119">
        <v>144</v>
      </c>
      <c r="D349" s="118" t="s">
        <v>177</v>
      </c>
      <c r="E349" s="118">
        <v>155</v>
      </c>
      <c r="F349" s="118" t="s">
        <v>179</v>
      </c>
      <c r="G349" s="118">
        <v>134</v>
      </c>
      <c r="H349" s="118" t="s">
        <v>177</v>
      </c>
      <c r="I349" s="378">
        <v>155</v>
      </c>
      <c r="J349" s="117">
        <v>43</v>
      </c>
      <c r="K349" s="117" t="s">
        <v>179</v>
      </c>
      <c r="L349" t="str">
        <f t="shared" si="79"/>
        <v>9C31</v>
      </c>
      <c r="M349" t="str">
        <f t="shared" si="89"/>
        <v/>
      </c>
      <c r="N349" t="str">
        <f t="shared" si="90"/>
        <v/>
      </c>
      <c r="O349" t="str">
        <f t="shared" si="91"/>
        <v/>
      </c>
      <c r="P349" s="113" t="str">
        <f t="shared" si="80"/>
        <v>9C31</v>
      </c>
      <c r="Q349" s="114">
        <f t="shared" si="81"/>
        <v>155</v>
      </c>
      <c r="R349" s="114">
        <f t="shared" si="82"/>
        <v>144.33333333333334</v>
      </c>
      <c r="S349" s="113">
        <f t="shared" si="83"/>
        <v>134</v>
      </c>
      <c r="T349" s="111">
        <f t="shared" ca="1" si="84"/>
        <v>3.06</v>
      </c>
      <c r="U349" s="111" t="str">
        <f t="shared" si="85"/>
        <v/>
      </c>
      <c r="V349" t="str">
        <f t="array" ref="V349">INDEX(P:P,MAX(U$3:U349))</f>
        <v>9C#2DTR(A)</v>
      </c>
      <c r="W349" t="str">
        <f t="shared" ca="1" si="86"/>
        <v/>
      </c>
      <c r="X349">
        <f t="shared" si="87"/>
        <v>11.4</v>
      </c>
      <c r="Y349">
        <f t="shared" si="88"/>
        <v>155</v>
      </c>
      <c r="Z349" t="str">
        <f t="shared" si="92"/>
        <v>員林</v>
      </c>
    </row>
    <row r="350" spans="1:26" x14ac:dyDescent="0.25">
      <c r="A350" s="118" t="s">
        <v>491</v>
      </c>
      <c r="B350" s="119" t="s">
        <v>504</v>
      </c>
      <c r="C350" s="119">
        <v>88</v>
      </c>
      <c r="D350" s="118" t="s">
        <v>188</v>
      </c>
      <c r="E350" s="118">
        <v>72</v>
      </c>
      <c r="F350" s="118" t="s">
        <v>177</v>
      </c>
      <c r="G350" s="118">
        <v>119</v>
      </c>
      <c r="H350" s="118" t="s">
        <v>176</v>
      </c>
      <c r="I350" s="378">
        <v>119</v>
      </c>
      <c r="J350" s="117">
        <v>65</v>
      </c>
      <c r="K350" s="117" t="s">
        <v>196</v>
      </c>
      <c r="L350" t="str">
        <f t="shared" si="79"/>
        <v>9C33</v>
      </c>
      <c r="M350" t="str">
        <f t="shared" si="89"/>
        <v/>
      </c>
      <c r="N350" t="str">
        <f t="shared" si="90"/>
        <v/>
      </c>
      <c r="O350" t="str">
        <f t="shared" si="91"/>
        <v/>
      </c>
      <c r="P350" s="113" t="str">
        <f t="shared" si="80"/>
        <v>9C33</v>
      </c>
      <c r="Q350" s="114">
        <f t="shared" si="81"/>
        <v>119</v>
      </c>
      <c r="R350" s="114">
        <f t="shared" si="82"/>
        <v>93</v>
      </c>
      <c r="S350" s="113">
        <f t="shared" si="83"/>
        <v>72</v>
      </c>
      <c r="T350" s="111">
        <f t="shared" ca="1" si="84"/>
        <v>2.35</v>
      </c>
      <c r="U350" s="111" t="str">
        <f t="shared" si="85"/>
        <v/>
      </c>
      <c r="V350" t="str">
        <f t="array" ref="V350">INDEX(P:P,MAX(U$3:U350))</f>
        <v>9C#2DTR(A)</v>
      </c>
      <c r="W350" t="str">
        <f t="shared" ca="1" si="86"/>
        <v/>
      </c>
      <c r="X350">
        <f t="shared" si="87"/>
        <v>11.4</v>
      </c>
      <c r="Y350">
        <f t="shared" si="88"/>
        <v>119</v>
      </c>
      <c r="Z350" t="str">
        <f t="shared" si="92"/>
        <v>員林</v>
      </c>
    </row>
    <row r="351" spans="1:26" x14ac:dyDescent="0.25">
      <c r="A351" s="118" t="s">
        <v>491</v>
      </c>
      <c r="B351" s="119" t="s">
        <v>505</v>
      </c>
      <c r="C351" s="119">
        <v>266</v>
      </c>
      <c r="D351" s="118" t="s">
        <v>207</v>
      </c>
      <c r="E351" s="118">
        <v>240</v>
      </c>
      <c r="F351" s="118" t="s">
        <v>198</v>
      </c>
      <c r="G351" s="118">
        <v>263</v>
      </c>
      <c r="H351" s="118" t="s">
        <v>198</v>
      </c>
      <c r="I351" s="378">
        <v>266</v>
      </c>
      <c r="J351" s="117">
        <v>48</v>
      </c>
      <c r="K351" s="117" t="s">
        <v>176</v>
      </c>
      <c r="L351" t="str">
        <f t="shared" si="79"/>
        <v>9C34</v>
      </c>
      <c r="M351" t="str">
        <f t="shared" si="89"/>
        <v/>
      </c>
      <c r="N351" t="str">
        <f t="shared" si="90"/>
        <v/>
      </c>
      <c r="O351" t="str">
        <f t="shared" si="91"/>
        <v/>
      </c>
      <c r="P351" s="113" t="str">
        <f t="shared" si="80"/>
        <v>9C34</v>
      </c>
      <c r="Q351" s="114">
        <f t="shared" si="81"/>
        <v>266</v>
      </c>
      <c r="R351" s="114">
        <f t="shared" si="82"/>
        <v>256.33333333333331</v>
      </c>
      <c r="S351" s="113">
        <f t="shared" si="83"/>
        <v>240</v>
      </c>
      <c r="T351" s="111">
        <f t="shared" ca="1" si="84"/>
        <v>5.25</v>
      </c>
      <c r="U351" s="111" t="str">
        <f t="shared" si="85"/>
        <v/>
      </c>
      <c r="V351" t="str">
        <f t="array" ref="V351">INDEX(P:P,MAX(U$3:U351))</f>
        <v>9C#2DTR(A)</v>
      </c>
      <c r="W351" t="str">
        <f t="shared" ca="1" si="86"/>
        <v/>
      </c>
      <c r="X351">
        <f t="shared" si="87"/>
        <v>11.4</v>
      </c>
      <c r="Y351">
        <f t="shared" si="88"/>
        <v>266</v>
      </c>
      <c r="Z351" t="str">
        <f t="shared" si="92"/>
        <v>員林</v>
      </c>
    </row>
    <row r="352" spans="1:26" x14ac:dyDescent="0.25">
      <c r="A352" s="118" t="s">
        <v>491</v>
      </c>
      <c r="B352" s="119" t="s">
        <v>506</v>
      </c>
      <c r="C352" s="119">
        <v>170</v>
      </c>
      <c r="D352" s="118" t="s">
        <v>179</v>
      </c>
      <c r="E352" s="118">
        <v>186</v>
      </c>
      <c r="F352" s="118" t="s">
        <v>179</v>
      </c>
      <c r="G352" s="118">
        <v>136</v>
      </c>
      <c r="H352" s="118" t="s">
        <v>177</v>
      </c>
      <c r="I352" s="378">
        <v>186</v>
      </c>
      <c r="J352" s="117">
        <v>72</v>
      </c>
      <c r="K352" s="117" t="s">
        <v>179</v>
      </c>
      <c r="L352" t="str">
        <f t="shared" si="79"/>
        <v>9C32</v>
      </c>
      <c r="M352" t="str">
        <f t="shared" si="89"/>
        <v/>
      </c>
      <c r="N352" t="str">
        <f t="shared" si="90"/>
        <v/>
      </c>
      <c r="O352" t="str">
        <f t="shared" si="91"/>
        <v/>
      </c>
      <c r="P352" s="113" t="str">
        <f t="shared" si="80"/>
        <v>9C32</v>
      </c>
      <c r="Q352" s="114">
        <f t="shared" si="81"/>
        <v>186</v>
      </c>
      <c r="R352" s="114">
        <f t="shared" si="82"/>
        <v>164</v>
      </c>
      <c r="S352" s="113">
        <f t="shared" si="83"/>
        <v>136</v>
      </c>
      <c r="T352" s="111">
        <f t="shared" ca="1" si="84"/>
        <v>3.67</v>
      </c>
      <c r="U352" s="111" t="str">
        <f t="shared" si="85"/>
        <v/>
      </c>
      <c r="V352" t="str">
        <f t="array" ref="V352">INDEX(P:P,MAX(U$3:U352))</f>
        <v>9C#2DTR(A)</v>
      </c>
      <c r="W352" t="str">
        <f t="shared" ca="1" si="86"/>
        <v/>
      </c>
      <c r="X352">
        <f t="shared" si="87"/>
        <v>11.4</v>
      </c>
      <c r="Y352">
        <f t="shared" si="88"/>
        <v>186</v>
      </c>
      <c r="Z352" t="str">
        <f t="shared" si="92"/>
        <v>員林</v>
      </c>
    </row>
    <row r="353" spans="1:26" x14ac:dyDescent="0.25">
      <c r="A353" s="118" t="s">
        <v>491</v>
      </c>
      <c r="B353" s="119" t="s">
        <v>283</v>
      </c>
      <c r="C353" s="119">
        <v>450</v>
      </c>
      <c r="D353" s="118" t="s">
        <v>177</v>
      </c>
      <c r="E353" s="118">
        <v>385</v>
      </c>
      <c r="F353" s="118" t="s">
        <v>177</v>
      </c>
      <c r="G353" s="118">
        <v>477</v>
      </c>
      <c r="H353" s="118" t="s">
        <v>177</v>
      </c>
      <c r="I353" s="378">
        <v>477</v>
      </c>
      <c r="J353" s="117"/>
      <c r="K353" s="117"/>
      <c r="L353" t="str">
        <f t="shared" si="79"/>
        <v>9C#2DTR(B)</v>
      </c>
      <c r="M353" t="str">
        <f t="shared" si="89"/>
        <v>(B)</v>
      </c>
      <c r="N353" t="str">
        <f t="shared" si="90"/>
        <v>9C#2DTR</v>
      </c>
      <c r="O353" t="str">
        <f t="shared" si="91"/>
        <v>(B)</v>
      </c>
      <c r="P353" s="113" t="str">
        <f t="shared" si="80"/>
        <v>9C#2DTR(B)</v>
      </c>
      <c r="Q353" s="114">
        <f t="shared" si="81"/>
        <v>477</v>
      </c>
      <c r="R353" s="114">
        <f t="shared" si="82"/>
        <v>437.33333333333331</v>
      </c>
      <c r="S353" s="113">
        <f t="shared" si="83"/>
        <v>385</v>
      </c>
      <c r="T353" s="111">
        <f t="shared" ca="1" si="84"/>
        <v>9.42</v>
      </c>
      <c r="U353" s="111">
        <f t="shared" si="85"/>
        <v>353</v>
      </c>
      <c r="V353" t="str">
        <f t="array" ref="V353">INDEX(P:P,MAX(U$3:U353))</f>
        <v>9C#2DTR(B)</v>
      </c>
      <c r="W353">
        <f t="shared" ca="1" si="86"/>
        <v>30</v>
      </c>
      <c r="X353" t="str">
        <f t="shared" si="87"/>
        <v/>
      </c>
      <c r="Y353">
        <f t="shared" si="88"/>
        <v>477</v>
      </c>
      <c r="Z353" t="str">
        <f t="shared" si="92"/>
        <v>員林</v>
      </c>
    </row>
    <row r="354" spans="1:26" x14ac:dyDescent="0.25">
      <c r="A354" s="118" t="s">
        <v>491</v>
      </c>
      <c r="B354" s="119" t="s">
        <v>507</v>
      </c>
      <c r="C354" s="119">
        <v>70</v>
      </c>
      <c r="D354" s="118" t="s">
        <v>183</v>
      </c>
      <c r="E354" s="118">
        <v>84</v>
      </c>
      <c r="F354" s="118" t="s">
        <v>183</v>
      </c>
      <c r="G354" s="118">
        <v>65</v>
      </c>
      <c r="H354" s="118" t="s">
        <v>183</v>
      </c>
      <c r="I354" s="378">
        <v>84</v>
      </c>
      <c r="J354" s="117">
        <v>26</v>
      </c>
      <c r="K354" s="117" t="s">
        <v>180</v>
      </c>
      <c r="L354" t="str">
        <f t="shared" si="79"/>
        <v>9C35</v>
      </c>
      <c r="M354" t="str">
        <f t="shared" si="89"/>
        <v/>
      </c>
      <c r="N354" t="str">
        <f t="shared" si="90"/>
        <v/>
      </c>
      <c r="O354" t="str">
        <f t="shared" si="91"/>
        <v/>
      </c>
      <c r="P354" s="113" t="str">
        <f t="shared" si="80"/>
        <v>9C35</v>
      </c>
      <c r="Q354" s="114">
        <f t="shared" si="81"/>
        <v>84</v>
      </c>
      <c r="R354" s="114">
        <f t="shared" si="82"/>
        <v>73</v>
      </c>
      <c r="S354" s="113">
        <f t="shared" si="83"/>
        <v>65</v>
      </c>
      <c r="T354" s="111">
        <f t="shared" ca="1" si="84"/>
        <v>1.66</v>
      </c>
      <c r="U354" s="111" t="str">
        <f t="shared" si="85"/>
        <v/>
      </c>
      <c r="V354" t="str">
        <f t="array" ref="V354">INDEX(P:P,MAX(U$3:U354))</f>
        <v>9C#2DTR(B)</v>
      </c>
      <c r="W354" t="str">
        <f t="shared" ca="1" si="86"/>
        <v/>
      </c>
      <c r="X354">
        <f t="shared" si="87"/>
        <v>11.4</v>
      </c>
      <c r="Y354">
        <f t="shared" si="88"/>
        <v>84</v>
      </c>
      <c r="Z354" t="str">
        <f t="shared" si="92"/>
        <v>員林</v>
      </c>
    </row>
    <row r="355" spans="1:26" x14ac:dyDescent="0.25">
      <c r="A355" s="118" t="s">
        <v>491</v>
      </c>
      <c r="B355" s="119" t="s">
        <v>508</v>
      </c>
      <c r="C355" s="119">
        <v>83</v>
      </c>
      <c r="D355" s="118" t="s">
        <v>188</v>
      </c>
      <c r="E355" s="118">
        <v>103</v>
      </c>
      <c r="F355" s="118" t="s">
        <v>196</v>
      </c>
      <c r="G355" s="118">
        <v>143</v>
      </c>
      <c r="H355" s="118" t="s">
        <v>188</v>
      </c>
      <c r="I355" s="378">
        <v>143</v>
      </c>
      <c r="J355" s="117">
        <v>62</v>
      </c>
      <c r="K355" s="117" t="s">
        <v>176</v>
      </c>
      <c r="L355" t="str">
        <f t="shared" si="79"/>
        <v>9C36</v>
      </c>
      <c r="M355" t="str">
        <f t="shared" si="89"/>
        <v/>
      </c>
      <c r="N355" t="str">
        <f t="shared" si="90"/>
        <v/>
      </c>
      <c r="O355" t="str">
        <f t="shared" si="91"/>
        <v/>
      </c>
      <c r="P355" s="113" t="str">
        <f t="shared" si="80"/>
        <v>9C36</v>
      </c>
      <c r="Q355" s="114">
        <f t="shared" si="81"/>
        <v>143</v>
      </c>
      <c r="R355" s="114">
        <f t="shared" si="82"/>
        <v>109.66666666666667</v>
      </c>
      <c r="S355" s="113">
        <f t="shared" si="83"/>
        <v>83</v>
      </c>
      <c r="T355" s="111">
        <f t="shared" ca="1" si="84"/>
        <v>2.82</v>
      </c>
      <c r="U355" s="111" t="str">
        <f t="shared" si="85"/>
        <v/>
      </c>
      <c r="V355" t="str">
        <f t="array" ref="V355">INDEX(P:P,MAX(U$3:U355))</f>
        <v>9C#2DTR(B)</v>
      </c>
      <c r="W355" t="str">
        <f t="shared" ca="1" si="86"/>
        <v/>
      </c>
      <c r="X355">
        <f t="shared" si="87"/>
        <v>11.4</v>
      </c>
      <c r="Y355">
        <f t="shared" si="88"/>
        <v>143</v>
      </c>
      <c r="Z355" t="str">
        <f t="shared" si="92"/>
        <v>員林</v>
      </c>
    </row>
    <row r="356" spans="1:26" x14ac:dyDescent="0.25">
      <c r="A356" s="118" t="s">
        <v>491</v>
      </c>
      <c r="B356" s="119" t="s">
        <v>509</v>
      </c>
      <c r="C356" s="119">
        <v>161</v>
      </c>
      <c r="D356" s="118" t="s">
        <v>198</v>
      </c>
      <c r="E356" s="118">
        <v>135</v>
      </c>
      <c r="F356" s="118" t="s">
        <v>198</v>
      </c>
      <c r="G356" s="118">
        <v>160</v>
      </c>
      <c r="H356" s="118" t="s">
        <v>198</v>
      </c>
      <c r="I356" s="378">
        <v>161</v>
      </c>
      <c r="J356" s="117">
        <v>64</v>
      </c>
      <c r="K356" s="117" t="s">
        <v>205</v>
      </c>
      <c r="L356" t="str">
        <f t="shared" si="79"/>
        <v>9C37</v>
      </c>
      <c r="M356" t="str">
        <f t="shared" si="89"/>
        <v/>
      </c>
      <c r="N356" t="str">
        <f t="shared" si="90"/>
        <v/>
      </c>
      <c r="O356" t="str">
        <f t="shared" si="91"/>
        <v/>
      </c>
      <c r="P356" s="113" t="str">
        <f t="shared" si="80"/>
        <v>9C37</v>
      </c>
      <c r="Q356" s="114">
        <f t="shared" si="81"/>
        <v>161</v>
      </c>
      <c r="R356" s="114">
        <f t="shared" si="82"/>
        <v>152</v>
      </c>
      <c r="S356" s="113">
        <f t="shared" si="83"/>
        <v>135</v>
      </c>
      <c r="T356" s="111">
        <f t="shared" ca="1" si="84"/>
        <v>3.18</v>
      </c>
      <c r="U356" s="111" t="str">
        <f t="shared" si="85"/>
        <v/>
      </c>
      <c r="V356" t="str">
        <f t="array" ref="V356">INDEX(P:P,MAX(U$3:U356))</f>
        <v>9C#2DTR(B)</v>
      </c>
      <c r="W356" t="str">
        <f t="shared" ca="1" si="86"/>
        <v/>
      </c>
      <c r="X356">
        <f t="shared" si="87"/>
        <v>11.4</v>
      </c>
      <c r="Y356">
        <f t="shared" si="88"/>
        <v>161</v>
      </c>
      <c r="Z356" t="str">
        <f t="shared" si="92"/>
        <v>員林</v>
      </c>
    </row>
    <row r="357" spans="1:26" x14ac:dyDescent="0.25">
      <c r="A357" s="118" t="s">
        <v>491</v>
      </c>
      <c r="B357" s="119" t="s">
        <v>510</v>
      </c>
      <c r="C357" s="119">
        <v>183</v>
      </c>
      <c r="D357" s="118" t="s">
        <v>207</v>
      </c>
      <c r="E357" s="118">
        <v>177</v>
      </c>
      <c r="F357" s="118" t="s">
        <v>203</v>
      </c>
      <c r="G357" s="118">
        <v>181</v>
      </c>
      <c r="H357" s="118" t="s">
        <v>207</v>
      </c>
      <c r="I357" s="378">
        <v>183</v>
      </c>
      <c r="J357" s="117">
        <v>50</v>
      </c>
      <c r="K357" s="117" t="s">
        <v>207</v>
      </c>
      <c r="L357" t="str">
        <f t="shared" si="79"/>
        <v>9C38</v>
      </c>
      <c r="M357" t="str">
        <f t="shared" si="89"/>
        <v/>
      </c>
      <c r="N357" t="str">
        <f t="shared" si="90"/>
        <v/>
      </c>
      <c r="O357" t="str">
        <f t="shared" si="91"/>
        <v/>
      </c>
      <c r="P357" s="113" t="str">
        <f t="shared" si="80"/>
        <v>9C38</v>
      </c>
      <c r="Q357" s="114">
        <f t="shared" si="81"/>
        <v>183</v>
      </c>
      <c r="R357" s="114">
        <f t="shared" si="82"/>
        <v>180.33333333333334</v>
      </c>
      <c r="S357" s="113">
        <f t="shared" si="83"/>
        <v>177</v>
      </c>
      <c r="T357" s="111">
        <f t="shared" ca="1" si="84"/>
        <v>3.61</v>
      </c>
      <c r="U357" s="111" t="str">
        <f t="shared" si="85"/>
        <v/>
      </c>
      <c r="V357" t="str">
        <f t="array" ref="V357">INDEX(P:P,MAX(U$3:U357))</f>
        <v>9C#2DTR(B)</v>
      </c>
      <c r="W357" t="str">
        <f t="shared" ca="1" si="86"/>
        <v/>
      </c>
      <c r="X357">
        <f t="shared" si="87"/>
        <v>11.4</v>
      </c>
      <c r="Y357">
        <f t="shared" si="88"/>
        <v>183</v>
      </c>
      <c r="Z357" t="str">
        <f t="shared" si="92"/>
        <v>員林</v>
      </c>
    </row>
    <row r="358" spans="1:26" x14ac:dyDescent="0.25">
      <c r="A358" s="118" t="s">
        <v>491</v>
      </c>
      <c r="B358" s="119" t="s">
        <v>511</v>
      </c>
      <c r="C358" s="119">
        <v>153</v>
      </c>
      <c r="D358" s="118" t="s">
        <v>177</v>
      </c>
      <c r="E358" s="118">
        <v>120</v>
      </c>
      <c r="F358" s="118" t="s">
        <v>196</v>
      </c>
      <c r="G358" s="118">
        <v>182</v>
      </c>
      <c r="H358" s="118" t="s">
        <v>188</v>
      </c>
      <c r="I358" s="378">
        <v>182</v>
      </c>
      <c r="J358" s="117">
        <v>74</v>
      </c>
      <c r="K358" s="117" t="s">
        <v>176</v>
      </c>
      <c r="L358" t="str">
        <f t="shared" si="79"/>
        <v>9C39</v>
      </c>
      <c r="M358" t="str">
        <f t="shared" si="89"/>
        <v/>
      </c>
      <c r="N358" t="str">
        <f t="shared" si="90"/>
        <v/>
      </c>
      <c r="O358" t="str">
        <f t="shared" si="91"/>
        <v/>
      </c>
      <c r="P358" s="113" t="str">
        <f t="shared" si="80"/>
        <v>9C39</v>
      </c>
      <c r="Q358" s="114">
        <f t="shared" si="81"/>
        <v>182</v>
      </c>
      <c r="R358" s="114">
        <f t="shared" si="82"/>
        <v>151.66666666666666</v>
      </c>
      <c r="S358" s="113">
        <f t="shared" si="83"/>
        <v>120</v>
      </c>
      <c r="T358" s="111">
        <f t="shared" ca="1" si="84"/>
        <v>3.59</v>
      </c>
      <c r="U358" s="111" t="str">
        <f t="shared" si="85"/>
        <v/>
      </c>
      <c r="V358" t="str">
        <f t="array" ref="V358">INDEX(P:P,MAX(U$3:U358))</f>
        <v>9C#2DTR(B)</v>
      </c>
      <c r="W358" t="str">
        <f t="shared" ca="1" si="86"/>
        <v/>
      </c>
      <c r="X358">
        <f t="shared" si="87"/>
        <v>11.4</v>
      </c>
      <c r="Y358">
        <f t="shared" si="88"/>
        <v>182</v>
      </c>
      <c r="Z358" t="str">
        <f t="shared" si="92"/>
        <v>員林</v>
      </c>
    </row>
    <row r="359" spans="1:26" x14ac:dyDescent="0.25">
      <c r="A359" s="118" t="s">
        <v>491</v>
      </c>
      <c r="B359" s="119" t="s">
        <v>369</v>
      </c>
      <c r="C359" s="119">
        <v>646</v>
      </c>
      <c r="D359" s="118" t="s">
        <v>179</v>
      </c>
      <c r="E359" s="118">
        <v>589</v>
      </c>
      <c r="F359" s="118" t="s">
        <v>179</v>
      </c>
      <c r="G359" s="118">
        <v>589</v>
      </c>
      <c r="H359" s="118" t="s">
        <v>179</v>
      </c>
      <c r="I359" s="378">
        <v>646</v>
      </c>
      <c r="J359" s="117"/>
      <c r="K359" s="117"/>
      <c r="L359" t="str">
        <f t="shared" si="79"/>
        <v>9C#3DTR(A)</v>
      </c>
      <c r="M359" t="str">
        <f t="shared" si="89"/>
        <v>(A)</v>
      </c>
      <c r="N359" t="str">
        <f t="shared" si="90"/>
        <v>9C#3DTR</v>
      </c>
      <c r="O359" t="str">
        <f t="shared" si="91"/>
        <v>(A)</v>
      </c>
      <c r="P359" s="113" t="str">
        <f t="shared" si="80"/>
        <v>9C#3DTR(A)</v>
      </c>
      <c r="Q359" s="114">
        <f t="shared" si="81"/>
        <v>646</v>
      </c>
      <c r="R359" s="114">
        <f t="shared" si="82"/>
        <v>608</v>
      </c>
      <c r="S359" s="113">
        <f t="shared" si="83"/>
        <v>589</v>
      </c>
      <c r="T359" s="111">
        <f t="shared" ca="1" si="84"/>
        <v>12.76</v>
      </c>
      <c r="U359" s="111">
        <f t="shared" si="85"/>
        <v>359</v>
      </c>
      <c r="V359" t="str">
        <f t="array" ref="V359">INDEX(P:P,MAX(U$3:U359))</f>
        <v>9C#3DTR(A)</v>
      </c>
      <c r="W359">
        <f t="shared" ca="1" si="86"/>
        <v>30</v>
      </c>
      <c r="X359" t="str">
        <f t="shared" si="87"/>
        <v/>
      </c>
      <c r="Y359">
        <f t="shared" si="88"/>
        <v>646</v>
      </c>
      <c r="Z359" t="str">
        <f t="shared" si="92"/>
        <v>員林</v>
      </c>
    </row>
    <row r="360" spans="1:26" x14ac:dyDescent="0.25">
      <c r="A360" s="118" t="s">
        <v>491</v>
      </c>
      <c r="B360" s="119" t="s">
        <v>512</v>
      </c>
      <c r="C360" s="119">
        <v>95</v>
      </c>
      <c r="D360" s="118" t="s">
        <v>188</v>
      </c>
      <c r="E360" s="118">
        <v>47</v>
      </c>
      <c r="F360" s="118" t="s">
        <v>176</v>
      </c>
      <c r="G360" s="118">
        <v>72</v>
      </c>
      <c r="H360" s="118" t="s">
        <v>177</v>
      </c>
      <c r="I360" s="378">
        <v>95</v>
      </c>
      <c r="J360" s="117">
        <v>55</v>
      </c>
      <c r="K360" s="117" t="s">
        <v>180</v>
      </c>
      <c r="L360" t="str">
        <f t="shared" si="79"/>
        <v>9C40</v>
      </c>
      <c r="M360" t="str">
        <f t="shared" si="89"/>
        <v/>
      </c>
      <c r="N360" t="str">
        <f t="shared" si="90"/>
        <v/>
      </c>
      <c r="O360" t="str">
        <f t="shared" si="91"/>
        <v/>
      </c>
      <c r="P360" s="113" t="str">
        <f t="shared" si="80"/>
        <v>9C40</v>
      </c>
      <c r="Q360" s="114">
        <f t="shared" si="81"/>
        <v>95</v>
      </c>
      <c r="R360" s="114">
        <f t="shared" si="82"/>
        <v>71.333333333333329</v>
      </c>
      <c r="S360" s="113">
        <f t="shared" si="83"/>
        <v>47</v>
      </c>
      <c r="T360" s="111">
        <f t="shared" ca="1" si="84"/>
        <v>1.88</v>
      </c>
      <c r="U360" s="111" t="str">
        <f t="shared" si="85"/>
        <v/>
      </c>
      <c r="V360" t="str">
        <f t="array" ref="V360">INDEX(P:P,MAX(U$3:U360))</f>
        <v>9C#3DTR(A)</v>
      </c>
      <c r="W360" t="str">
        <f t="shared" ca="1" si="86"/>
        <v/>
      </c>
      <c r="X360">
        <f t="shared" si="87"/>
        <v>11.4</v>
      </c>
      <c r="Y360">
        <f t="shared" si="88"/>
        <v>95</v>
      </c>
      <c r="Z360" t="str">
        <f t="shared" si="92"/>
        <v>員林</v>
      </c>
    </row>
    <row r="361" spans="1:26" x14ac:dyDescent="0.25">
      <c r="A361" s="118" t="s">
        <v>491</v>
      </c>
      <c r="B361" s="119" t="s">
        <v>513</v>
      </c>
      <c r="C361" s="119">
        <v>237</v>
      </c>
      <c r="D361" s="118" t="s">
        <v>179</v>
      </c>
      <c r="E361" s="118">
        <v>257</v>
      </c>
      <c r="F361" s="118" t="s">
        <v>192</v>
      </c>
      <c r="G361" s="118">
        <v>257</v>
      </c>
      <c r="H361" s="118" t="s">
        <v>207</v>
      </c>
      <c r="I361" s="378">
        <v>257</v>
      </c>
      <c r="J361" s="117">
        <v>58</v>
      </c>
      <c r="K361" s="117" t="s">
        <v>183</v>
      </c>
      <c r="L361" t="str">
        <f t="shared" si="79"/>
        <v>9C41</v>
      </c>
      <c r="M361" t="str">
        <f t="shared" si="89"/>
        <v/>
      </c>
      <c r="N361" t="str">
        <f t="shared" si="90"/>
        <v/>
      </c>
      <c r="O361" t="str">
        <f t="shared" si="91"/>
        <v/>
      </c>
      <c r="P361" s="113" t="str">
        <f t="shared" si="80"/>
        <v>9C41</v>
      </c>
      <c r="Q361" s="114">
        <f t="shared" si="81"/>
        <v>257</v>
      </c>
      <c r="R361" s="114">
        <f t="shared" si="82"/>
        <v>250.33333333333334</v>
      </c>
      <c r="S361" s="113">
        <f t="shared" si="83"/>
        <v>237</v>
      </c>
      <c r="T361" s="111">
        <f t="shared" ca="1" si="84"/>
        <v>5.07</v>
      </c>
      <c r="U361" s="111" t="str">
        <f t="shared" si="85"/>
        <v/>
      </c>
      <c r="V361" t="str">
        <f t="array" ref="V361">INDEX(P:P,MAX(U$3:U361))</f>
        <v>9C#3DTR(A)</v>
      </c>
      <c r="W361" t="str">
        <f t="shared" ca="1" si="86"/>
        <v/>
      </c>
      <c r="X361">
        <f t="shared" si="87"/>
        <v>11.4</v>
      </c>
      <c r="Y361">
        <f t="shared" si="88"/>
        <v>257</v>
      </c>
      <c r="Z361" t="str">
        <f t="shared" si="92"/>
        <v>員林</v>
      </c>
    </row>
    <row r="362" spans="1:26" x14ac:dyDescent="0.25">
      <c r="A362" s="118" t="s">
        <v>491</v>
      </c>
      <c r="B362" s="119" t="s">
        <v>514</v>
      </c>
      <c r="C362" s="119">
        <v>0</v>
      </c>
      <c r="D362" s="118" t="s">
        <v>194</v>
      </c>
      <c r="E362" s="118">
        <v>0</v>
      </c>
      <c r="F362" s="118" t="s">
        <v>194</v>
      </c>
      <c r="G362" s="118">
        <v>0</v>
      </c>
      <c r="H362" s="118" t="s">
        <v>194</v>
      </c>
      <c r="I362" s="378">
        <v>0</v>
      </c>
      <c r="J362" s="117">
        <v>0</v>
      </c>
      <c r="K362" s="117" t="s">
        <v>194</v>
      </c>
      <c r="L362" t="str">
        <f t="shared" si="79"/>
        <v>9C42</v>
      </c>
      <c r="M362" t="str">
        <f t="shared" si="89"/>
        <v/>
      </c>
      <c r="N362" t="str">
        <f t="shared" si="90"/>
        <v/>
      </c>
      <c r="O362" t="str">
        <f t="shared" si="91"/>
        <v/>
      </c>
      <c r="P362" s="113" t="str">
        <f t="shared" si="80"/>
        <v>9C42</v>
      </c>
      <c r="Q362" s="114">
        <f t="shared" si="81"/>
        <v>0</v>
      </c>
      <c r="R362" s="114">
        <f t="shared" si="82"/>
        <v>0</v>
      </c>
      <c r="S362" s="113">
        <f t="shared" si="83"/>
        <v>0</v>
      </c>
      <c r="T362" s="111">
        <f t="shared" ca="1" si="84"/>
        <v>0</v>
      </c>
      <c r="U362" s="111" t="str">
        <f t="shared" si="85"/>
        <v/>
      </c>
      <c r="V362" t="str">
        <f t="array" ref="V362">INDEX(P:P,MAX(U$3:U362))</f>
        <v>9C#3DTR(A)</v>
      </c>
      <c r="W362" t="str">
        <f t="shared" ca="1" si="86"/>
        <v/>
      </c>
      <c r="X362">
        <f t="shared" si="87"/>
        <v>11.4</v>
      </c>
      <c r="Y362">
        <f t="shared" si="88"/>
        <v>0</v>
      </c>
      <c r="Z362" t="str">
        <f t="shared" si="92"/>
        <v>員林</v>
      </c>
    </row>
    <row r="363" spans="1:26" x14ac:dyDescent="0.25">
      <c r="A363" s="118" t="s">
        <v>491</v>
      </c>
      <c r="B363" s="119" t="s">
        <v>515</v>
      </c>
      <c r="C363" s="119">
        <v>175</v>
      </c>
      <c r="D363" s="118" t="s">
        <v>184</v>
      </c>
      <c r="E363" s="118">
        <v>168</v>
      </c>
      <c r="F363" s="118" t="s">
        <v>183</v>
      </c>
      <c r="G363" s="118">
        <v>174</v>
      </c>
      <c r="H363" s="118" t="s">
        <v>183</v>
      </c>
      <c r="I363" s="378">
        <v>175</v>
      </c>
      <c r="J363" s="117">
        <v>40</v>
      </c>
      <c r="K363" s="117" t="s">
        <v>177</v>
      </c>
      <c r="L363" t="str">
        <f t="shared" si="79"/>
        <v>9C43</v>
      </c>
      <c r="M363" t="str">
        <f t="shared" si="89"/>
        <v/>
      </c>
      <c r="N363" t="str">
        <f t="shared" si="90"/>
        <v/>
      </c>
      <c r="O363" t="str">
        <f t="shared" si="91"/>
        <v/>
      </c>
      <c r="P363" s="113" t="str">
        <f t="shared" si="80"/>
        <v>9C43</v>
      </c>
      <c r="Q363" s="114">
        <f t="shared" si="81"/>
        <v>175</v>
      </c>
      <c r="R363" s="114">
        <f t="shared" si="82"/>
        <v>172.33333333333334</v>
      </c>
      <c r="S363" s="113">
        <f t="shared" si="83"/>
        <v>168</v>
      </c>
      <c r="T363" s="111">
        <f t="shared" ca="1" si="84"/>
        <v>3.46</v>
      </c>
      <c r="U363" s="111" t="str">
        <f t="shared" si="85"/>
        <v/>
      </c>
      <c r="V363" t="str">
        <f t="array" ref="V363">INDEX(P:P,MAX(U$3:U363))</f>
        <v>9C#3DTR(A)</v>
      </c>
      <c r="W363" t="str">
        <f t="shared" ca="1" si="86"/>
        <v/>
      </c>
      <c r="X363">
        <f t="shared" si="87"/>
        <v>11.4</v>
      </c>
      <c r="Y363">
        <f t="shared" si="88"/>
        <v>175</v>
      </c>
      <c r="Z363" t="str">
        <f t="shared" si="92"/>
        <v>員林</v>
      </c>
    </row>
    <row r="364" spans="1:26" x14ac:dyDescent="0.25">
      <c r="A364" s="118" t="s">
        <v>491</v>
      </c>
      <c r="B364" s="119" t="s">
        <v>516</v>
      </c>
      <c r="C364" s="119">
        <v>168</v>
      </c>
      <c r="D364" s="118" t="s">
        <v>177</v>
      </c>
      <c r="E364" s="118">
        <v>148</v>
      </c>
      <c r="F364" s="118" t="s">
        <v>176</v>
      </c>
      <c r="G364" s="118">
        <v>124</v>
      </c>
      <c r="H364" s="118" t="s">
        <v>176</v>
      </c>
      <c r="I364" s="378">
        <v>168</v>
      </c>
      <c r="J364" s="117">
        <v>68</v>
      </c>
      <c r="K364" s="117" t="s">
        <v>188</v>
      </c>
      <c r="L364" t="str">
        <f t="shared" si="79"/>
        <v>9C44</v>
      </c>
      <c r="M364" t="str">
        <f t="shared" si="89"/>
        <v/>
      </c>
      <c r="N364" t="str">
        <f t="shared" si="90"/>
        <v/>
      </c>
      <c r="O364" t="str">
        <f t="shared" si="91"/>
        <v/>
      </c>
      <c r="P364" s="113" t="str">
        <f t="shared" si="80"/>
        <v>9C44</v>
      </c>
      <c r="Q364" s="114">
        <f t="shared" si="81"/>
        <v>168</v>
      </c>
      <c r="R364" s="114">
        <f t="shared" si="82"/>
        <v>146.66666666666666</v>
      </c>
      <c r="S364" s="113">
        <f t="shared" si="83"/>
        <v>124</v>
      </c>
      <c r="T364" s="111">
        <f t="shared" ca="1" si="84"/>
        <v>3.32</v>
      </c>
      <c r="U364" s="111" t="str">
        <f t="shared" si="85"/>
        <v/>
      </c>
      <c r="V364" t="str">
        <f t="array" ref="V364">INDEX(P:P,MAX(U$3:U364))</f>
        <v>9C#3DTR(A)</v>
      </c>
      <c r="W364" t="str">
        <f t="shared" ca="1" si="86"/>
        <v/>
      </c>
      <c r="X364">
        <f t="shared" si="87"/>
        <v>11.4</v>
      </c>
      <c r="Y364">
        <f t="shared" si="88"/>
        <v>168</v>
      </c>
      <c r="Z364" t="str">
        <f t="shared" si="92"/>
        <v>員林</v>
      </c>
    </row>
    <row r="365" spans="1:26" x14ac:dyDescent="0.25">
      <c r="A365" s="118" t="s">
        <v>491</v>
      </c>
      <c r="B365" s="119" t="s">
        <v>373</v>
      </c>
      <c r="C365" s="119">
        <v>775</v>
      </c>
      <c r="D365" s="118" t="s">
        <v>184</v>
      </c>
      <c r="E365" s="118">
        <v>744</v>
      </c>
      <c r="F365" s="118" t="s">
        <v>179</v>
      </c>
      <c r="G365" s="118">
        <v>762</v>
      </c>
      <c r="H365" s="118" t="s">
        <v>184</v>
      </c>
      <c r="I365" s="378">
        <v>775</v>
      </c>
      <c r="J365" s="117"/>
      <c r="K365" s="117"/>
      <c r="L365" t="str">
        <f t="shared" si="79"/>
        <v>9C#3DTR(B)</v>
      </c>
      <c r="M365" t="str">
        <f t="shared" si="89"/>
        <v>(B)</v>
      </c>
      <c r="N365" t="str">
        <f t="shared" si="90"/>
        <v>9C#3DTR</v>
      </c>
      <c r="O365" t="str">
        <f t="shared" si="91"/>
        <v>(B)</v>
      </c>
      <c r="P365" s="113" t="str">
        <f t="shared" si="80"/>
        <v>9C#3DTR(B)</v>
      </c>
      <c r="Q365" s="114">
        <f t="shared" si="81"/>
        <v>775</v>
      </c>
      <c r="R365" s="114">
        <f t="shared" si="82"/>
        <v>760.33333333333337</v>
      </c>
      <c r="S365" s="113">
        <f t="shared" si="83"/>
        <v>744</v>
      </c>
      <c r="T365" s="111">
        <f t="shared" ca="1" si="84"/>
        <v>15.3</v>
      </c>
      <c r="U365" s="111">
        <f t="shared" si="85"/>
        <v>365</v>
      </c>
      <c r="V365" t="str">
        <f t="array" ref="V365">INDEX(P:P,MAX(U$3:U365))</f>
        <v>9C#3DTR(B)</v>
      </c>
      <c r="W365">
        <f t="shared" ca="1" si="86"/>
        <v>30</v>
      </c>
      <c r="X365" t="str">
        <f t="shared" si="87"/>
        <v/>
      </c>
      <c r="Y365">
        <f t="shared" si="88"/>
        <v>775</v>
      </c>
      <c r="Z365" t="str">
        <f t="shared" si="92"/>
        <v>員林</v>
      </c>
    </row>
    <row r="366" spans="1:26" x14ac:dyDescent="0.25">
      <c r="A366" s="118" t="s">
        <v>491</v>
      </c>
      <c r="B366" s="119" t="s">
        <v>517</v>
      </c>
      <c r="C366" s="119">
        <v>153</v>
      </c>
      <c r="D366" s="118" t="s">
        <v>177</v>
      </c>
      <c r="E366" s="118">
        <v>148</v>
      </c>
      <c r="F366" s="118" t="s">
        <v>177</v>
      </c>
      <c r="G366" s="118">
        <v>141</v>
      </c>
      <c r="H366" s="118" t="s">
        <v>177</v>
      </c>
      <c r="I366" s="378">
        <v>153</v>
      </c>
      <c r="J366" s="117">
        <v>46</v>
      </c>
      <c r="K366" s="117" t="s">
        <v>211</v>
      </c>
      <c r="L366" t="str">
        <f t="shared" si="79"/>
        <v>9C45</v>
      </c>
      <c r="M366" t="str">
        <f t="shared" si="89"/>
        <v/>
      </c>
      <c r="N366" t="str">
        <f t="shared" si="90"/>
        <v/>
      </c>
      <c r="O366" t="str">
        <f t="shared" si="91"/>
        <v/>
      </c>
      <c r="P366" s="113" t="str">
        <f t="shared" si="80"/>
        <v>9C45</v>
      </c>
      <c r="Q366" s="114">
        <f t="shared" si="81"/>
        <v>153</v>
      </c>
      <c r="R366" s="114">
        <f t="shared" si="82"/>
        <v>147.33333333333334</v>
      </c>
      <c r="S366" s="113">
        <f t="shared" si="83"/>
        <v>141</v>
      </c>
      <c r="T366" s="111">
        <f t="shared" ca="1" si="84"/>
        <v>3.02</v>
      </c>
      <c r="U366" s="111" t="str">
        <f t="shared" si="85"/>
        <v/>
      </c>
      <c r="V366" t="str">
        <f t="array" ref="V366">INDEX(P:P,MAX(U$3:U366))</f>
        <v>9C#3DTR(B)</v>
      </c>
      <c r="W366" t="str">
        <f t="shared" ca="1" si="86"/>
        <v/>
      </c>
      <c r="X366">
        <f t="shared" si="87"/>
        <v>11.4</v>
      </c>
      <c r="Y366">
        <f t="shared" si="88"/>
        <v>153</v>
      </c>
      <c r="Z366" t="str">
        <f t="shared" si="92"/>
        <v>員林</v>
      </c>
    </row>
    <row r="367" spans="1:26" x14ac:dyDescent="0.25">
      <c r="A367" s="118" t="s">
        <v>491</v>
      </c>
      <c r="B367" s="119" t="s">
        <v>518</v>
      </c>
      <c r="C367" s="119">
        <v>209</v>
      </c>
      <c r="D367" s="118" t="s">
        <v>198</v>
      </c>
      <c r="E367" s="118">
        <v>206</v>
      </c>
      <c r="F367" s="118" t="s">
        <v>207</v>
      </c>
      <c r="G367" s="118">
        <v>205</v>
      </c>
      <c r="H367" s="118" t="s">
        <v>207</v>
      </c>
      <c r="I367" s="378">
        <v>209</v>
      </c>
      <c r="J367" s="117">
        <v>24</v>
      </c>
      <c r="K367" s="117" t="s">
        <v>183</v>
      </c>
      <c r="L367" t="str">
        <f t="shared" si="79"/>
        <v>9C46</v>
      </c>
      <c r="M367" t="str">
        <f t="shared" si="89"/>
        <v/>
      </c>
      <c r="N367" t="str">
        <f t="shared" si="90"/>
        <v/>
      </c>
      <c r="O367" t="str">
        <f t="shared" si="91"/>
        <v/>
      </c>
      <c r="P367" s="113" t="str">
        <f t="shared" si="80"/>
        <v>9C46</v>
      </c>
      <c r="Q367" s="114">
        <f t="shared" si="81"/>
        <v>209</v>
      </c>
      <c r="R367" s="114">
        <f t="shared" si="82"/>
        <v>206.66666666666666</v>
      </c>
      <c r="S367" s="113">
        <f t="shared" si="83"/>
        <v>205</v>
      </c>
      <c r="T367" s="111">
        <f t="shared" ca="1" si="84"/>
        <v>4.13</v>
      </c>
      <c r="U367" s="111" t="str">
        <f t="shared" si="85"/>
        <v/>
      </c>
      <c r="V367" t="str">
        <f t="array" ref="V367">INDEX(P:P,MAX(U$3:U367))</f>
        <v>9C#3DTR(B)</v>
      </c>
      <c r="W367" t="str">
        <f t="shared" ca="1" si="86"/>
        <v/>
      </c>
      <c r="X367">
        <f t="shared" si="87"/>
        <v>11.4</v>
      </c>
      <c r="Y367">
        <f t="shared" si="88"/>
        <v>209</v>
      </c>
      <c r="Z367" t="str">
        <f t="shared" si="92"/>
        <v>員林</v>
      </c>
    </row>
    <row r="368" spans="1:26" x14ac:dyDescent="0.25">
      <c r="A368" s="118" t="s">
        <v>491</v>
      </c>
      <c r="B368" s="119" t="s">
        <v>519</v>
      </c>
      <c r="C368" s="119">
        <v>248</v>
      </c>
      <c r="D368" s="118" t="s">
        <v>184</v>
      </c>
      <c r="E368" s="118">
        <v>244</v>
      </c>
      <c r="F368" s="118" t="s">
        <v>184</v>
      </c>
      <c r="G368" s="118">
        <v>246</v>
      </c>
      <c r="H368" s="118" t="s">
        <v>184</v>
      </c>
      <c r="I368" s="378">
        <v>248</v>
      </c>
      <c r="J368" s="117">
        <v>57</v>
      </c>
      <c r="K368" s="117" t="s">
        <v>211</v>
      </c>
      <c r="L368" t="str">
        <f t="shared" si="79"/>
        <v>9C47</v>
      </c>
      <c r="M368" t="str">
        <f t="shared" si="89"/>
        <v/>
      </c>
      <c r="N368" t="str">
        <f t="shared" si="90"/>
        <v/>
      </c>
      <c r="O368" t="str">
        <f t="shared" si="91"/>
        <v/>
      </c>
      <c r="P368" s="113" t="str">
        <f t="shared" si="80"/>
        <v>9C47</v>
      </c>
      <c r="Q368" s="114">
        <f t="shared" si="81"/>
        <v>248</v>
      </c>
      <c r="R368" s="114">
        <f t="shared" si="82"/>
        <v>246</v>
      </c>
      <c r="S368" s="113">
        <f t="shared" si="83"/>
        <v>244</v>
      </c>
      <c r="T368" s="111">
        <f t="shared" ca="1" si="84"/>
        <v>4.9000000000000004</v>
      </c>
      <c r="U368" s="111" t="str">
        <f t="shared" si="85"/>
        <v/>
      </c>
      <c r="V368" t="str">
        <f t="array" ref="V368">INDEX(P:P,MAX(U$3:U368))</f>
        <v>9C#3DTR(B)</v>
      </c>
      <c r="W368" t="str">
        <f t="shared" ca="1" si="86"/>
        <v/>
      </c>
      <c r="X368">
        <f t="shared" si="87"/>
        <v>11.4</v>
      </c>
      <c r="Y368">
        <f t="shared" si="88"/>
        <v>248</v>
      </c>
      <c r="Z368" t="str">
        <f t="shared" si="92"/>
        <v>員林</v>
      </c>
    </row>
    <row r="369" spans="1:26" x14ac:dyDescent="0.25">
      <c r="A369" s="118" t="s">
        <v>491</v>
      </c>
      <c r="B369" s="119" t="s">
        <v>520</v>
      </c>
      <c r="C369" s="119">
        <v>136</v>
      </c>
      <c r="D369" s="118" t="s">
        <v>229</v>
      </c>
      <c r="E369" s="118">
        <v>117</v>
      </c>
      <c r="F369" s="118" t="s">
        <v>229</v>
      </c>
      <c r="G369" s="118">
        <v>143</v>
      </c>
      <c r="H369" s="118" t="s">
        <v>229</v>
      </c>
      <c r="I369" s="378">
        <v>143</v>
      </c>
      <c r="J369" s="117">
        <v>50</v>
      </c>
      <c r="K369" s="117" t="s">
        <v>184</v>
      </c>
      <c r="L369" t="str">
        <f t="shared" si="79"/>
        <v>9C48</v>
      </c>
      <c r="M369" t="str">
        <f t="shared" si="89"/>
        <v/>
      </c>
      <c r="N369" t="str">
        <f t="shared" si="90"/>
        <v/>
      </c>
      <c r="O369" t="str">
        <f t="shared" si="91"/>
        <v/>
      </c>
      <c r="P369" s="113" t="str">
        <f t="shared" si="80"/>
        <v>9C48</v>
      </c>
      <c r="Q369" s="114">
        <f t="shared" si="81"/>
        <v>143</v>
      </c>
      <c r="R369" s="114">
        <f t="shared" si="82"/>
        <v>132</v>
      </c>
      <c r="S369" s="113">
        <f t="shared" si="83"/>
        <v>117</v>
      </c>
      <c r="T369" s="111">
        <f t="shared" ca="1" si="84"/>
        <v>2.82</v>
      </c>
      <c r="U369" s="111" t="str">
        <f t="shared" si="85"/>
        <v/>
      </c>
      <c r="V369" t="str">
        <f t="array" ref="V369">INDEX(P:P,MAX(U$3:U369))</f>
        <v>9C#3DTR(B)</v>
      </c>
      <c r="W369" t="str">
        <f t="shared" ca="1" si="86"/>
        <v/>
      </c>
      <c r="X369">
        <f t="shared" si="87"/>
        <v>11.4</v>
      </c>
      <c r="Y369">
        <f t="shared" si="88"/>
        <v>143</v>
      </c>
      <c r="Z369" t="str">
        <f t="shared" si="92"/>
        <v>員林</v>
      </c>
    </row>
    <row r="370" spans="1:26" x14ac:dyDescent="0.25">
      <c r="A370" s="118" t="s">
        <v>491</v>
      </c>
      <c r="B370" s="119" t="s">
        <v>521</v>
      </c>
      <c r="C370" s="119">
        <v>124</v>
      </c>
      <c r="D370" s="118" t="s">
        <v>203</v>
      </c>
      <c r="E370" s="118">
        <v>113</v>
      </c>
      <c r="F370" s="118" t="s">
        <v>180</v>
      </c>
      <c r="G370" s="118">
        <v>111</v>
      </c>
      <c r="H370" s="118" t="s">
        <v>183</v>
      </c>
      <c r="I370" s="378">
        <v>124</v>
      </c>
      <c r="J370" s="117">
        <v>18</v>
      </c>
      <c r="K370" s="117" t="s">
        <v>205</v>
      </c>
      <c r="L370" t="str">
        <f t="shared" si="79"/>
        <v>9C49</v>
      </c>
      <c r="M370" t="str">
        <f t="shared" si="89"/>
        <v/>
      </c>
      <c r="N370" t="str">
        <f t="shared" si="90"/>
        <v/>
      </c>
      <c r="O370" t="str">
        <f t="shared" si="91"/>
        <v/>
      </c>
      <c r="P370" s="113" t="str">
        <f t="shared" si="80"/>
        <v>9C49</v>
      </c>
      <c r="Q370" s="114">
        <f t="shared" si="81"/>
        <v>124</v>
      </c>
      <c r="R370" s="114">
        <f t="shared" si="82"/>
        <v>116</v>
      </c>
      <c r="S370" s="113">
        <f t="shared" si="83"/>
        <v>111</v>
      </c>
      <c r="T370" s="111">
        <f t="shared" ca="1" si="84"/>
        <v>2.4500000000000002</v>
      </c>
      <c r="U370" s="111" t="str">
        <f t="shared" si="85"/>
        <v/>
      </c>
      <c r="V370" t="str">
        <f t="array" ref="V370">INDEX(P:P,MAX(U$3:U370))</f>
        <v>9C#3DTR(B)</v>
      </c>
      <c r="W370" t="str">
        <f t="shared" ca="1" si="86"/>
        <v/>
      </c>
      <c r="X370">
        <f t="shared" si="87"/>
        <v>11.4</v>
      </c>
      <c r="Y370">
        <f t="shared" si="88"/>
        <v>124</v>
      </c>
      <c r="Z370" t="str">
        <f t="shared" si="92"/>
        <v>員林</v>
      </c>
    </row>
    <row r="371" spans="1:26" x14ac:dyDescent="0.25">
      <c r="A371" s="118" t="s">
        <v>522</v>
      </c>
      <c r="B371" s="119" t="s">
        <v>175</v>
      </c>
      <c r="C371" s="119">
        <v>996</v>
      </c>
      <c r="D371" s="118" t="s">
        <v>192</v>
      </c>
      <c r="E371" s="118">
        <v>979</v>
      </c>
      <c r="F371" s="118" t="s">
        <v>192</v>
      </c>
      <c r="G371" s="118">
        <v>929</v>
      </c>
      <c r="H371" s="118" t="s">
        <v>192</v>
      </c>
      <c r="I371" s="378">
        <v>996</v>
      </c>
      <c r="J371" s="117"/>
      <c r="K371" s="117"/>
      <c r="L371" t="str">
        <f t="shared" si="79"/>
        <v>IL#1MTR</v>
      </c>
      <c r="M371" t="str">
        <f t="shared" si="89"/>
        <v/>
      </c>
      <c r="N371" t="str">
        <f t="shared" si="90"/>
        <v>IL#1MTR</v>
      </c>
      <c r="O371" t="str">
        <f t="shared" si="91"/>
        <v/>
      </c>
      <c r="P371" s="113" t="str">
        <f t="shared" si="80"/>
        <v>IL#1MTR</v>
      </c>
      <c r="Q371" s="114">
        <f t="shared" si="81"/>
        <v>996</v>
      </c>
      <c r="R371" s="114">
        <f t="shared" si="82"/>
        <v>968</v>
      </c>
      <c r="S371" s="113">
        <f t="shared" si="83"/>
        <v>929</v>
      </c>
      <c r="T371" s="111">
        <f t="shared" ca="1" si="84"/>
        <v>19.670000000000002</v>
      </c>
      <c r="U371" s="111">
        <f t="shared" si="85"/>
        <v>371</v>
      </c>
      <c r="V371" t="str">
        <f t="array" ref="V371">INDEX(P:P,MAX(U$3:U371))</f>
        <v>IL#1MTR</v>
      </c>
      <c r="W371">
        <f t="shared" ca="1" si="86"/>
        <v>25</v>
      </c>
      <c r="X371" t="str">
        <f t="shared" si="87"/>
        <v/>
      </c>
      <c r="Y371">
        <f t="shared" si="88"/>
        <v>996</v>
      </c>
      <c r="Z371" t="str">
        <f t="shared" si="92"/>
        <v>員南</v>
      </c>
    </row>
    <row r="372" spans="1:26" x14ac:dyDescent="0.25">
      <c r="A372" s="118" t="s">
        <v>522</v>
      </c>
      <c r="B372" s="119" t="s">
        <v>523</v>
      </c>
      <c r="C372" s="119">
        <v>194</v>
      </c>
      <c r="D372" s="118" t="s">
        <v>229</v>
      </c>
      <c r="E372" s="118">
        <v>192</v>
      </c>
      <c r="F372" s="118" t="s">
        <v>207</v>
      </c>
      <c r="G372" s="118">
        <v>160</v>
      </c>
      <c r="H372" s="118" t="s">
        <v>229</v>
      </c>
      <c r="I372" s="378">
        <v>194</v>
      </c>
      <c r="J372" s="117">
        <v>78</v>
      </c>
      <c r="K372" s="117" t="s">
        <v>176</v>
      </c>
      <c r="L372" t="str">
        <f t="shared" si="79"/>
        <v>IL27</v>
      </c>
      <c r="M372" t="str">
        <f t="shared" si="89"/>
        <v/>
      </c>
      <c r="N372" t="str">
        <f t="shared" si="90"/>
        <v/>
      </c>
      <c r="O372" t="str">
        <f t="shared" si="91"/>
        <v/>
      </c>
      <c r="P372" s="113" t="str">
        <f t="shared" si="80"/>
        <v>IL27</v>
      </c>
      <c r="Q372" s="114">
        <f t="shared" si="81"/>
        <v>194</v>
      </c>
      <c r="R372" s="114">
        <f t="shared" si="82"/>
        <v>182</v>
      </c>
      <c r="S372" s="113">
        <f t="shared" si="83"/>
        <v>160</v>
      </c>
      <c r="T372" s="111">
        <f t="shared" ca="1" si="84"/>
        <v>3.83</v>
      </c>
      <c r="U372" s="111" t="str">
        <f t="shared" si="85"/>
        <v/>
      </c>
      <c r="V372" t="str">
        <f t="array" ref="V372">INDEX(P:P,MAX(U$3:U372))</f>
        <v>IL#1MTR</v>
      </c>
      <c r="W372" t="str">
        <f t="shared" ca="1" si="86"/>
        <v/>
      </c>
      <c r="X372">
        <f t="shared" si="87"/>
        <v>11.4</v>
      </c>
      <c r="Y372">
        <f t="shared" si="88"/>
        <v>194</v>
      </c>
      <c r="Z372" t="str">
        <f t="shared" si="92"/>
        <v>員南</v>
      </c>
    </row>
    <row r="373" spans="1:26" x14ac:dyDescent="0.25">
      <c r="A373" s="118" t="s">
        <v>522</v>
      </c>
      <c r="B373" s="119" t="s">
        <v>524</v>
      </c>
      <c r="C373" s="119">
        <v>293</v>
      </c>
      <c r="D373" s="118" t="s">
        <v>198</v>
      </c>
      <c r="E373" s="118">
        <v>265</v>
      </c>
      <c r="F373" s="118" t="s">
        <v>192</v>
      </c>
      <c r="G373" s="118">
        <v>262</v>
      </c>
      <c r="H373" s="118" t="s">
        <v>192</v>
      </c>
      <c r="I373" s="378">
        <v>293</v>
      </c>
      <c r="J373" s="117">
        <v>76</v>
      </c>
      <c r="K373" s="117" t="s">
        <v>198</v>
      </c>
      <c r="L373" t="str">
        <f t="shared" si="79"/>
        <v>IL22</v>
      </c>
      <c r="M373" t="str">
        <f t="shared" si="89"/>
        <v/>
      </c>
      <c r="N373" t="str">
        <f t="shared" si="90"/>
        <v/>
      </c>
      <c r="O373" t="str">
        <f t="shared" si="91"/>
        <v/>
      </c>
      <c r="P373" s="113" t="str">
        <f t="shared" si="80"/>
        <v>IL22</v>
      </c>
      <c r="Q373" s="114">
        <f t="shared" si="81"/>
        <v>293</v>
      </c>
      <c r="R373" s="114">
        <f t="shared" si="82"/>
        <v>273.33333333333331</v>
      </c>
      <c r="S373" s="113">
        <f t="shared" si="83"/>
        <v>262</v>
      </c>
      <c r="T373" s="111">
        <f t="shared" ca="1" si="84"/>
        <v>5.79</v>
      </c>
      <c r="U373" s="111" t="str">
        <f t="shared" si="85"/>
        <v/>
      </c>
      <c r="V373" t="str">
        <f t="array" ref="V373">INDEX(P:P,MAX(U$3:U373))</f>
        <v>IL#1MTR</v>
      </c>
      <c r="W373" t="str">
        <f t="shared" ca="1" si="86"/>
        <v/>
      </c>
      <c r="X373">
        <f t="shared" si="87"/>
        <v>11.4</v>
      </c>
      <c r="Y373">
        <f t="shared" si="88"/>
        <v>293</v>
      </c>
      <c r="Z373" t="str">
        <f t="shared" si="92"/>
        <v>員南</v>
      </c>
    </row>
    <row r="374" spans="1:26" x14ac:dyDescent="0.25">
      <c r="A374" s="118" t="s">
        <v>522</v>
      </c>
      <c r="B374" s="119" t="s">
        <v>525</v>
      </c>
      <c r="C374" s="119">
        <v>269</v>
      </c>
      <c r="D374" s="118" t="s">
        <v>192</v>
      </c>
      <c r="E374" s="118">
        <v>270</v>
      </c>
      <c r="F374" s="118" t="s">
        <v>192</v>
      </c>
      <c r="G374" s="118">
        <v>249</v>
      </c>
      <c r="H374" s="118" t="s">
        <v>196</v>
      </c>
      <c r="I374" s="378">
        <v>270</v>
      </c>
      <c r="J374" s="117">
        <v>66</v>
      </c>
      <c r="K374" s="117" t="s">
        <v>192</v>
      </c>
      <c r="L374" t="str">
        <f t="shared" si="79"/>
        <v>IL21</v>
      </c>
      <c r="M374" t="str">
        <f t="shared" si="89"/>
        <v/>
      </c>
      <c r="N374" t="str">
        <f t="shared" si="90"/>
        <v/>
      </c>
      <c r="O374" t="str">
        <f t="shared" si="91"/>
        <v/>
      </c>
      <c r="P374" s="113" t="str">
        <f t="shared" si="80"/>
        <v>IL21</v>
      </c>
      <c r="Q374" s="114">
        <f t="shared" si="81"/>
        <v>270</v>
      </c>
      <c r="R374" s="114">
        <f t="shared" si="82"/>
        <v>262.66666666666669</v>
      </c>
      <c r="S374" s="113">
        <f t="shared" si="83"/>
        <v>249</v>
      </c>
      <c r="T374" s="111">
        <f t="shared" ca="1" si="84"/>
        <v>5.33</v>
      </c>
      <c r="U374" s="111" t="str">
        <f t="shared" si="85"/>
        <v/>
      </c>
      <c r="V374" t="str">
        <f t="array" ref="V374">INDEX(P:P,MAX(U$3:U374))</f>
        <v>IL#1MTR</v>
      </c>
      <c r="W374" t="str">
        <f t="shared" ca="1" si="86"/>
        <v/>
      </c>
      <c r="X374">
        <f t="shared" si="87"/>
        <v>11.4</v>
      </c>
      <c r="Y374">
        <f t="shared" si="88"/>
        <v>270</v>
      </c>
      <c r="Z374" t="str">
        <f t="shared" si="92"/>
        <v>員南</v>
      </c>
    </row>
    <row r="375" spans="1:26" x14ac:dyDescent="0.25">
      <c r="A375" s="118" t="s">
        <v>522</v>
      </c>
      <c r="B375" s="119" t="s">
        <v>526</v>
      </c>
      <c r="C375" s="119">
        <v>144</v>
      </c>
      <c r="D375" s="118" t="s">
        <v>200</v>
      </c>
      <c r="E375" s="118">
        <v>152</v>
      </c>
      <c r="F375" s="118" t="s">
        <v>200</v>
      </c>
      <c r="G375" s="118">
        <v>163</v>
      </c>
      <c r="H375" s="118" t="s">
        <v>200</v>
      </c>
      <c r="I375" s="378">
        <v>163</v>
      </c>
      <c r="J375" s="117">
        <v>35</v>
      </c>
      <c r="K375" s="117" t="s">
        <v>179</v>
      </c>
      <c r="L375" t="str">
        <f t="shared" si="79"/>
        <v>IL23</v>
      </c>
      <c r="M375" t="str">
        <f t="shared" si="89"/>
        <v/>
      </c>
      <c r="N375" t="str">
        <f t="shared" si="90"/>
        <v/>
      </c>
      <c r="O375" t="str">
        <f t="shared" si="91"/>
        <v/>
      </c>
      <c r="P375" s="113" t="str">
        <f t="shared" si="80"/>
        <v>IL23</v>
      </c>
      <c r="Q375" s="114">
        <f t="shared" si="81"/>
        <v>163</v>
      </c>
      <c r="R375" s="114">
        <f t="shared" si="82"/>
        <v>153</v>
      </c>
      <c r="S375" s="113">
        <f t="shared" si="83"/>
        <v>144</v>
      </c>
      <c r="T375" s="111">
        <f t="shared" ca="1" si="84"/>
        <v>3.22</v>
      </c>
      <c r="U375" s="111" t="str">
        <f t="shared" si="85"/>
        <v/>
      </c>
      <c r="V375" t="str">
        <f t="array" ref="V375">INDEX(P:P,MAX(U$3:U375))</f>
        <v>IL#1MTR</v>
      </c>
      <c r="W375" t="str">
        <f t="shared" ca="1" si="86"/>
        <v/>
      </c>
      <c r="X375">
        <f t="shared" si="87"/>
        <v>11.4</v>
      </c>
      <c r="Y375">
        <f t="shared" si="88"/>
        <v>163</v>
      </c>
      <c r="Z375" t="str">
        <f t="shared" si="92"/>
        <v>員南</v>
      </c>
    </row>
    <row r="376" spans="1:26" x14ac:dyDescent="0.25">
      <c r="A376" s="118" t="s">
        <v>522</v>
      </c>
      <c r="B376" s="119" t="s">
        <v>527</v>
      </c>
      <c r="C376" s="119">
        <v>153</v>
      </c>
      <c r="D376" s="118" t="s">
        <v>192</v>
      </c>
      <c r="E376" s="118">
        <v>157</v>
      </c>
      <c r="F376" s="118" t="s">
        <v>192</v>
      </c>
      <c r="G376" s="118">
        <v>160</v>
      </c>
      <c r="H376" s="118" t="s">
        <v>192</v>
      </c>
      <c r="I376" s="378">
        <v>160</v>
      </c>
      <c r="J376" s="117">
        <v>6</v>
      </c>
      <c r="K376" s="117" t="s">
        <v>176</v>
      </c>
      <c r="L376" t="str">
        <f t="shared" si="79"/>
        <v>IL24</v>
      </c>
      <c r="M376" t="str">
        <f t="shared" si="89"/>
        <v/>
      </c>
      <c r="N376" t="str">
        <f t="shared" si="90"/>
        <v/>
      </c>
      <c r="O376" t="str">
        <f t="shared" si="91"/>
        <v/>
      </c>
      <c r="P376" s="113" t="str">
        <f t="shared" si="80"/>
        <v>IL24</v>
      </c>
      <c r="Q376" s="114">
        <f t="shared" si="81"/>
        <v>160</v>
      </c>
      <c r="R376" s="114">
        <f t="shared" si="82"/>
        <v>156.66666666666666</v>
      </c>
      <c r="S376" s="113">
        <f t="shared" si="83"/>
        <v>153</v>
      </c>
      <c r="T376" s="111">
        <f t="shared" ca="1" si="84"/>
        <v>3.16</v>
      </c>
      <c r="U376" s="111" t="str">
        <f t="shared" si="85"/>
        <v/>
      </c>
      <c r="V376" t="str">
        <f t="array" ref="V376">INDEX(P:P,MAX(U$3:U376))</f>
        <v>IL#1MTR</v>
      </c>
      <c r="W376" t="str">
        <f t="shared" ca="1" si="86"/>
        <v/>
      </c>
      <c r="X376">
        <f t="shared" si="87"/>
        <v>11.4</v>
      </c>
      <c r="Y376">
        <f t="shared" si="88"/>
        <v>160</v>
      </c>
      <c r="Z376" t="str">
        <f t="shared" si="92"/>
        <v>員南</v>
      </c>
    </row>
    <row r="377" spans="1:26" x14ac:dyDescent="0.25">
      <c r="A377" s="118" t="s">
        <v>522</v>
      </c>
      <c r="B377" s="119" t="s">
        <v>528</v>
      </c>
      <c r="C377" s="119">
        <v>0</v>
      </c>
      <c r="D377" s="118" t="s">
        <v>194</v>
      </c>
      <c r="E377" s="118">
        <v>0</v>
      </c>
      <c r="F377" s="118" t="s">
        <v>194</v>
      </c>
      <c r="G377" s="118">
        <v>0</v>
      </c>
      <c r="H377" s="118" t="s">
        <v>194</v>
      </c>
      <c r="I377" s="378">
        <v>0</v>
      </c>
      <c r="J377" s="117">
        <v>0</v>
      </c>
      <c r="K377" s="117" t="s">
        <v>194</v>
      </c>
      <c r="L377" t="str">
        <f t="shared" si="79"/>
        <v>F16)</v>
      </c>
      <c r="M377" t="str">
        <f t="shared" si="89"/>
        <v/>
      </c>
      <c r="N377" t="str">
        <f t="shared" si="90"/>
        <v/>
      </c>
      <c r="O377" t="str">
        <f t="shared" si="91"/>
        <v/>
      </c>
      <c r="P377" s="113" t="str">
        <f t="shared" si="80"/>
        <v>F16)</v>
      </c>
      <c r="Q377" s="114">
        <f t="shared" si="81"/>
        <v>0</v>
      </c>
      <c r="R377" s="114">
        <f t="shared" si="82"/>
        <v>0</v>
      </c>
      <c r="S377" s="113">
        <f t="shared" si="83"/>
        <v>0</v>
      </c>
      <c r="T377" s="111">
        <f t="shared" ca="1" si="84"/>
        <v>0</v>
      </c>
      <c r="U377" s="111" t="str">
        <f t="shared" si="85"/>
        <v/>
      </c>
      <c r="V377" t="str">
        <f t="array" ref="V377">INDEX(P:P,MAX(U$3:U377))</f>
        <v>IL#1MTR</v>
      </c>
      <c r="W377" t="str">
        <f t="shared" ca="1" si="86"/>
        <v/>
      </c>
      <c r="X377">
        <f t="shared" si="87"/>
        <v>22.8</v>
      </c>
      <c r="Y377">
        <f t="shared" si="88"/>
        <v>0</v>
      </c>
      <c r="Z377" t="str">
        <f t="shared" si="92"/>
        <v>員南</v>
      </c>
    </row>
    <row r="378" spans="1:26" x14ac:dyDescent="0.25">
      <c r="A378" s="118" t="s">
        <v>522</v>
      </c>
      <c r="B378" s="119" t="s">
        <v>187</v>
      </c>
      <c r="C378" s="119">
        <v>625</v>
      </c>
      <c r="D378" s="118" t="s">
        <v>192</v>
      </c>
      <c r="E378" s="118">
        <v>553</v>
      </c>
      <c r="F378" s="118" t="s">
        <v>192</v>
      </c>
      <c r="G378" s="118">
        <v>546</v>
      </c>
      <c r="H378" s="118" t="s">
        <v>192</v>
      </c>
      <c r="I378" s="378">
        <v>625</v>
      </c>
      <c r="J378" s="117"/>
      <c r="K378" s="117"/>
      <c r="L378" t="str">
        <f t="shared" si="79"/>
        <v>IL#2MTR</v>
      </c>
      <c r="M378" t="str">
        <f t="shared" si="89"/>
        <v/>
      </c>
      <c r="N378" t="str">
        <f t="shared" si="90"/>
        <v>IL#2MTR</v>
      </c>
      <c r="O378" t="str">
        <f t="shared" si="91"/>
        <v/>
      </c>
      <c r="P378" s="113" t="str">
        <f t="shared" si="80"/>
        <v>IL#2MTR</v>
      </c>
      <c r="Q378" s="114">
        <f t="shared" si="81"/>
        <v>625</v>
      </c>
      <c r="R378" s="114">
        <f t="shared" si="82"/>
        <v>574.66666666666663</v>
      </c>
      <c r="S378" s="113">
        <f t="shared" si="83"/>
        <v>546</v>
      </c>
      <c r="T378" s="111">
        <f t="shared" ca="1" si="84"/>
        <v>12.34</v>
      </c>
      <c r="U378" s="111">
        <f t="shared" si="85"/>
        <v>378</v>
      </c>
      <c r="V378" t="str">
        <f t="array" ref="V378">INDEX(P:P,MAX(U$3:U378))</f>
        <v>IL#2MTR</v>
      </c>
      <c r="W378">
        <f t="shared" ca="1" si="86"/>
        <v>25</v>
      </c>
      <c r="X378" t="str">
        <f t="shared" si="87"/>
        <v/>
      </c>
      <c r="Y378">
        <f t="shared" si="88"/>
        <v>625</v>
      </c>
      <c r="Z378" t="str">
        <f t="shared" si="92"/>
        <v>員南</v>
      </c>
    </row>
    <row r="379" spans="1:26" x14ac:dyDescent="0.25">
      <c r="A379" s="118" t="s">
        <v>522</v>
      </c>
      <c r="B379" s="119" t="s">
        <v>529</v>
      </c>
      <c r="C379" s="119">
        <v>127</v>
      </c>
      <c r="D379" s="118" t="s">
        <v>203</v>
      </c>
      <c r="E379" s="118">
        <v>114</v>
      </c>
      <c r="F379" s="118" t="s">
        <v>198</v>
      </c>
      <c r="G379" s="118">
        <v>128</v>
      </c>
      <c r="H379" s="118" t="s">
        <v>203</v>
      </c>
      <c r="I379" s="378">
        <v>128</v>
      </c>
      <c r="J379" s="117">
        <v>42</v>
      </c>
      <c r="K379" s="117" t="s">
        <v>203</v>
      </c>
      <c r="L379" t="str">
        <f t="shared" si="79"/>
        <v>IL32</v>
      </c>
      <c r="M379" t="str">
        <f t="shared" si="89"/>
        <v/>
      </c>
      <c r="N379" t="str">
        <f t="shared" si="90"/>
        <v/>
      </c>
      <c r="O379" t="str">
        <f t="shared" si="91"/>
        <v/>
      </c>
      <c r="P379" s="113" t="str">
        <f t="shared" si="80"/>
        <v>IL32</v>
      </c>
      <c r="Q379" s="114">
        <f t="shared" si="81"/>
        <v>128</v>
      </c>
      <c r="R379" s="114">
        <f t="shared" si="82"/>
        <v>123</v>
      </c>
      <c r="S379" s="113">
        <f t="shared" si="83"/>
        <v>114</v>
      </c>
      <c r="T379" s="111">
        <f t="shared" ca="1" si="84"/>
        <v>2.5299999999999998</v>
      </c>
      <c r="U379" s="111" t="str">
        <f t="shared" si="85"/>
        <v/>
      </c>
      <c r="V379" t="str">
        <f t="array" ref="V379">INDEX(P:P,MAX(U$3:U379))</f>
        <v>IL#2MTR</v>
      </c>
      <c r="W379" t="str">
        <f t="shared" ca="1" si="86"/>
        <v/>
      </c>
      <c r="X379">
        <f t="shared" si="87"/>
        <v>11.4</v>
      </c>
      <c r="Y379">
        <f t="shared" si="88"/>
        <v>128</v>
      </c>
      <c r="Z379" t="str">
        <f t="shared" si="92"/>
        <v>員南</v>
      </c>
    </row>
    <row r="380" spans="1:26" x14ac:dyDescent="0.25">
      <c r="A380" s="118" t="s">
        <v>522</v>
      </c>
      <c r="B380" s="119" t="s">
        <v>530</v>
      </c>
      <c r="C380" s="119">
        <v>89</v>
      </c>
      <c r="D380" s="118" t="s">
        <v>177</v>
      </c>
      <c r="E380" s="118">
        <v>93</v>
      </c>
      <c r="F380" s="118" t="s">
        <v>203</v>
      </c>
      <c r="G380" s="118">
        <v>53</v>
      </c>
      <c r="H380" s="118" t="s">
        <v>211</v>
      </c>
      <c r="I380" s="378">
        <v>93</v>
      </c>
      <c r="J380" s="117">
        <v>80</v>
      </c>
      <c r="K380" s="117" t="s">
        <v>203</v>
      </c>
      <c r="L380" t="str">
        <f t="shared" si="79"/>
        <v>IL29</v>
      </c>
      <c r="M380" t="str">
        <f t="shared" si="89"/>
        <v/>
      </c>
      <c r="N380" t="str">
        <f t="shared" si="90"/>
        <v/>
      </c>
      <c r="O380" t="str">
        <f t="shared" si="91"/>
        <v/>
      </c>
      <c r="P380" s="113" t="str">
        <f t="shared" si="80"/>
        <v>IL29</v>
      </c>
      <c r="Q380" s="114">
        <f t="shared" si="81"/>
        <v>93</v>
      </c>
      <c r="R380" s="114">
        <f t="shared" si="82"/>
        <v>78.333333333333329</v>
      </c>
      <c r="S380" s="113">
        <f t="shared" si="83"/>
        <v>53</v>
      </c>
      <c r="T380" s="111">
        <f t="shared" ca="1" si="84"/>
        <v>1.84</v>
      </c>
      <c r="U380" s="111" t="str">
        <f t="shared" si="85"/>
        <v/>
      </c>
      <c r="V380" t="str">
        <f t="array" ref="V380">INDEX(P:P,MAX(U$3:U380))</f>
        <v>IL#2MTR</v>
      </c>
      <c r="W380" t="str">
        <f t="shared" ca="1" si="86"/>
        <v/>
      </c>
      <c r="X380">
        <f t="shared" si="87"/>
        <v>11.4</v>
      </c>
      <c r="Y380">
        <f t="shared" si="88"/>
        <v>93</v>
      </c>
      <c r="Z380" t="str">
        <f t="shared" si="92"/>
        <v>員南</v>
      </c>
    </row>
    <row r="381" spans="1:26" x14ac:dyDescent="0.25">
      <c r="A381" s="118" t="s">
        <v>522</v>
      </c>
      <c r="B381" s="119" t="s">
        <v>531</v>
      </c>
      <c r="C381" s="119">
        <v>96</v>
      </c>
      <c r="D381" s="118" t="s">
        <v>183</v>
      </c>
      <c r="E381" s="118">
        <v>95</v>
      </c>
      <c r="F381" s="118" t="s">
        <v>183</v>
      </c>
      <c r="G381" s="118">
        <v>93</v>
      </c>
      <c r="H381" s="118" t="s">
        <v>183</v>
      </c>
      <c r="I381" s="378">
        <v>96</v>
      </c>
      <c r="J381" s="117">
        <v>0</v>
      </c>
      <c r="K381" s="117" t="s">
        <v>194</v>
      </c>
      <c r="L381" t="str">
        <f t="shared" si="79"/>
        <v>IL20</v>
      </c>
      <c r="M381" t="str">
        <f t="shared" si="89"/>
        <v/>
      </c>
      <c r="N381" t="str">
        <f t="shared" si="90"/>
        <v/>
      </c>
      <c r="O381" t="str">
        <f t="shared" si="91"/>
        <v/>
      </c>
      <c r="P381" s="113" t="str">
        <f t="shared" si="80"/>
        <v>IL20</v>
      </c>
      <c r="Q381" s="114">
        <f t="shared" si="81"/>
        <v>96</v>
      </c>
      <c r="R381" s="114">
        <f t="shared" si="82"/>
        <v>94.666666666666671</v>
      </c>
      <c r="S381" s="113">
        <f t="shared" si="83"/>
        <v>93</v>
      </c>
      <c r="T381" s="111">
        <f t="shared" ca="1" si="84"/>
        <v>1.9</v>
      </c>
      <c r="U381" s="111" t="str">
        <f t="shared" si="85"/>
        <v/>
      </c>
      <c r="V381" t="str">
        <f t="array" ref="V381">INDEX(P:P,MAX(U$3:U381))</f>
        <v>IL#2MTR</v>
      </c>
      <c r="W381" t="str">
        <f t="shared" ca="1" si="86"/>
        <v/>
      </c>
      <c r="X381">
        <f t="shared" si="87"/>
        <v>11.4</v>
      </c>
      <c r="Y381">
        <f t="shared" si="88"/>
        <v>96</v>
      </c>
      <c r="Z381" t="str">
        <f t="shared" si="92"/>
        <v>員南</v>
      </c>
    </row>
    <row r="382" spans="1:26" x14ac:dyDescent="0.25">
      <c r="A382" s="118" t="s">
        <v>522</v>
      </c>
      <c r="B382" s="119" t="s">
        <v>532</v>
      </c>
      <c r="C382" s="119">
        <v>214</v>
      </c>
      <c r="D382" s="118" t="s">
        <v>179</v>
      </c>
      <c r="E382" s="118">
        <v>198</v>
      </c>
      <c r="F382" s="118" t="s">
        <v>179</v>
      </c>
      <c r="G382" s="118">
        <v>187</v>
      </c>
      <c r="H382" s="118" t="s">
        <v>179</v>
      </c>
      <c r="I382" s="378">
        <v>214</v>
      </c>
      <c r="J382" s="117">
        <v>60</v>
      </c>
      <c r="K382" s="117" t="s">
        <v>211</v>
      </c>
      <c r="L382" t="str">
        <f t="shared" si="79"/>
        <v>IL25</v>
      </c>
      <c r="M382" t="str">
        <f t="shared" si="89"/>
        <v/>
      </c>
      <c r="N382" t="str">
        <f t="shared" si="90"/>
        <v/>
      </c>
      <c r="O382" t="str">
        <f t="shared" si="91"/>
        <v/>
      </c>
      <c r="P382" s="113" t="str">
        <f t="shared" si="80"/>
        <v>IL25</v>
      </c>
      <c r="Q382" s="114">
        <f t="shared" si="81"/>
        <v>214</v>
      </c>
      <c r="R382" s="114">
        <f t="shared" si="82"/>
        <v>199.66666666666666</v>
      </c>
      <c r="S382" s="113">
        <f t="shared" si="83"/>
        <v>187</v>
      </c>
      <c r="T382" s="111">
        <f t="shared" ca="1" si="84"/>
        <v>4.2300000000000004</v>
      </c>
      <c r="U382" s="111" t="str">
        <f t="shared" si="85"/>
        <v/>
      </c>
      <c r="V382" t="str">
        <f t="array" ref="V382">INDEX(P:P,MAX(U$3:U382))</f>
        <v>IL#2MTR</v>
      </c>
      <c r="W382" t="str">
        <f t="shared" ca="1" si="86"/>
        <v/>
      </c>
      <c r="X382">
        <f t="shared" si="87"/>
        <v>11.4</v>
      </c>
      <c r="Y382">
        <f t="shared" si="88"/>
        <v>214</v>
      </c>
      <c r="Z382" t="str">
        <f t="shared" si="92"/>
        <v>員南</v>
      </c>
    </row>
    <row r="383" spans="1:26" x14ac:dyDescent="0.25">
      <c r="A383" s="118" t="s">
        <v>522</v>
      </c>
      <c r="B383" s="119" t="s">
        <v>533</v>
      </c>
      <c r="C383" s="119">
        <v>194</v>
      </c>
      <c r="D383" s="118" t="s">
        <v>207</v>
      </c>
      <c r="E383" s="118">
        <v>156</v>
      </c>
      <c r="F383" s="118" t="s">
        <v>207</v>
      </c>
      <c r="G383" s="118">
        <v>171</v>
      </c>
      <c r="H383" s="118" t="s">
        <v>207</v>
      </c>
      <c r="I383" s="378">
        <v>194</v>
      </c>
      <c r="J383" s="117">
        <v>68</v>
      </c>
      <c r="K383" s="117" t="s">
        <v>176</v>
      </c>
      <c r="L383" t="str">
        <f t="shared" si="79"/>
        <v>IL26</v>
      </c>
      <c r="M383" t="str">
        <f t="shared" si="89"/>
        <v/>
      </c>
      <c r="N383" t="str">
        <f t="shared" si="90"/>
        <v/>
      </c>
      <c r="O383" t="str">
        <f t="shared" si="91"/>
        <v/>
      </c>
      <c r="P383" s="113" t="str">
        <f t="shared" si="80"/>
        <v>IL26</v>
      </c>
      <c r="Q383" s="114">
        <f t="shared" si="81"/>
        <v>194</v>
      </c>
      <c r="R383" s="114">
        <f t="shared" si="82"/>
        <v>173.66666666666666</v>
      </c>
      <c r="S383" s="113">
        <f t="shared" si="83"/>
        <v>156</v>
      </c>
      <c r="T383" s="111">
        <f t="shared" ca="1" si="84"/>
        <v>3.83</v>
      </c>
      <c r="U383" s="111" t="str">
        <f t="shared" si="85"/>
        <v/>
      </c>
      <c r="V383" t="str">
        <f t="array" ref="V383">INDEX(P:P,MAX(U$3:U383))</f>
        <v>IL#2MTR</v>
      </c>
      <c r="W383" t="str">
        <f t="shared" ca="1" si="86"/>
        <v/>
      </c>
      <c r="X383">
        <f t="shared" si="87"/>
        <v>11.4</v>
      </c>
      <c r="Y383">
        <f t="shared" si="88"/>
        <v>194</v>
      </c>
      <c r="Z383" t="str">
        <f t="shared" si="92"/>
        <v>員南</v>
      </c>
    </row>
    <row r="384" spans="1:26" x14ac:dyDescent="0.25">
      <c r="A384" s="118" t="s">
        <v>522</v>
      </c>
      <c r="B384" s="119" t="s">
        <v>197</v>
      </c>
      <c r="C384" s="119">
        <v>437</v>
      </c>
      <c r="D384" s="118" t="s">
        <v>192</v>
      </c>
      <c r="E384" s="118">
        <v>408</v>
      </c>
      <c r="F384" s="118" t="s">
        <v>203</v>
      </c>
      <c r="G384" s="118">
        <v>401</v>
      </c>
      <c r="H384" s="118" t="s">
        <v>203</v>
      </c>
      <c r="I384" s="378">
        <v>437</v>
      </c>
      <c r="J384" s="117"/>
      <c r="K384" s="117"/>
      <c r="L384" t="str">
        <f t="shared" si="79"/>
        <v>IL#3MTR</v>
      </c>
      <c r="M384" t="str">
        <f t="shared" si="89"/>
        <v/>
      </c>
      <c r="N384" t="str">
        <f t="shared" si="90"/>
        <v>IL#3MTR</v>
      </c>
      <c r="O384" t="str">
        <f t="shared" si="91"/>
        <v/>
      </c>
      <c r="P384" s="113" t="str">
        <f t="shared" si="80"/>
        <v>IL#3MTR</v>
      </c>
      <c r="Q384" s="114">
        <f t="shared" si="81"/>
        <v>437</v>
      </c>
      <c r="R384" s="114">
        <f t="shared" si="82"/>
        <v>415.33333333333331</v>
      </c>
      <c r="S384" s="113">
        <f t="shared" si="83"/>
        <v>401</v>
      </c>
      <c r="T384" s="111">
        <f t="shared" ca="1" si="84"/>
        <v>17.260000000000002</v>
      </c>
      <c r="U384" s="111">
        <f t="shared" si="85"/>
        <v>384</v>
      </c>
      <c r="V384" t="str">
        <f t="array" ref="V384">INDEX(P:P,MAX(U$3:U384))</f>
        <v>IL#3MTR</v>
      </c>
      <c r="W384">
        <f t="shared" ca="1" si="86"/>
        <v>25</v>
      </c>
      <c r="X384" t="str">
        <f t="shared" si="87"/>
        <v/>
      </c>
      <c r="Y384">
        <f t="shared" si="88"/>
        <v>437</v>
      </c>
      <c r="Z384" t="str">
        <f t="shared" si="92"/>
        <v>員南</v>
      </c>
    </row>
    <row r="385" spans="1:26" x14ac:dyDescent="0.25">
      <c r="A385" s="118" t="s">
        <v>522</v>
      </c>
      <c r="B385" s="119" t="s">
        <v>534</v>
      </c>
      <c r="C385" s="119">
        <v>0</v>
      </c>
      <c r="D385" s="118" t="s">
        <v>194</v>
      </c>
      <c r="E385" s="118">
        <v>0</v>
      </c>
      <c r="F385" s="118" t="s">
        <v>194</v>
      </c>
      <c r="G385" s="118">
        <v>0</v>
      </c>
      <c r="H385" s="118" t="s">
        <v>194</v>
      </c>
      <c r="I385" s="378">
        <v>0</v>
      </c>
      <c r="J385" s="117">
        <v>0</v>
      </c>
      <c r="K385" s="117" t="s">
        <v>194</v>
      </c>
      <c r="L385" t="str">
        <f t="shared" si="79"/>
        <v>F15)</v>
      </c>
      <c r="M385" t="str">
        <f t="shared" si="89"/>
        <v/>
      </c>
      <c r="N385" t="str">
        <f t="shared" si="90"/>
        <v/>
      </c>
      <c r="O385" t="str">
        <f t="shared" si="91"/>
        <v/>
      </c>
      <c r="P385" s="113" t="str">
        <f t="shared" si="80"/>
        <v>F15)</v>
      </c>
      <c r="Q385" s="114">
        <f t="shared" si="81"/>
        <v>0</v>
      </c>
      <c r="R385" s="114">
        <f t="shared" si="82"/>
        <v>0</v>
      </c>
      <c r="S385" s="113">
        <f t="shared" si="83"/>
        <v>0</v>
      </c>
      <c r="T385" s="111">
        <f t="shared" ca="1" si="84"/>
        <v>0</v>
      </c>
      <c r="U385" s="111" t="str">
        <f t="shared" si="85"/>
        <v/>
      </c>
      <c r="V385" t="str">
        <f t="array" ref="V385">INDEX(P:P,MAX(U$3:U385))</f>
        <v>IL#3MTR</v>
      </c>
      <c r="W385" t="str">
        <f t="shared" ca="1" si="86"/>
        <v/>
      </c>
      <c r="X385">
        <f t="shared" si="87"/>
        <v>22.8</v>
      </c>
      <c r="Y385">
        <f t="shared" si="88"/>
        <v>0</v>
      </c>
      <c r="Z385" t="str">
        <f t="shared" si="92"/>
        <v>員南</v>
      </c>
    </row>
    <row r="386" spans="1:26" x14ac:dyDescent="0.25">
      <c r="A386" s="118" t="s">
        <v>522</v>
      </c>
      <c r="B386" s="119" t="s">
        <v>535</v>
      </c>
      <c r="C386" s="119">
        <v>0</v>
      </c>
      <c r="D386" s="118" t="s">
        <v>194</v>
      </c>
      <c r="E386" s="118">
        <v>0</v>
      </c>
      <c r="F386" s="118" t="s">
        <v>194</v>
      </c>
      <c r="G386" s="118">
        <v>0</v>
      </c>
      <c r="H386" s="118" t="s">
        <v>194</v>
      </c>
      <c r="I386" s="378">
        <v>0</v>
      </c>
      <c r="J386" s="117">
        <v>0</v>
      </c>
      <c r="K386" s="117" t="s">
        <v>194</v>
      </c>
      <c r="L386" t="str">
        <f t="shared" si="79"/>
        <v>F14)</v>
      </c>
      <c r="M386" t="str">
        <f t="shared" si="89"/>
        <v/>
      </c>
      <c r="N386" t="str">
        <f t="shared" si="90"/>
        <v/>
      </c>
      <c r="O386" t="str">
        <f t="shared" si="91"/>
        <v/>
      </c>
      <c r="P386" s="113" t="str">
        <f t="shared" si="80"/>
        <v>F14)</v>
      </c>
      <c r="Q386" s="114">
        <f t="shared" si="81"/>
        <v>0</v>
      </c>
      <c r="R386" s="114">
        <f t="shared" si="82"/>
        <v>0</v>
      </c>
      <c r="S386" s="113">
        <f t="shared" si="83"/>
        <v>0</v>
      </c>
      <c r="T386" s="111">
        <f t="shared" ca="1" si="84"/>
        <v>0</v>
      </c>
      <c r="U386" s="111" t="str">
        <f t="shared" si="85"/>
        <v/>
      </c>
      <c r="V386" t="str">
        <f t="array" ref="V386">INDEX(P:P,MAX(U$3:U386))</f>
        <v>IL#3MTR</v>
      </c>
      <c r="W386" t="str">
        <f t="shared" ca="1" si="86"/>
        <v/>
      </c>
      <c r="X386">
        <f t="shared" si="87"/>
        <v>11.4</v>
      </c>
      <c r="Y386">
        <f t="shared" si="88"/>
        <v>0</v>
      </c>
      <c r="Z386" t="str">
        <f t="shared" si="92"/>
        <v>員南</v>
      </c>
    </row>
    <row r="387" spans="1:26" x14ac:dyDescent="0.25">
      <c r="A387" s="118" t="s">
        <v>522</v>
      </c>
      <c r="B387" s="119" t="s">
        <v>536</v>
      </c>
      <c r="C387" s="119">
        <v>177</v>
      </c>
      <c r="D387" s="118" t="s">
        <v>176</v>
      </c>
      <c r="E387" s="118">
        <v>119</v>
      </c>
      <c r="F387" s="118" t="s">
        <v>183</v>
      </c>
      <c r="G387" s="118">
        <v>149</v>
      </c>
      <c r="H387" s="118" t="s">
        <v>179</v>
      </c>
      <c r="I387" s="378">
        <v>177</v>
      </c>
      <c r="J387" s="117">
        <v>76</v>
      </c>
      <c r="K387" s="117" t="s">
        <v>196</v>
      </c>
      <c r="L387" t="str">
        <f t="shared" ref="L387:L450" si="93">IF(COUNTIF(B387,"*TR*")&gt;0,SUBSTITUTE(RIGHT(TRIM(A387),2) &amp; B387," ",""),MID(B387,FIND("(",B387)+1,4))</f>
        <v>IL30</v>
      </c>
      <c r="M387" t="str">
        <f t="shared" si="89"/>
        <v/>
      </c>
      <c r="N387" t="str">
        <f t="shared" si="90"/>
        <v/>
      </c>
      <c r="O387" t="str">
        <f t="shared" si="91"/>
        <v/>
      </c>
      <c r="P387" s="113" t="str">
        <f t="shared" ref="P387:P450" si="94">IF(COUNTIF(B387,"*TR*")&gt;0,SUBSTITUTE(RIGHT(TRIM(A387),2) &amp; B387," ",""),MID(B387,FIND("(",B387)+1,4))</f>
        <v>IL30</v>
      </c>
      <c r="Q387" s="114">
        <f t="shared" ref="Q387:Q450" si="95">VALUE(I387)</f>
        <v>177</v>
      </c>
      <c r="R387" s="114">
        <f t="shared" ref="R387:R450" si="96">AVERAGE(C387*1,E387*1,G387*1)</f>
        <v>148.33333333333334</v>
      </c>
      <c r="S387" s="113">
        <f t="shared" ref="S387:S450" si="97">MIN(C387*1,E387*1,G387*1)</f>
        <v>119</v>
      </c>
      <c r="T387" s="111">
        <f t="shared" ref="T387:T450" ca="1" si="98">IF(LEFT(TRIM(B387),1)="#",ROUND(OFFSET(X387,1,0,1,1)*Y387*SQRT(3)/1000,2),ROUND(Q387*X387*SQRT(3)/1000,2))</f>
        <v>3.49</v>
      </c>
      <c r="U387" s="111" t="str">
        <f t="shared" ref="U387:U450" si="99">IF(ISNUMBER(FIND("#",B387)),ROW(),"")</f>
        <v/>
      </c>
      <c r="V387" t="str">
        <f t="array" ref="V387">INDEX(P:P,MAX(U$3:U387))</f>
        <v>IL#3MTR</v>
      </c>
      <c r="W387" t="str">
        <f t="shared" ref="W387:W450" ca="1" si="100">IF(LEFT(TRIM(B387),1)="#",IF(ISNUMBER(FIND("DTR",B387)),IF(MID(OFFSET(P387,1,0,1,1),3,1)*1&lt;5,30,60),25),"")</f>
        <v/>
      </c>
      <c r="X387">
        <f t="shared" ref="X387:X450" si="101">IF(LEFT(TRIM(B387),1)= "#","",IF(MID(P387,3,1)*1&lt;5,11.4,22.8))</f>
        <v>11.4</v>
      </c>
      <c r="Y387">
        <f t="shared" ref="Y387:Y450" si="102">SUMIF(L:L,L387,I:I)</f>
        <v>177</v>
      </c>
      <c r="Z387" t="str">
        <f t="shared" si="92"/>
        <v>員南</v>
      </c>
    </row>
    <row r="388" spans="1:26" x14ac:dyDescent="0.25">
      <c r="A388" s="118" t="s">
        <v>522</v>
      </c>
      <c r="B388" s="119" t="s">
        <v>537</v>
      </c>
      <c r="C388" s="119">
        <v>110</v>
      </c>
      <c r="D388" s="118" t="s">
        <v>203</v>
      </c>
      <c r="E388" s="118">
        <v>104</v>
      </c>
      <c r="F388" s="118" t="s">
        <v>180</v>
      </c>
      <c r="G388" s="118">
        <v>107</v>
      </c>
      <c r="H388" s="118" t="s">
        <v>180</v>
      </c>
      <c r="I388" s="378">
        <v>110</v>
      </c>
      <c r="J388" s="117">
        <v>18</v>
      </c>
      <c r="K388" s="117" t="s">
        <v>177</v>
      </c>
      <c r="L388" t="str">
        <f t="shared" si="93"/>
        <v>IL28</v>
      </c>
      <c r="M388" t="str">
        <f t="shared" ref="M388:M451" si="103">IF(LEFT(B388,1)="#",IF(LEN(B388)&lt;&gt;5,MID(B388,6,3),""),"")</f>
        <v/>
      </c>
      <c r="N388" t="str">
        <f t="shared" ref="N388:N451" si="104">IF(LEFT(B388,1)="#",IF(LEN(B388)=5,RIGHT(A388,2)&amp;B388,RIGHT(A388,2)&amp;LEFT(B388,2)&amp;"DTR"),"")</f>
        <v/>
      </c>
      <c r="O388" t="str">
        <f t="shared" ref="O388:O451" si="105">IF(LEFT(B388,1)="#",IF(LEN(B388)&lt;&gt;5,IF(LEN(B388)&lt;&gt;7,MID(B388,6,3),"("&amp;MID(B388,3,2)&amp;")"),""),"")</f>
        <v/>
      </c>
      <c r="P388" s="113" t="str">
        <f t="shared" si="94"/>
        <v>IL28</v>
      </c>
      <c r="Q388" s="114">
        <f t="shared" si="95"/>
        <v>110</v>
      </c>
      <c r="R388" s="114">
        <f t="shared" si="96"/>
        <v>107</v>
      </c>
      <c r="S388" s="113">
        <f t="shared" si="97"/>
        <v>104</v>
      </c>
      <c r="T388" s="111">
        <f t="shared" ca="1" si="98"/>
        <v>2.17</v>
      </c>
      <c r="U388" s="111" t="str">
        <f t="shared" si="99"/>
        <v/>
      </c>
      <c r="V388" t="str">
        <f t="array" ref="V388">INDEX(P:P,MAX(U$3:U388))</f>
        <v>IL#3MTR</v>
      </c>
      <c r="W388" t="str">
        <f t="shared" ca="1" si="100"/>
        <v/>
      </c>
      <c r="X388">
        <f t="shared" si="101"/>
        <v>11.4</v>
      </c>
      <c r="Y388">
        <f t="shared" si="102"/>
        <v>110</v>
      </c>
      <c r="Z388" t="str">
        <f t="shared" ref="Z388:Z451" si="106">LEFT(A388,2)</f>
        <v>員南</v>
      </c>
    </row>
    <row r="389" spans="1:26" x14ac:dyDescent="0.25">
      <c r="A389" s="118" t="s">
        <v>522</v>
      </c>
      <c r="B389" s="119" t="s">
        <v>538</v>
      </c>
      <c r="C389" s="119">
        <v>178</v>
      </c>
      <c r="D389" s="118" t="s">
        <v>203</v>
      </c>
      <c r="E389" s="118">
        <v>201</v>
      </c>
      <c r="F389" s="118" t="s">
        <v>203</v>
      </c>
      <c r="G389" s="118">
        <v>165</v>
      </c>
      <c r="H389" s="118" t="s">
        <v>183</v>
      </c>
      <c r="I389" s="378">
        <v>201</v>
      </c>
      <c r="J389" s="117">
        <v>69</v>
      </c>
      <c r="K389" s="117" t="s">
        <v>192</v>
      </c>
      <c r="L389" t="str">
        <f t="shared" si="93"/>
        <v>IL31</v>
      </c>
      <c r="M389" t="str">
        <f t="shared" si="103"/>
        <v/>
      </c>
      <c r="N389" t="str">
        <f t="shared" si="104"/>
        <v/>
      </c>
      <c r="O389" t="str">
        <f t="shared" si="105"/>
        <v/>
      </c>
      <c r="P389" s="113" t="str">
        <f t="shared" si="94"/>
        <v>IL31</v>
      </c>
      <c r="Q389" s="114">
        <f t="shared" si="95"/>
        <v>201</v>
      </c>
      <c r="R389" s="114">
        <f t="shared" si="96"/>
        <v>181.33333333333334</v>
      </c>
      <c r="S389" s="113">
        <f t="shared" si="97"/>
        <v>165</v>
      </c>
      <c r="T389" s="111">
        <f t="shared" ca="1" si="98"/>
        <v>3.97</v>
      </c>
      <c r="U389" s="111" t="str">
        <f t="shared" si="99"/>
        <v/>
      </c>
      <c r="V389" t="str">
        <f t="array" ref="V389">INDEX(P:P,MAX(U$3:U389))</f>
        <v>IL#3MTR</v>
      </c>
      <c r="W389" t="str">
        <f t="shared" ca="1" si="100"/>
        <v/>
      </c>
      <c r="X389">
        <f t="shared" si="101"/>
        <v>11.4</v>
      </c>
      <c r="Y389">
        <f t="shared" si="102"/>
        <v>201</v>
      </c>
      <c r="Z389" t="str">
        <f t="shared" si="106"/>
        <v>員南</v>
      </c>
    </row>
    <row r="390" spans="1:26" x14ac:dyDescent="0.25">
      <c r="A390" s="118" t="s">
        <v>539</v>
      </c>
      <c r="B390" s="119" t="s">
        <v>175</v>
      </c>
      <c r="C390" s="119">
        <v>705</v>
      </c>
      <c r="D390" s="118" t="s">
        <v>177</v>
      </c>
      <c r="E390" s="118">
        <v>615</v>
      </c>
      <c r="F390" s="118" t="s">
        <v>179</v>
      </c>
      <c r="G390" s="118">
        <v>714</v>
      </c>
      <c r="H390" s="118" t="s">
        <v>179</v>
      </c>
      <c r="I390" s="378">
        <v>714</v>
      </c>
      <c r="J390" s="117"/>
      <c r="K390" s="117"/>
      <c r="L390" t="str">
        <f t="shared" si="93"/>
        <v>9J#1MTR</v>
      </c>
      <c r="M390" t="str">
        <f t="shared" si="103"/>
        <v/>
      </c>
      <c r="N390" t="str">
        <f t="shared" si="104"/>
        <v>9J#1MTR</v>
      </c>
      <c r="O390" t="str">
        <f t="shared" si="105"/>
        <v/>
      </c>
      <c r="P390" s="113" t="str">
        <f t="shared" si="94"/>
        <v>9J#1MTR</v>
      </c>
      <c r="Q390" s="114">
        <f t="shared" si="95"/>
        <v>714</v>
      </c>
      <c r="R390" s="114">
        <f t="shared" si="96"/>
        <v>678</v>
      </c>
      <c r="S390" s="113">
        <f t="shared" si="97"/>
        <v>615</v>
      </c>
      <c r="T390" s="111">
        <f t="shared" ca="1" si="98"/>
        <v>14.1</v>
      </c>
      <c r="U390" s="111">
        <f t="shared" si="99"/>
        <v>390</v>
      </c>
      <c r="V390" t="str">
        <f t="array" ref="V390">INDEX(P:P,MAX(U$3:U390))</f>
        <v>9J#1MTR</v>
      </c>
      <c r="W390">
        <f t="shared" ca="1" si="100"/>
        <v>25</v>
      </c>
      <c r="X390" t="str">
        <f t="shared" si="101"/>
        <v/>
      </c>
      <c r="Y390">
        <f t="shared" si="102"/>
        <v>714</v>
      </c>
      <c r="Z390" t="str">
        <f t="shared" si="106"/>
        <v>埔鹽</v>
      </c>
    </row>
    <row r="391" spans="1:26" x14ac:dyDescent="0.25">
      <c r="A391" s="118" t="s">
        <v>539</v>
      </c>
      <c r="B391" s="119" t="s">
        <v>540</v>
      </c>
      <c r="C391" s="119">
        <v>160</v>
      </c>
      <c r="D391" s="118" t="s">
        <v>188</v>
      </c>
      <c r="E391" s="118">
        <v>137</v>
      </c>
      <c r="F391" s="118" t="s">
        <v>207</v>
      </c>
      <c r="G391" s="118">
        <v>186</v>
      </c>
      <c r="H391" s="118" t="s">
        <v>179</v>
      </c>
      <c r="I391" s="378">
        <v>186</v>
      </c>
      <c r="J391" s="117">
        <v>113</v>
      </c>
      <c r="K391" s="117" t="s">
        <v>179</v>
      </c>
      <c r="L391" t="str">
        <f t="shared" si="93"/>
        <v>9J11</v>
      </c>
      <c r="M391" t="str">
        <f t="shared" si="103"/>
        <v/>
      </c>
      <c r="N391" t="str">
        <f t="shared" si="104"/>
        <v/>
      </c>
      <c r="O391" t="str">
        <f t="shared" si="105"/>
        <v/>
      </c>
      <c r="P391" s="113" t="str">
        <f t="shared" si="94"/>
        <v>9J11</v>
      </c>
      <c r="Q391" s="114">
        <f t="shared" si="95"/>
        <v>186</v>
      </c>
      <c r="R391" s="114">
        <f t="shared" si="96"/>
        <v>161</v>
      </c>
      <c r="S391" s="113">
        <f t="shared" si="97"/>
        <v>137</v>
      </c>
      <c r="T391" s="111">
        <f t="shared" ca="1" si="98"/>
        <v>3.67</v>
      </c>
      <c r="U391" s="111" t="str">
        <f t="shared" si="99"/>
        <v/>
      </c>
      <c r="V391" t="str">
        <f t="array" ref="V391">INDEX(P:P,MAX(U$3:U391))</f>
        <v>9J#1MTR</v>
      </c>
      <c r="W391" t="str">
        <f t="shared" ca="1" si="100"/>
        <v/>
      </c>
      <c r="X391">
        <f t="shared" si="101"/>
        <v>11.4</v>
      </c>
      <c r="Y391">
        <f t="shared" si="102"/>
        <v>186</v>
      </c>
      <c r="Z391" t="str">
        <f t="shared" si="106"/>
        <v>埔鹽</v>
      </c>
    </row>
    <row r="392" spans="1:26" x14ac:dyDescent="0.25">
      <c r="A392" s="118" t="s">
        <v>539</v>
      </c>
      <c r="B392" s="119" t="s">
        <v>541</v>
      </c>
      <c r="C392" s="119">
        <v>160</v>
      </c>
      <c r="D392" s="118" t="s">
        <v>179</v>
      </c>
      <c r="E392" s="118">
        <v>137</v>
      </c>
      <c r="F392" s="118" t="s">
        <v>198</v>
      </c>
      <c r="G392" s="118">
        <v>153</v>
      </c>
      <c r="H392" s="118" t="s">
        <v>198</v>
      </c>
      <c r="I392" s="378">
        <v>160</v>
      </c>
      <c r="J392" s="117">
        <v>39</v>
      </c>
      <c r="K392" s="117" t="s">
        <v>176</v>
      </c>
      <c r="L392" t="str">
        <f t="shared" si="93"/>
        <v>9J12</v>
      </c>
      <c r="M392" t="str">
        <f t="shared" si="103"/>
        <v/>
      </c>
      <c r="N392" t="str">
        <f t="shared" si="104"/>
        <v/>
      </c>
      <c r="O392" t="str">
        <f t="shared" si="105"/>
        <v/>
      </c>
      <c r="P392" s="113" t="str">
        <f t="shared" si="94"/>
        <v>9J12</v>
      </c>
      <c r="Q392" s="114">
        <f t="shared" si="95"/>
        <v>160</v>
      </c>
      <c r="R392" s="114">
        <f t="shared" si="96"/>
        <v>150</v>
      </c>
      <c r="S392" s="113">
        <f t="shared" si="97"/>
        <v>137</v>
      </c>
      <c r="T392" s="111">
        <f t="shared" ca="1" si="98"/>
        <v>3.16</v>
      </c>
      <c r="U392" s="111" t="str">
        <f t="shared" si="99"/>
        <v/>
      </c>
      <c r="V392" t="str">
        <f t="array" ref="V392">INDEX(P:P,MAX(U$3:U392))</f>
        <v>9J#1MTR</v>
      </c>
      <c r="W392" t="str">
        <f t="shared" ca="1" si="100"/>
        <v/>
      </c>
      <c r="X392">
        <f t="shared" si="101"/>
        <v>11.4</v>
      </c>
      <c r="Y392">
        <f t="shared" si="102"/>
        <v>160</v>
      </c>
      <c r="Z392" t="str">
        <f t="shared" si="106"/>
        <v>埔鹽</v>
      </c>
    </row>
    <row r="393" spans="1:26" x14ac:dyDescent="0.25">
      <c r="A393" s="118" t="s">
        <v>539</v>
      </c>
      <c r="B393" s="119" t="s">
        <v>542</v>
      </c>
      <c r="C393" s="119">
        <v>64</v>
      </c>
      <c r="D393" s="118" t="s">
        <v>177</v>
      </c>
      <c r="E393" s="118">
        <v>94</v>
      </c>
      <c r="F393" s="118" t="s">
        <v>179</v>
      </c>
      <c r="G393" s="118">
        <v>122</v>
      </c>
      <c r="H393" s="118" t="s">
        <v>177</v>
      </c>
      <c r="I393" s="378">
        <v>122</v>
      </c>
      <c r="J393" s="117">
        <v>67</v>
      </c>
      <c r="K393" s="117" t="s">
        <v>183</v>
      </c>
      <c r="L393" t="str">
        <f t="shared" si="93"/>
        <v>9J13</v>
      </c>
      <c r="M393" t="str">
        <f t="shared" si="103"/>
        <v/>
      </c>
      <c r="N393" t="str">
        <f t="shared" si="104"/>
        <v/>
      </c>
      <c r="O393" t="str">
        <f t="shared" si="105"/>
        <v/>
      </c>
      <c r="P393" s="113" t="str">
        <f t="shared" si="94"/>
        <v>9J13</v>
      </c>
      <c r="Q393" s="114">
        <f t="shared" si="95"/>
        <v>122</v>
      </c>
      <c r="R393" s="114">
        <f t="shared" si="96"/>
        <v>93.333333333333329</v>
      </c>
      <c r="S393" s="113">
        <f t="shared" si="97"/>
        <v>64</v>
      </c>
      <c r="T393" s="111">
        <f t="shared" ca="1" si="98"/>
        <v>2.41</v>
      </c>
      <c r="U393" s="111" t="str">
        <f t="shared" si="99"/>
        <v/>
      </c>
      <c r="V393" t="str">
        <f t="array" ref="V393">INDEX(P:P,MAX(U$3:U393))</f>
        <v>9J#1MTR</v>
      </c>
      <c r="W393" t="str">
        <f t="shared" ca="1" si="100"/>
        <v/>
      </c>
      <c r="X393">
        <f t="shared" si="101"/>
        <v>11.4</v>
      </c>
      <c r="Y393">
        <f t="shared" si="102"/>
        <v>122</v>
      </c>
      <c r="Z393" t="str">
        <f t="shared" si="106"/>
        <v>埔鹽</v>
      </c>
    </row>
    <row r="394" spans="1:26" x14ac:dyDescent="0.25">
      <c r="A394" s="118" t="s">
        <v>539</v>
      </c>
      <c r="B394" s="119" t="s">
        <v>543</v>
      </c>
      <c r="C394" s="119">
        <v>85</v>
      </c>
      <c r="D394" s="118" t="s">
        <v>179</v>
      </c>
      <c r="E394" s="118">
        <v>78</v>
      </c>
      <c r="F394" s="118" t="s">
        <v>207</v>
      </c>
      <c r="G394" s="118">
        <v>86</v>
      </c>
      <c r="H394" s="118" t="s">
        <v>207</v>
      </c>
      <c r="I394" s="378">
        <v>86</v>
      </c>
      <c r="J394" s="117">
        <v>35</v>
      </c>
      <c r="K394" s="117" t="s">
        <v>196</v>
      </c>
      <c r="L394" t="str">
        <f t="shared" si="93"/>
        <v>9J14</v>
      </c>
      <c r="M394" t="str">
        <f t="shared" si="103"/>
        <v/>
      </c>
      <c r="N394" t="str">
        <f t="shared" si="104"/>
        <v/>
      </c>
      <c r="O394" t="str">
        <f t="shared" si="105"/>
        <v/>
      </c>
      <c r="P394" s="113" t="str">
        <f t="shared" si="94"/>
        <v>9J14</v>
      </c>
      <c r="Q394" s="114">
        <f t="shared" si="95"/>
        <v>86</v>
      </c>
      <c r="R394" s="114">
        <f t="shared" si="96"/>
        <v>83</v>
      </c>
      <c r="S394" s="113">
        <f t="shared" si="97"/>
        <v>78</v>
      </c>
      <c r="T394" s="111">
        <f t="shared" ca="1" si="98"/>
        <v>1.7</v>
      </c>
      <c r="U394" s="111" t="str">
        <f t="shared" si="99"/>
        <v/>
      </c>
      <c r="V394" t="str">
        <f t="array" ref="V394">INDEX(P:P,MAX(U$3:U394))</f>
        <v>9J#1MTR</v>
      </c>
      <c r="W394" t="str">
        <f t="shared" ca="1" si="100"/>
        <v/>
      </c>
      <c r="X394">
        <f t="shared" si="101"/>
        <v>11.4</v>
      </c>
      <c r="Y394">
        <f t="shared" si="102"/>
        <v>86</v>
      </c>
      <c r="Z394" t="str">
        <f t="shared" si="106"/>
        <v>埔鹽</v>
      </c>
    </row>
    <row r="395" spans="1:26" x14ac:dyDescent="0.25">
      <c r="A395" s="118" t="s">
        <v>539</v>
      </c>
      <c r="B395" s="119" t="s">
        <v>544</v>
      </c>
      <c r="C395" s="119">
        <v>260</v>
      </c>
      <c r="D395" s="118" t="s">
        <v>177</v>
      </c>
      <c r="E395" s="118">
        <v>231</v>
      </c>
      <c r="F395" s="118" t="s">
        <v>179</v>
      </c>
      <c r="G395" s="118">
        <v>216</v>
      </c>
      <c r="H395" s="118" t="s">
        <v>179</v>
      </c>
      <c r="I395" s="378">
        <v>260</v>
      </c>
      <c r="J395" s="117">
        <v>70</v>
      </c>
      <c r="K395" s="117" t="s">
        <v>196</v>
      </c>
      <c r="L395" t="str">
        <f t="shared" si="93"/>
        <v>9J15</v>
      </c>
      <c r="M395" t="str">
        <f t="shared" si="103"/>
        <v/>
      </c>
      <c r="N395" t="str">
        <f t="shared" si="104"/>
        <v/>
      </c>
      <c r="O395" t="str">
        <f t="shared" si="105"/>
        <v/>
      </c>
      <c r="P395" s="113" t="str">
        <f t="shared" si="94"/>
        <v>9J15</v>
      </c>
      <c r="Q395" s="114">
        <f t="shared" si="95"/>
        <v>260</v>
      </c>
      <c r="R395" s="114">
        <f t="shared" si="96"/>
        <v>235.66666666666666</v>
      </c>
      <c r="S395" s="113">
        <f t="shared" si="97"/>
        <v>216</v>
      </c>
      <c r="T395" s="111">
        <f t="shared" ca="1" si="98"/>
        <v>5.13</v>
      </c>
      <c r="U395" s="111" t="str">
        <f t="shared" si="99"/>
        <v/>
      </c>
      <c r="V395" t="str">
        <f t="array" ref="V395">INDEX(P:P,MAX(U$3:U395))</f>
        <v>9J#1MTR</v>
      </c>
      <c r="W395" t="str">
        <f t="shared" ca="1" si="100"/>
        <v/>
      </c>
      <c r="X395">
        <f t="shared" si="101"/>
        <v>11.4</v>
      </c>
      <c r="Y395">
        <f t="shared" si="102"/>
        <v>260</v>
      </c>
      <c r="Z395" t="str">
        <f t="shared" si="106"/>
        <v>埔鹽</v>
      </c>
    </row>
    <row r="396" spans="1:26" x14ac:dyDescent="0.25">
      <c r="A396" s="118" t="s">
        <v>539</v>
      </c>
      <c r="B396" s="119" t="s">
        <v>187</v>
      </c>
      <c r="C396" s="119">
        <v>0</v>
      </c>
      <c r="D396" s="118" t="s">
        <v>194</v>
      </c>
      <c r="E396" s="118">
        <v>0</v>
      </c>
      <c r="F396" s="118" t="s">
        <v>194</v>
      </c>
      <c r="G396" s="118">
        <v>0</v>
      </c>
      <c r="H396" s="118" t="s">
        <v>194</v>
      </c>
      <c r="I396" s="378">
        <v>0</v>
      </c>
      <c r="J396" s="117"/>
      <c r="K396" s="117"/>
      <c r="L396" t="str">
        <f t="shared" si="93"/>
        <v>9J#2MTR</v>
      </c>
      <c r="M396" t="str">
        <f t="shared" si="103"/>
        <v/>
      </c>
      <c r="N396" t="str">
        <f t="shared" si="104"/>
        <v>9J#2MTR</v>
      </c>
      <c r="O396" t="str">
        <f t="shared" si="105"/>
        <v/>
      </c>
      <c r="P396" s="113" t="str">
        <f t="shared" si="94"/>
        <v>9J#2MTR</v>
      </c>
      <c r="Q396" s="114">
        <f t="shared" si="95"/>
        <v>0</v>
      </c>
      <c r="R396" s="114">
        <f t="shared" si="96"/>
        <v>0</v>
      </c>
      <c r="S396" s="113">
        <f t="shared" si="97"/>
        <v>0</v>
      </c>
      <c r="T396" s="111">
        <f t="shared" ca="1" si="98"/>
        <v>0</v>
      </c>
      <c r="U396" s="111">
        <f t="shared" si="99"/>
        <v>396</v>
      </c>
      <c r="V396" t="str">
        <f t="array" ref="V396">INDEX(P:P,MAX(U$3:U396))</f>
        <v>9J#2MTR</v>
      </c>
      <c r="W396">
        <f t="shared" ca="1" si="100"/>
        <v>25</v>
      </c>
      <c r="X396" t="str">
        <f t="shared" si="101"/>
        <v/>
      </c>
      <c r="Y396">
        <f t="shared" si="102"/>
        <v>0</v>
      </c>
      <c r="Z396" t="str">
        <f t="shared" si="106"/>
        <v>埔鹽</v>
      </c>
    </row>
    <row r="397" spans="1:26" x14ac:dyDescent="0.25">
      <c r="A397" s="118" t="s">
        <v>539</v>
      </c>
      <c r="B397" s="119" t="s">
        <v>545</v>
      </c>
      <c r="C397" s="119">
        <v>0</v>
      </c>
      <c r="D397" s="118" t="s">
        <v>194</v>
      </c>
      <c r="E397" s="118">
        <v>0</v>
      </c>
      <c r="F397" s="118" t="s">
        <v>194</v>
      </c>
      <c r="G397" s="118">
        <v>0</v>
      </c>
      <c r="H397" s="118" t="s">
        <v>194</v>
      </c>
      <c r="I397" s="378">
        <v>0</v>
      </c>
      <c r="J397" s="117">
        <v>0</v>
      </c>
      <c r="K397" s="117" t="s">
        <v>194</v>
      </c>
      <c r="L397" t="str">
        <f t="shared" si="93"/>
        <v>9J21</v>
      </c>
      <c r="M397" t="str">
        <f t="shared" si="103"/>
        <v/>
      </c>
      <c r="N397" t="str">
        <f t="shared" si="104"/>
        <v/>
      </c>
      <c r="O397" t="str">
        <f t="shared" si="105"/>
        <v/>
      </c>
      <c r="P397" s="113" t="str">
        <f t="shared" si="94"/>
        <v>9J21</v>
      </c>
      <c r="Q397" s="114">
        <f t="shared" si="95"/>
        <v>0</v>
      </c>
      <c r="R397" s="114">
        <f t="shared" si="96"/>
        <v>0</v>
      </c>
      <c r="S397" s="113">
        <f t="shared" si="97"/>
        <v>0</v>
      </c>
      <c r="T397" s="111">
        <f t="shared" ca="1" si="98"/>
        <v>0</v>
      </c>
      <c r="U397" s="111" t="str">
        <f t="shared" si="99"/>
        <v/>
      </c>
      <c r="V397" t="str">
        <f t="array" ref="V397">INDEX(P:P,MAX(U$3:U397))</f>
        <v>9J#2MTR</v>
      </c>
      <c r="W397" t="str">
        <f t="shared" ca="1" si="100"/>
        <v/>
      </c>
      <c r="X397">
        <f t="shared" si="101"/>
        <v>11.4</v>
      </c>
      <c r="Y397">
        <f t="shared" si="102"/>
        <v>0</v>
      </c>
      <c r="Z397" t="str">
        <f t="shared" si="106"/>
        <v>埔鹽</v>
      </c>
    </row>
    <row r="398" spans="1:26" x14ac:dyDescent="0.25">
      <c r="A398" s="118" t="s">
        <v>539</v>
      </c>
      <c r="B398" s="119" t="s">
        <v>546</v>
      </c>
      <c r="C398" s="119">
        <v>0</v>
      </c>
      <c r="D398" s="118" t="s">
        <v>194</v>
      </c>
      <c r="E398" s="118">
        <v>0</v>
      </c>
      <c r="F398" s="118" t="s">
        <v>194</v>
      </c>
      <c r="G398" s="118">
        <v>0</v>
      </c>
      <c r="H398" s="118" t="s">
        <v>194</v>
      </c>
      <c r="I398" s="378">
        <v>0</v>
      </c>
      <c r="J398" s="117">
        <v>0</v>
      </c>
      <c r="K398" s="117" t="s">
        <v>194</v>
      </c>
      <c r="L398" t="str">
        <f t="shared" si="93"/>
        <v>9J24</v>
      </c>
      <c r="M398" t="str">
        <f t="shared" si="103"/>
        <v/>
      </c>
      <c r="N398" t="str">
        <f t="shared" si="104"/>
        <v/>
      </c>
      <c r="O398" t="str">
        <f t="shared" si="105"/>
        <v/>
      </c>
      <c r="P398" s="113" t="str">
        <f t="shared" si="94"/>
        <v>9J24</v>
      </c>
      <c r="Q398" s="114">
        <f t="shared" si="95"/>
        <v>0</v>
      </c>
      <c r="R398" s="114">
        <f t="shared" si="96"/>
        <v>0</v>
      </c>
      <c r="S398" s="113">
        <f t="shared" si="97"/>
        <v>0</v>
      </c>
      <c r="T398" s="111">
        <f t="shared" ca="1" si="98"/>
        <v>0</v>
      </c>
      <c r="U398" s="111" t="str">
        <f t="shared" si="99"/>
        <v/>
      </c>
      <c r="V398" t="str">
        <f t="array" ref="V398">INDEX(P:P,MAX(U$3:U398))</f>
        <v>9J#2MTR</v>
      </c>
      <c r="W398" t="str">
        <f t="shared" ca="1" si="100"/>
        <v/>
      </c>
      <c r="X398">
        <f t="shared" si="101"/>
        <v>11.4</v>
      </c>
      <c r="Y398">
        <f t="shared" si="102"/>
        <v>0</v>
      </c>
      <c r="Z398" t="str">
        <f t="shared" si="106"/>
        <v>埔鹽</v>
      </c>
    </row>
    <row r="399" spans="1:26" x14ac:dyDescent="0.25">
      <c r="A399" s="118" t="s">
        <v>539</v>
      </c>
      <c r="B399" s="119" t="s">
        <v>547</v>
      </c>
      <c r="C399" s="119">
        <v>0</v>
      </c>
      <c r="D399" s="118" t="s">
        <v>194</v>
      </c>
      <c r="E399" s="118">
        <v>0</v>
      </c>
      <c r="F399" s="118" t="s">
        <v>194</v>
      </c>
      <c r="G399" s="118">
        <v>0</v>
      </c>
      <c r="H399" s="118" t="s">
        <v>194</v>
      </c>
      <c r="I399" s="378">
        <v>0</v>
      </c>
      <c r="J399" s="117">
        <v>0</v>
      </c>
      <c r="K399" s="117" t="s">
        <v>194</v>
      </c>
      <c r="L399" t="str">
        <f t="shared" si="93"/>
        <v>9J25</v>
      </c>
      <c r="M399" t="str">
        <f t="shared" si="103"/>
        <v/>
      </c>
      <c r="N399" t="str">
        <f t="shared" si="104"/>
        <v/>
      </c>
      <c r="O399" t="str">
        <f t="shared" si="105"/>
        <v/>
      </c>
      <c r="P399" s="113" t="str">
        <f t="shared" si="94"/>
        <v>9J25</v>
      </c>
      <c r="Q399" s="114">
        <f t="shared" si="95"/>
        <v>0</v>
      </c>
      <c r="R399" s="114">
        <f t="shared" si="96"/>
        <v>0</v>
      </c>
      <c r="S399" s="113">
        <f t="shared" si="97"/>
        <v>0</v>
      </c>
      <c r="T399" s="111">
        <f t="shared" ca="1" si="98"/>
        <v>0</v>
      </c>
      <c r="U399" s="111" t="str">
        <f t="shared" si="99"/>
        <v/>
      </c>
      <c r="V399" t="str">
        <f t="array" ref="V399">INDEX(P:P,MAX(U$3:U399))</f>
        <v>9J#2MTR</v>
      </c>
      <c r="W399" t="str">
        <f t="shared" ca="1" si="100"/>
        <v/>
      </c>
      <c r="X399">
        <f t="shared" si="101"/>
        <v>11.4</v>
      </c>
      <c r="Y399">
        <f t="shared" si="102"/>
        <v>0</v>
      </c>
      <c r="Z399" t="str">
        <f t="shared" si="106"/>
        <v>埔鹽</v>
      </c>
    </row>
    <row r="400" spans="1:26" x14ac:dyDescent="0.25">
      <c r="A400" s="118" t="s">
        <v>539</v>
      </c>
      <c r="B400" s="119" t="s">
        <v>548</v>
      </c>
      <c r="C400" s="119">
        <v>0</v>
      </c>
      <c r="D400" s="118" t="s">
        <v>194</v>
      </c>
      <c r="E400" s="118">
        <v>0</v>
      </c>
      <c r="F400" s="118" t="s">
        <v>194</v>
      </c>
      <c r="G400" s="118">
        <v>0</v>
      </c>
      <c r="H400" s="118" t="s">
        <v>194</v>
      </c>
      <c r="I400" s="378">
        <v>0</v>
      </c>
      <c r="J400" s="117">
        <v>0</v>
      </c>
      <c r="K400" s="117" t="s">
        <v>194</v>
      </c>
      <c r="L400" t="str">
        <f t="shared" si="93"/>
        <v>9J22</v>
      </c>
      <c r="M400" t="str">
        <f t="shared" si="103"/>
        <v/>
      </c>
      <c r="N400" t="str">
        <f t="shared" si="104"/>
        <v/>
      </c>
      <c r="O400" t="str">
        <f t="shared" si="105"/>
        <v/>
      </c>
      <c r="P400" s="113" t="str">
        <f t="shared" si="94"/>
        <v>9J22</v>
      </c>
      <c r="Q400" s="114">
        <f t="shared" si="95"/>
        <v>0</v>
      </c>
      <c r="R400" s="114">
        <f t="shared" si="96"/>
        <v>0</v>
      </c>
      <c r="S400" s="113">
        <f t="shared" si="97"/>
        <v>0</v>
      </c>
      <c r="T400" s="111">
        <f t="shared" ca="1" si="98"/>
        <v>0</v>
      </c>
      <c r="U400" s="111" t="str">
        <f t="shared" si="99"/>
        <v/>
      </c>
      <c r="V400" t="str">
        <f t="array" ref="V400">INDEX(P:P,MAX(U$3:U400))</f>
        <v>9J#2MTR</v>
      </c>
      <c r="W400" t="str">
        <f t="shared" ca="1" si="100"/>
        <v/>
      </c>
      <c r="X400">
        <f t="shared" si="101"/>
        <v>11.4</v>
      </c>
      <c r="Y400">
        <f t="shared" si="102"/>
        <v>0</v>
      </c>
      <c r="Z400" t="str">
        <f t="shared" si="106"/>
        <v>埔鹽</v>
      </c>
    </row>
    <row r="401" spans="1:26" x14ac:dyDescent="0.25">
      <c r="A401" s="118" t="s">
        <v>539</v>
      </c>
      <c r="B401" s="119" t="s">
        <v>549</v>
      </c>
      <c r="C401" s="119">
        <v>0</v>
      </c>
      <c r="D401" s="118" t="s">
        <v>194</v>
      </c>
      <c r="E401" s="118">
        <v>0</v>
      </c>
      <c r="F401" s="118" t="s">
        <v>194</v>
      </c>
      <c r="G401" s="118">
        <v>0</v>
      </c>
      <c r="H401" s="118" t="s">
        <v>194</v>
      </c>
      <c r="I401" s="378">
        <v>0</v>
      </c>
      <c r="J401" s="117">
        <v>0</v>
      </c>
      <c r="K401" s="117" t="s">
        <v>194</v>
      </c>
      <c r="L401" t="str">
        <f t="shared" si="93"/>
        <v>9J23</v>
      </c>
      <c r="M401" t="str">
        <f t="shared" si="103"/>
        <v/>
      </c>
      <c r="N401" t="str">
        <f t="shared" si="104"/>
        <v/>
      </c>
      <c r="O401" t="str">
        <f t="shared" si="105"/>
        <v/>
      </c>
      <c r="P401" s="113" t="str">
        <f t="shared" si="94"/>
        <v>9J23</v>
      </c>
      <c r="Q401" s="114">
        <f t="shared" si="95"/>
        <v>0</v>
      </c>
      <c r="R401" s="114">
        <f t="shared" si="96"/>
        <v>0</v>
      </c>
      <c r="S401" s="113">
        <f t="shared" si="97"/>
        <v>0</v>
      </c>
      <c r="T401" s="111">
        <f t="shared" ca="1" si="98"/>
        <v>0</v>
      </c>
      <c r="U401" s="111" t="str">
        <f t="shared" si="99"/>
        <v/>
      </c>
      <c r="V401" t="str">
        <f t="array" ref="V401">INDEX(P:P,MAX(U$3:U401))</f>
        <v>9J#2MTR</v>
      </c>
      <c r="W401" t="str">
        <f t="shared" ca="1" si="100"/>
        <v/>
      </c>
      <c r="X401">
        <f t="shared" si="101"/>
        <v>11.4</v>
      </c>
      <c r="Y401">
        <f t="shared" si="102"/>
        <v>0</v>
      </c>
      <c r="Z401" t="str">
        <f t="shared" si="106"/>
        <v>埔鹽</v>
      </c>
    </row>
    <row r="402" spans="1:26" x14ac:dyDescent="0.25">
      <c r="A402" s="118" t="s">
        <v>539</v>
      </c>
      <c r="B402" s="119" t="s">
        <v>197</v>
      </c>
      <c r="C402" s="119">
        <v>642</v>
      </c>
      <c r="D402" s="118" t="s">
        <v>179</v>
      </c>
      <c r="E402" s="118">
        <v>667</v>
      </c>
      <c r="F402" s="118" t="s">
        <v>179</v>
      </c>
      <c r="G402" s="118">
        <v>614</v>
      </c>
      <c r="H402" s="118" t="s">
        <v>198</v>
      </c>
      <c r="I402" s="378">
        <v>667</v>
      </c>
      <c r="J402" s="117"/>
      <c r="K402" s="117"/>
      <c r="L402" t="str">
        <f t="shared" si="93"/>
        <v>9J#3MTR</v>
      </c>
      <c r="M402" t="str">
        <f t="shared" si="103"/>
        <v/>
      </c>
      <c r="N402" t="str">
        <f t="shared" si="104"/>
        <v>9J#3MTR</v>
      </c>
      <c r="O402" t="str">
        <f t="shared" si="105"/>
        <v/>
      </c>
      <c r="P402" s="113" t="str">
        <f t="shared" si="94"/>
        <v>9J#3MTR</v>
      </c>
      <c r="Q402" s="114">
        <f t="shared" si="95"/>
        <v>667</v>
      </c>
      <c r="R402" s="114">
        <f t="shared" si="96"/>
        <v>641</v>
      </c>
      <c r="S402" s="113">
        <f t="shared" si="97"/>
        <v>614</v>
      </c>
      <c r="T402" s="111">
        <f t="shared" ca="1" si="98"/>
        <v>13.17</v>
      </c>
      <c r="U402" s="111">
        <f t="shared" si="99"/>
        <v>402</v>
      </c>
      <c r="V402" t="str">
        <f t="array" ref="V402">INDEX(P:P,MAX(U$3:U402))</f>
        <v>9J#3MTR</v>
      </c>
      <c r="W402">
        <f t="shared" ca="1" si="100"/>
        <v>25</v>
      </c>
      <c r="X402" t="str">
        <f t="shared" si="101"/>
        <v/>
      </c>
      <c r="Y402">
        <f t="shared" si="102"/>
        <v>667</v>
      </c>
      <c r="Z402" t="str">
        <f t="shared" si="106"/>
        <v>埔鹽</v>
      </c>
    </row>
    <row r="403" spans="1:26" x14ac:dyDescent="0.25">
      <c r="A403" s="118" t="s">
        <v>539</v>
      </c>
      <c r="B403" s="119" t="s">
        <v>550</v>
      </c>
      <c r="C403" s="119">
        <v>74</v>
      </c>
      <c r="D403" s="118" t="s">
        <v>179</v>
      </c>
      <c r="E403" s="118">
        <v>80</v>
      </c>
      <c r="F403" s="118" t="s">
        <v>179</v>
      </c>
      <c r="G403" s="118">
        <v>84</v>
      </c>
      <c r="H403" s="118" t="s">
        <v>179</v>
      </c>
      <c r="I403" s="378">
        <v>84</v>
      </c>
      <c r="J403" s="117">
        <v>34</v>
      </c>
      <c r="K403" s="117" t="s">
        <v>205</v>
      </c>
      <c r="L403" t="str">
        <f t="shared" si="93"/>
        <v>9J31</v>
      </c>
      <c r="M403" t="str">
        <f t="shared" si="103"/>
        <v/>
      </c>
      <c r="N403" t="str">
        <f t="shared" si="104"/>
        <v/>
      </c>
      <c r="O403" t="str">
        <f t="shared" si="105"/>
        <v/>
      </c>
      <c r="P403" s="113" t="str">
        <f t="shared" si="94"/>
        <v>9J31</v>
      </c>
      <c r="Q403" s="114">
        <f t="shared" si="95"/>
        <v>84</v>
      </c>
      <c r="R403" s="114">
        <f t="shared" si="96"/>
        <v>79.333333333333329</v>
      </c>
      <c r="S403" s="113">
        <f t="shared" si="97"/>
        <v>74</v>
      </c>
      <c r="T403" s="111">
        <f t="shared" ca="1" si="98"/>
        <v>1.66</v>
      </c>
      <c r="U403" s="111" t="str">
        <f t="shared" si="99"/>
        <v/>
      </c>
      <c r="V403" t="str">
        <f t="array" ref="V403">INDEX(P:P,MAX(U$3:U403))</f>
        <v>9J#3MTR</v>
      </c>
      <c r="W403" t="str">
        <f t="shared" ca="1" si="100"/>
        <v/>
      </c>
      <c r="X403">
        <f t="shared" si="101"/>
        <v>11.4</v>
      </c>
      <c r="Y403">
        <f t="shared" si="102"/>
        <v>84</v>
      </c>
      <c r="Z403" t="str">
        <f t="shared" si="106"/>
        <v>埔鹽</v>
      </c>
    </row>
    <row r="404" spans="1:26" x14ac:dyDescent="0.25">
      <c r="A404" s="118" t="s">
        <v>539</v>
      </c>
      <c r="B404" s="119" t="s">
        <v>551</v>
      </c>
      <c r="C404" s="119">
        <v>17</v>
      </c>
      <c r="D404" s="118" t="s">
        <v>198</v>
      </c>
      <c r="E404" s="118">
        <v>29</v>
      </c>
      <c r="F404" s="118" t="s">
        <v>198</v>
      </c>
      <c r="G404" s="118">
        <v>21</v>
      </c>
      <c r="H404" s="118" t="s">
        <v>205</v>
      </c>
      <c r="I404" s="378">
        <v>29</v>
      </c>
      <c r="J404" s="117">
        <v>28</v>
      </c>
      <c r="K404" s="117" t="s">
        <v>180</v>
      </c>
      <c r="L404" t="str">
        <f t="shared" si="93"/>
        <v>9J32</v>
      </c>
      <c r="M404" t="str">
        <f t="shared" si="103"/>
        <v/>
      </c>
      <c r="N404" t="str">
        <f t="shared" si="104"/>
        <v/>
      </c>
      <c r="O404" t="str">
        <f t="shared" si="105"/>
        <v/>
      </c>
      <c r="P404" s="113" t="str">
        <f t="shared" si="94"/>
        <v>9J32</v>
      </c>
      <c r="Q404" s="114">
        <f t="shared" si="95"/>
        <v>29</v>
      </c>
      <c r="R404" s="114">
        <f t="shared" si="96"/>
        <v>22.333333333333332</v>
      </c>
      <c r="S404" s="113">
        <f t="shared" si="97"/>
        <v>17</v>
      </c>
      <c r="T404" s="111">
        <f t="shared" ca="1" si="98"/>
        <v>0.56999999999999995</v>
      </c>
      <c r="U404" s="111" t="str">
        <f t="shared" si="99"/>
        <v/>
      </c>
      <c r="V404" t="str">
        <f t="array" ref="V404">INDEX(P:P,MAX(U$3:U404))</f>
        <v>9J#3MTR</v>
      </c>
      <c r="W404" t="str">
        <f t="shared" ca="1" si="100"/>
        <v/>
      </c>
      <c r="X404">
        <f t="shared" si="101"/>
        <v>11.4</v>
      </c>
      <c r="Y404">
        <f t="shared" si="102"/>
        <v>29</v>
      </c>
      <c r="Z404" t="str">
        <f t="shared" si="106"/>
        <v>埔鹽</v>
      </c>
    </row>
    <row r="405" spans="1:26" x14ac:dyDescent="0.25">
      <c r="A405" s="118" t="s">
        <v>539</v>
      </c>
      <c r="B405" s="119" t="s">
        <v>552</v>
      </c>
      <c r="C405" s="119">
        <v>242</v>
      </c>
      <c r="D405" s="118" t="s">
        <v>229</v>
      </c>
      <c r="E405" s="118">
        <v>214</v>
      </c>
      <c r="F405" s="118" t="s">
        <v>198</v>
      </c>
      <c r="G405" s="118">
        <v>222</v>
      </c>
      <c r="H405" s="118" t="s">
        <v>198</v>
      </c>
      <c r="I405" s="378">
        <v>242</v>
      </c>
      <c r="J405" s="117">
        <v>59</v>
      </c>
      <c r="K405" s="117" t="s">
        <v>179</v>
      </c>
      <c r="L405" t="str">
        <f t="shared" si="93"/>
        <v>9J33</v>
      </c>
      <c r="M405" t="str">
        <f t="shared" si="103"/>
        <v/>
      </c>
      <c r="N405" t="str">
        <f t="shared" si="104"/>
        <v/>
      </c>
      <c r="O405" t="str">
        <f t="shared" si="105"/>
        <v/>
      </c>
      <c r="P405" s="113" t="str">
        <f t="shared" si="94"/>
        <v>9J33</v>
      </c>
      <c r="Q405" s="114">
        <f t="shared" si="95"/>
        <v>242</v>
      </c>
      <c r="R405" s="114">
        <f t="shared" si="96"/>
        <v>226</v>
      </c>
      <c r="S405" s="113">
        <f t="shared" si="97"/>
        <v>214</v>
      </c>
      <c r="T405" s="111">
        <f t="shared" ca="1" si="98"/>
        <v>4.78</v>
      </c>
      <c r="U405" s="111" t="str">
        <f t="shared" si="99"/>
        <v/>
      </c>
      <c r="V405" t="str">
        <f t="array" ref="V405">INDEX(P:P,MAX(U$3:U405))</f>
        <v>9J#3MTR</v>
      </c>
      <c r="W405" t="str">
        <f t="shared" ca="1" si="100"/>
        <v/>
      </c>
      <c r="X405">
        <f t="shared" si="101"/>
        <v>11.4</v>
      </c>
      <c r="Y405">
        <f t="shared" si="102"/>
        <v>242</v>
      </c>
      <c r="Z405" t="str">
        <f t="shared" si="106"/>
        <v>埔鹽</v>
      </c>
    </row>
    <row r="406" spans="1:26" x14ac:dyDescent="0.25">
      <c r="A406" s="118" t="s">
        <v>539</v>
      </c>
      <c r="B406" s="119" t="s">
        <v>553</v>
      </c>
      <c r="C406" s="119">
        <v>71</v>
      </c>
      <c r="D406" s="118" t="s">
        <v>177</v>
      </c>
      <c r="E406" s="118">
        <v>66</v>
      </c>
      <c r="F406" s="118" t="s">
        <v>176</v>
      </c>
      <c r="G406" s="118">
        <v>81</v>
      </c>
      <c r="H406" s="118" t="s">
        <v>179</v>
      </c>
      <c r="I406" s="378">
        <v>81</v>
      </c>
      <c r="J406" s="117">
        <v>40</v>
      </c>
      <c r="K406" s="117" t="s">
        <v>198</v>
      </c>
      <c r="L406" t="str">
        <f t="shared" si="93"/>
        <v>9J34</v>
      </c>
      <c r="M406" t="str">
        <f t="shared" si="103"/>
        <v/>
      </c>
      <c r="N406" t="str">
        <f t="shared" si="104"/>
        <v/>
      </c>
      <c r="O406" t="str">
        <f t="shared" si="105"/>
        <v/>
      </c>
      <c r="P406" s="113" t="str">
        <f t="shared" si="94"/>
        <v>9J34</v>
      </c>
      <c r="Q406" s="114">
        <f t="shared" si="95"/>
        <v>81</v>
      </c>
      <c r="R406" s="114">
        <f t="shared" si="96"/>
        <v>72.666666666666671</v>
      </c>
      <c r="S406" s="113">
        <f t="shared" si="97"/>
        <v>66</v>
      </c>
      <c r="T406" s="111">
        <f t="shared" ca="1" si="98"/>
        <v>1.6</v>
      </c>
      <c r="U406" s="111" t="str">
        <f t="shared" si="99"/>
        <v/>
      </c>
      <c r="V406" t="str">
        <f t="array" ref="V406">INDEX(P:P,MAX(U$3:U406))</f>
        <v>9J#3MTR</v>
      </c>
      <c r="W406" t="str">
        <f t="shared" ca="1" si="100"/>
        <v/>
      </c>
      <c r="X406">
        <f t="shared" si="101"/>
        <v>11.4</v>
      </c>
      <c r="Y406">
        <f t="shared" si="102"/>
        <v>81</v>
      </c>
      <c r="Z406" t="str">
        <f t="shared" si="106"/>
        <v>埔鹽</v>
      </c>
    </row>
    <row r="407" spans="1:26" x14ac:dyDescent="0.25">
      <c r="A407" s="118" t="s">
        <v>539</v>
      </c>
      <c r="B407" s="119" t="s">
        <v>554</v>
      </c>
      <c r="C407" s="119">
        <v>354</v>
      </c>
      <c r="D407" s="118" t="s">
        <v>207</v>
      </c>
      <c r="E407" s="118">
        <v>363</v>
      </c>
      <c r="F407" s="118" t="s">
        <v>192</v>
      </c>
      <c r="G407" s="118">
        <v>306</v>
      </c>
      <c r="H407" s="118" t="s">
        <v>192</v>
      </c>
      <c r="I407" s="378">
        <v>363</v>
      </c>
      <c r="J407" s="117">
        <v>78</v>
      </c>
      <c r="K407" s="117" t="s">
        <v>188</v>
      </c>
      <c r="L407" t="str">
        <f t="shared" si="93"/>
        <v>9J35</v>
      </c>
      <c r="M407" t="str">
        <f t="shared" si="103"/>
        <v/>
      </c>
      <c r="N407" t="str">
        <f t="shared" si="104"/>
        <v/>
      </c>
      <c r="O407" t="str">
        <f t="shared" si="105"/>
        <v/>
      </c>
      <c r="P407" s="113" t="str">
        <f t="shared" si="94"/>
        <v>9J35</v>
      </c>
      <c r="Q407" s="114">
        <f t="shared" si="95"/>
        <v>363</v>
      </c>
      <c r="R407" s="114">
        <f t="shared" si="96"/>
        <v>341</v>
      </c>
      <c r="S407" s="113">
        <f t="shared" si="97"/>
        <v>306</v>
      </c>
      <c r="T407" s="111">
        <f t="shared" ca="1" si="98"/>
        <v>7.17</v>
      </c>
      <c r="U407" s="111" t="str">
        <f t="shared" si="99"/>
        <v/>
      </c>
      <c r="V407" t="str">
        <f t="array" ref="V407">INDEX(P:P,MAX(U$3:U407))</f>
        <v>9J#3MTR</v>
      </c>
      <c r="W407" t="str">
        <f t="shared" ca="1" si="100"/>
        <v/>
      </c>
      <c r="X407">
        <f t="shared" si="101"/>
        <v>11.4</v>
      </c>
      <c r="Y407">
        <f t="shared" si="102"/>
        <v>363</v>
      </c>
      <c r="Z407" t="str">
        <f t="shared" si="106"/>
        <v>埔鹽</v>
      </c>
    </row>
    <row r="408" spans="1:26" x14ac:dyDescent="0.25">
      <c r="A408" s="118" t="s">
        <v>555</v>
      </c>
      <c r="B408" s="119" t="s">
        <v>301</v>
      </c>
      <c r="C408" s="119">
        <v>759</v>
      </c>
      <c r="D408" s="118" t="s">
        <v>176</v>
      </c>
      <c r="E408" s="118">
        <v>681</v>
      </c>
      <c r="F408" s="118" t="s">
        <v>179</v>
      </c>
      <c r="G408" s="118">
        <v>703</v>
      </c>
      <c r="H408" s="118" t="s">
        <v>184</v>
      </c>
      <c r="I408" s="378">
        <v>759</v>
      </c>
      <c r="J408" s="117"/>
      <c r="K408" s="117"/>
      <c r="L408" t="str">
        <f t="shared" si="93"/>
        <v>9H#2DTR(A)</v>
      </c>
      <c r="M408" t="str">
        <f t="shared" si="103"/>
        <v>(A)</v>
      </c>
      <c r="N408" t="str">
        <f t="shared" si="104"/>
        <v>9H#2DTR</v>
      </c>
      <c r="O408" t="str">
        <f t="shared" si="105"/>
        <v>(A)</v>
      </c>
      <c r="P408" s="113" t="str">
        <f t="shared" si="94"/>
        <v>9H#2DTR(A)</v>
      </c>
      <c r="Q408" s="114">
        <f t="shared" si="95"/>
        <v>759</v>
      </c>
      <c r="R408" s="114">
        <f t="shared" si="96"/>
        <v>714.33333333333337</v>
      </c>
      <c r="S408" s="113">
        <f t="shared" si="97"/>
        <v>681</v>
      </c>
      <c r="T408" s="111">
        <f t="shared" ca="1" si="98"/>
        <v>14.99</v>
      </c>
      <c r="U408" s="111">
        <f t="shared" si="99"/>
        <v>408</v>
      </c>
      <c r="V408" t="str">
        <f t="array" ref="V408">INDEX(P:P,MAX(U$3:U408))</f>
        <v>9H#2DTR(A)</v>
      </c>
      <c r="W408">
        <f t="shared" ca="1" si="100"/>
        <v>30</v>
      </c>
      <c r="X408" t="str">
        <f t="shared" si="101"/>
        <v/>
      </c>
      <c r="Y408">
        <f t="shared" si="102"/>
        <v>759</v>
      </c>
      <c r="Z408" t="str">
        <f t="shared" si="106"/>
        <v>草港</v>
      </c>
    </row>
    <row r="409" spans="1:26" x14ac:dyDescent="0.25">
      <c r="A409" s="118" t="s">
        <v>555</v>
      </c>
      <c r="B409" s="119" t="s">
        <v>556</v>
      </c>
      <c r="C409" s="119">
        <v>0</v>
      </c>
      <c r="D409" s="118" t="s">
        <v>194</v>
      </c>
      <c r="E409" s="118">
        <v>0</v>
      </c>
      <c r="F409" s="118" t="s">
        <v>194</v>
      </c>
      <c r="G409" s="118">
        <v>0</v>
      </c>
      <c r="H409" s="118" t="s">
        <v>194</v>
      </c>
      <c r="I409" s="378">
        <v>0</v>
      </c>
      <c r="J409" s="117">
        <v>0</v>
      </c>
      <c r="K409" s="117" t="s">
        <v>194</v>
      </c>
      <c r="L409" t="str">
        <f t="shared" si="93"/>
        <v>9H20</v>
      </c>
      <c r="M409" t="str">
        <f t="shared" si="103"/>
        <v/>
      </c>
      <c r="N409" t="str">
        <f t="shared" si="104"/>
        <v/>
      </c>
      <c r="O409" t="str">
        <f t="shared" si="105"/>
        <v/>
      </c>
      <c r="P409" s="113" t="str">
        <f t="shared" si="94"/>
        <v>9H20</v>
      </c>
      <c r="Q409" s="114">
        <f t="shared" si="95"/>
        <v>0</v>
      </c>
      <c r="R409" s="114">
        <f t="shared" si="96"/>
        <v>0</v>
      </c>
      <c r="S409" s="113">
        <f t="shared" si="97"/>
        <v>0</v>
      </c>
      <c r="T409" s="111">
        <f t="shared" ca="1" si="98"/>
        <v>0</v>
      </c>
      <c r="U409" s="111" t="str">
        <f t="shared" si="99"/>
        <v/>
      </c>
      <c r="V409" t="str">
        <f t="array" ref="V409">INDEX(P:P,MAX(U$3:U409))</f>
        <v>9H#2DTR(A)</v>
      </c>
      <c r="W409" t="str">
        <f t="shared" ca="1" si="100"/>
        <v/>
      </c>
      <c r="X409">
        <f t="shared" si="101"/>
        <v>11.4</v>
      </c>
      <c r="Y409">
        <f t="shared" si="102"/>
        <v>0</v>
      </c>
      <c r="Z409" t="str">
        <f t="shared" si="106"/>
        <v>草港</v>
      </c>
    </row>
    <row r="410" spans="1:26" x14ac:dyDescent="0.25">
      <c r="A410" s="118" t="s">
        <v>555</v>
      </c>
      <c r="B410" s="119" t="s">
        <v>557</v>
      </c>
      <c r="C410" s="119">
        <v>127</v>
      </c>
      <c r="D410" s="118" t="s">
        <v>198</v>
      </c>
      <c r="E410" s="118">
        <v>117</v>
      </c>
      <c r="F410" s="118" t="s">
        <v>198</v>
      </c>
      <c r="G410" s="118">
        <v>117</v>
      </c>
      <c r="H410" s="118" t="s">
        <v>198</v>
      </c>
      <c r="I410" s="378">
        <v>127</v>
      </c>
      <c r="J410" s="117">
        <v>44</v>
      </c>
      <c r="K410" s="117" t="s">
        <v>207</v>
      </c>
      <c r="L410" t="str">
        <f t="shared" si="93"/>
        <v>9H21</v>
      </c>
      <c r="M410" t="str">
        <f t="shared" si="103"/>
        <v/>
      </c>
      <c r="N410" t="str">
        <f t="shared" si="104"/>
        <v/>
      </c>
      <c r="O410" t="str">
        <f t="shared" si="105"/>
        <v/>
      </c>
      <c r="P410" s="113" t="str">
        <f t="shared" si="94"/>
        <v>9H21</v>
      </c>
      <c r="Q410" s="114">
        <f t="shared" si="95"/>
        <v>127</v>
      </c>
      <c r="R410" s="114">
        <f t="shared" si="96"/>
        <v>120.33333333333333</v>
      </c>
      <c r="S410" s="113">
        <f t="shared" si="97"/>
        <v>117</v>
      </c>
      <c r="T410" s="111">
        <f t="shared" ca="1" si="98"/>
        <v>2.5099999999999998</v>
      </c>
      <c r="U410" s="111" t="str">
        <f t="shared" si="99"/>
        <v/>
      </c>
      <c r="V410" t="str">
        <f t="array" ref="V410">INDEX(P:P,MAX(U$3:U410))</f>
        <v>9H#2DTR(A)</v>
      </c>
      <c r="W410" t="str">
        <f t="shared" ca="1" si="100"/>
        <v/>
      </c>
      <c r="X410">
        <f t="shared" si="101"/>
        <v>11.4</v>
      </c>
      <c r="Y410">
        <f t="shared" si="102"/>
        <v>127</v>
      </c>
      <c r="Z410" t="str">
        <f t="shared" si="106"/>
        <v>草港</v>
      </c>
    </row>
    <row r="411" spans="1:26" x14ac:dyDescent="0.25">
      <c r="A411" s="118" t="s">
        <v>555</v>
      </c>
      <c r="B411" s="119" t="s">
        <v>558</v>
      </c>
      <c r="C411" s="119">
        <v>149</v>
      </c>
      <c r="D411" s="118" t="s">
        <v>177</v>
      </c>
      <c r="E411" s="118">
        <v>126</v>
      </c>
      <c r="F411" s="118" t="s">
        <v>205</v>
      </c>
      <c r="G411" s="118">
        <v>159</v>
      </c>
      <c r="H411" s="118" t="s">
        <v>177</v>
      </c>
      <c r="I411" s="378">
        <v>159</v>
      </c>
      <c r="J411" s="117">
        <v>44</v>
      </c>
      <c r="K411" s="117" t="s">
        <v>177</v>
      </c>
      <c r="L411" t="str">
        <f t="shared" si="93"/>
        <v>9H22</v>
      </c>
      <c r="M411" t="str">
        <f t="shared" si="103"/>
        <v/>
      </c>
      <c r="N411" t="str">
        <f t="shared" si="104"/>
        <v/>
      </c>
      <c r="O411" t="str">
        <f t="shared" si="105"/>
        <v/>
      </c>
      <c r="P411" s="113" t="str">
        <f t="shared" si="94"/>
        <v>9H22</v>
      </c>
      <c r="Q411" s="114">
        <f t="shared" si="95"/>
        <v>159</v>
      </c>
      <c r="R411" s="114">
        <f t="shared" si="96"/>
        <v>144.66666666666666</v>
      </c>
      <c r="S411" s="113">
        <f t="shared" si="97"/>
        <v>126</v>
      </c>
      <c r="T411" s="111">
        <f t="shared" ca="1" si="98"/>
        <v>3.14</v>
      </c>
      <c r="U411" s="111" t="str">
        <f t="shared" si="99"/>
        <v/>
      </c>
      <c r="V411" t="str">
        <f t="array" ref="V411">INDEX(P:P,MAX(U$3:U411))</f>
        <v>9H#2DTR(A)</v>
      </c>
      <c r="W411" t="str">
        <f t="shared" ca="1" si="100"/>
        <v/>
      </c>
      <c r="X411">
        <f t="shared" si="101"/>
        <v>11.4</v>
      </c>
      <c r="Y411">
        <f t="shared" si="102"/>
        <v>159</v>
      </c>
      <c r="Z411" t="str">
        <f t="shared" si="106"/>
        <v>草港</v>
      </c>
    </row>
    <row r="412" spans="1:26" x14ac:dyDescent="0.25">
      <c r="A412" s="118" t="s">
        <v>555</v>
      </c>
      <c r="B412" s="119" t="s">
        <v>559</v>
      </c>
      <c r="C412" s="119">
        <v>177</v>
      </c>
      <c r="D412" s="118" t="s">
        <v>176</v>
      </c>
      <c r="E412" s="118">
        <v>161</v>
      </c>
      <c r="F412" s="118" t="s">
        <v>188</v>
      </c>
      <c r="G412" s="118">
        <v>137</v>
      </c>
      <c r="H412" s="118" t="s">
        <v>203</v>
      </c>
      <c r="I412" s="378">
        <v>177</v>
      </c>
      <c r="J412" s="117">
        <v>57</v>
      </c>
      <c r="K412" s="117" t="s">
        <v>188</v>
      </c>
      <c r="L412" t="str">
        <f t="shared" si="93"/>
        <v>9H23</v>
      </c>
      <c r="M412" t="str">
        <f t="shared" si="103"/>
        <v/>
      </c>
      <c r="N412" t="str">
        <f t="shared" si="104"/>
        <v/>
      </c>
      <c r="O412" t="str">
        <f t="shared" si="105"/>
        <v/>
      </c>
      <c r="P412" s="113" t="str">
        <f t="shared" si="94"/>
        <v>9H23</v>
      </c>
      <c r="Q412" s="114">
        <f t="shared" si="95"/>
        <v>177</v>
      </c>
      <c r="R412" s="114">
        <f t="shared" si="96"/>
        <v>158.33333333333334</v>
      </c>
      <c r="S412" s="113">
        <f t="shared" si="97"/>
        <v>137</v>
      </c>
      <c r="T412" s="111">
        <f t="shared" ca="1" si="98"/>
        <v>3.49</v>
      </c>
      <c r="U412" s="111" t="str">
        <f t="shared" si="99"/>
        <v/>
      </c>
      <c r="V412" t="str">
        <f t="array" ref="V412">INDEX(P:P,MAX(U$3:U412))</f>
        <v>9H#2DTR(A)</v>
      </c>
      <c r="W412" t="str">
        <f t="shared" ca="1" si="100"/>
        <v/>
      </c>
      <c r="X412">
        <f t="shared" si="101"/>
        <v>11.4</v>
      </c>
      <c r="Y412">
        <f t="shared" si="102"/>
        <v>177</v>
      </c>
      <c r="Z412" t="str">
        <f t="shared" si="106"/>
        <v>草港</v>
      </c>
    </row>
    <row r="413" spans="1:26" x14ac:dyDescent="0.25">
      <c r="A413" s="118" t="s">
        <v>555</v>
      </c>
      <c r="B413" s="119" t="s">
        <v>560</v>
      </c>
      <c r="C413" s="119">
        <v>170</v>
      </c>
      <c r="D413" s="118" t="s">
        <v>184</v>
      </c>
      <c r="E413" s="118">
        <v>171</v>
      </c>
      <c r="F413" s="118" t="s">
        <v>184</v>
      </c>
      <c r="G413" s="118">
        <v>175</v>
      </c>
      <c r="H413" s="118" t="s">
        <v>184</v>
      </c>
      <c r="I413" s="378">
        <v>175</v>
      </c>
      <c r="J413" s="117">
        <v>9</v>
      </c>
      <c r="K413" s="117" t="s">
        <v>214</v>
      </c>
      <c r="L413" t="str">
        <f t="shared" si="93"/>
        <v>9H24</v>
      </c>
      <c r="M413" t="str">
        <f t="shared" si="103"/>
        <v/>
      </c>
      <c r="N413" t="str">
        <f t="shared" si="104"/>
        <v/>
      </c>
      <c r="O413" t="str">
        <f t="shared" si="105"/>
        <v/>
      </c>
      <c r="P413" s="113" t="str">
        <f t="shared" si="94"/>
        <v>9H24</v>
      </c>
      <c r="Q413" s="114">
        <f t="shared" si="95"/>
        <v>175</v>
      </c>
      <c r="R413" s="114">
        <f t="shared" si="96"/>
        <v>172</v>
      </c>
      <c r="S413" s="113">
        <f t="shared" si="97"/>
        <v>170</v>
      </c>
      <c r="T413" s="111">
        <f t="shared" ca="1" si="98"/>
        <v>3.46</v>
      </c>
      <c r="U413" s="111" t="str">
        <f t="shared" si="99"/>
        <v/>
      </c>
      <c r="V413" t="str">
        <f t="array" ref="V413">INDEX(P:P,MAX(U$3:U413))</f>
        <v>9H#2DTR(A)</v>
      </c>
      <c r="W413" t="str">
        <f t="shared" ca="1" si="100"/>
        <v/>
      </c>
      <c r="X413">
        <f t="shared" si="101"/>
        <v>11.4</v>
      </c>
      <c r="Y413">
        <f t="shared" si="102"/>
        <v>175</v>
      </c>
      <c r="Z413" t="str">
        <f t="shared" si="106"/>
        <v>草港</v>
      </c>
    </row>
    <row r="414" spans="1:26" x14ac:dyDescent="0.25">
      <c r="A414" s="118" t="s">
        <v>555</v>
      </c>
      <c r="B414" s="119" t="s">
        <v>561</v>
      </c>
      <c r="C414" s="119">
        <v>186</v>
      </c>
      <c r="D414" s="118" t="s">
        <v>376</v>
      </c>
      <c r="E414" s="118">
        <v>168</v>
      </c>
      <c r="F414" s="118" t="s">
        <v>376</v>
      </c>
      <c r="G414" s="118">
        <v>170</v>
      </c>
      <c r="H414" s="118" t="s">
        <v>194</v>
      </c>
      <c r="I414" s="378">
        <v>186</v>
      </c>
      <c r="J414" s="117">
        <v>25</v>
      </c>
      <c r="K414" s="117" t="s">
        <v>188</v>
      </c>
      <c r="L414" t="str">
        <f t="shared" si="93"/>
        <v>9H25</v>
      </c>
      <c r="M414" t="str">
        <f t="shared" si="103"/>
        <v/>
      </c>
      <c r="N414" t="str">
        <f t="shared" si="104"/>
        <v/>
      </c>
      <c r="O414" t="str">
        <f t="shared" si="105"/>
        <v/>
      </c>
      <c r="P414" s="113" t="str">
        <f t="shared" si="94"/>
        <v>9H25</v>
      </c>
      <c r="Q414" s="114">
        <f t="shared" si="95"/>
        <v>186</v>
      </c>
      <c r="R414" s="114">
        <f t="shared" si="96"/>
        <v>174.66666666666666</v>
      </c>
      <c r="S414" s="113">
        <f t="shared" si="97"/>
        <v>168</v>
      </c>
      <c r="T414" s="111">
        <f t="shared" ca="1" si="98"/>
        <v>3.67</v>
      </c>
      <c r="U414" s="111" t="str">
        <f t="shared" si="99"/>
        <v/>
      </c>
      <c r="V414" t="str">
        <f t="array" ref="V414">INDEX(P:P,MAX(U$3:U414))</f>
        <v>9H#2DTR(A)</v>
      </c>
      <c r="W414" t="str">
        <f t="shared" ca="1" si="100"/>
        <v/>
      </c>
      <c r="X414">
        <f t="shared" si="101"/>
        <v>11.4</v>
      </c>
      <c r="Y414">
        <f t="shared" si="102"/>
        <v>186</v>
      </c>
      <c r="Z414" t="str">
        <f t="shared" si="106"/>
        <v>草港</v>
      </c>
    </row>
    <row r="415" spans="1:26" x14ac:dyDescent="0.25">
      <c r="A415" s="118" t="s">
        <v>555</v>
      </c>
      <c r="B415" s="119" t="s">
        <v>283</v>
      </c>
      <c r="C415" s="119">
        <v>514</v>
      </c>
      <c r="D415" s="118" t="s">
        <v>177</v>
      </c>
      <c r="E415" s="118">
        <v>520</v>
      </c>
      <c r="F415" s="118" t="s">
        <v>177</v>
      </c>
      <c r="G415" s="118">
        <v>532</v>
      </c>
      <c r="H415" s="118" t="s">
        <v>176</v>
      </c>
      <c r="I415" s="378">
        <v>532</v>
      </c>
      <c r="J415" s="117"/>
      <c r="K415" s="117"/>
      <c r="L415" t="str">
        <f t="shared" si="93"/>
        <v>9H#2DTR(B)</v>
      </c>
      <c r="M415" t="str">
        <f t="shared" si="103"/>
        <v>(B)</v>
      </c>
      <c r="N415" t="str">
        <f t="shared" si="104"/>
        <v>9H#2DTR</v>
      </c>
      <c r="O415" t="str">
        <f t="shared" si="105"/>
        <v>(B)</v>
      </c>
      <c r="P415" s="113" t="str">
        <f t="shared" si="94"/>
        <v>9H#2DTR(B)</v>
      </c>
      <c r="Q415" s="114">
        <f t="shared" si="95"/>
        <v>532</v>
      </c>
      <c r="R415" s="114">
        <f t="shared" si="96"/>
        <v>522</v>
      </c>
      <c r="S415" s="113">
        <f t="shared" si="97"/>
        <v>514</v>
      </c>
      <c r="T415" s="111">
        <f t="shared" ca="1" si="98"/>
        <v>10.5</v>
      </c>
      <c r="U415" s="111">
        <f t="shared" si="99"/>
        <v>415</v>
      </c>
      <c r="V415" t="str">
        <f t="array" ref="V415">INDEX(P:P,MAX(U$3:U415))</f>
        <v>9H#2DTR(B)</v>
      </c>
      <c r="W415">
        <f t="shared" ca="1" si="100"/>
        <v>30</v>
      </c>
      <c r="X415" t="str">
        <f t="shared" si="101"/>
        <v/>
      </c>
      <c r="Y415">
        <f t="shared" si="102"/>
        <v>532</v>
      </c>
      <c r="Z415" t="str">
        <f t="shared" si="106"/>
        <v>草港</v>
      </c>
    </row>
    <row r="416" spans="1:26" x14ac:dyDescent="0.25">
      <c r="A416" s="118" t="s">
        <v>555</v>
      </c>
      <c r="B416" s="119" t="s">
        <v>562</v>
      </c>
      <c r="C416" s="119">
        <v>249</v>
      </c>
      <c r="D416" s="118" t="s">
        <v>198</v>
      </c>
      <c r="E416" s="118">
        <v>214</v>
      </c>
      <c r="F416" s="118" t="s">
        <v>198</v>
      </c>
      <c r="G416" s="118">
        <v>233</v>
      </c>
      <c r="H416" s="118" t="s">
        <v>203</v>
      </c>
      <c r="I416" s="378">
        <v>249</v>
      </c>
      <c r="J416" s="117">
        <v>75</v>
      </c>
      <c r="K416" s="117" t="s">
        <v>229</v>
      </c>
      <c r="L416" t="str">
        <f t="shared" si="93"/>
        <v>9H26</v>
      </c>
      <c r="M416" t="str">
        <f t="shared" si="103"/>
        <v/>
      </c>
      <c r="N416" t="str">
        <f t="shared" si="104"/>
        <v/>
      </c>
      <c r="O416" t="str">
        <f t="shared" si="105"/>
        <v/>
      </c>
      <c r="P416" s="113" t="str">
        <f t="shared" si="94"/>
        <v>9H26</v>
      </c>
      <c r="Q416" s="114">
        <f t="shared" si="95"/>
        <v>249</v>
      </c>
      <c r="R416" s="114">
        <f t="shared" si="96"/>
        <v>232</v>
      </c>
      <c r="S416" s="113">
        <f t="shared" si="97"/>
        <v>214</v>
      </c>
      <c r="T416" s="111">
        <f t="shared" ca="1" si="98"/>
        <v>4.92</v>
      </c>
      <c r="U416" s="111" t="str">
        <f t="shared" si="99"/>
        <v/>
      </c>
      <c r="V416" t="str">
        <f t="array" ref="V416">INDEX(P:P,MAX(U$3:U416))</f>
        <v>9H#2DTR(B)</v>
      </c>
      <c r="W416" t="str">
        <f t="shared" ca="1" si="100"/>
        <v/>
      </c>
      <c r="X416">
        <f t="shared" si="101"/>
        <v>11.4</v>
      </c>
      <c r="Y416">
        <f t="shared" si="102"/>
        <v>249</v>
      </c>
      <c r="Z416" t="str">
        <f t="shared" si="106"/>
        <v>草港</v>
      </c>
    </row>
    <row r="417" spans="1:26" x14ac:dyDescent="0.25">
      <c r="A417" s="118" t="s">
        <v>555</v>
      </c>
      <c r="B417" s="119" t="s">
        <v>563</v>
      </c>
      <c r="C417" s="119">
        <v>65</v>
      </c>
      <c r="D417" s="118" t="s">
        <v>192</v>
      </c>
      <c r="E417" s="118">
        <v>65</v>
      </c>
      <c r="F417" s="118" t="s">
        <v>192</v>
      </c>
      <c r="G417" s="118">
        <v>76</v>
      </c>
      <c r="H417" s="118" t="s">
        <v>192</v>
      </c>
      <c r="I417" s="378">
        <v>76</v>
      </c>
      <c r="J417" s="117">
        <v>32</v>
      </c>
      <c r="K417" s="117" t="s">
        <v>176</v>
      </c>
      <c r="L417" t="str">
        <f t="shared" si="93"/>
        <v>9H27</v>
      </c>
      <c r="M417" t="str">
        <f t="shared" si="103"/>
        <v/>
      </c>
      <c r="N417" t="str">
        <f t="shared" si="104"/>
        <v/>
      </c>
      <c r="O417" t="str">
        <f t="shared" si="105"/>
        <v/>
      </c>
      <c r="P417" s="113" t="str">
        <f t="shared" si="94"/>
        <v>9H27</v>
      </c>
      <c r="Q417" s="114">
        <f t="shared" si="95"/>
        <v>76</v>
      </c>
      <c r="R417" s="114">
        <f t="shared" si="96"/>
        <v>68.666666666666671</v>
      </c>
      <c r="S417" s="113">
        <f t="shared" si="97"/>
        <v>65</v>
      </c>
      <c r="T417" s="111">
        <f t="shared" ca="1" si="98"/>
        <v>1.5</v>
      </c>
      <c r="U417" s="111" t="str">
        <f t="shared" si="99"/>
        <v/>
      </c>
      <c r="V417" t="str">
        <f t="array" ref="V417">INDEX(P:P,MAX(U$3:U417))</f>
        <v>9H#2DTR(B)</v>
      </c>
      <c r="W417" t="str">
        <f t="shared" ca="1" si="100"/>
        <v/>
      </c>
      <c r="X417">
        <f t="shared" si="101"/>
        <v>11.4</v>
      </c>
      <c r="Y417">
        <f t="shared" si="102"/>
        <v>76</v>
      </c>
      <c r="Z417" t="str">
        <f t="shared" si="106"/>
        <v>草港</v>
      </c>
    </row>
    <row r="418" spans="1:26" x14ac:dyDescent="0.25">
      <c r="A418" s="118" t="s">
        <v>555</v>
      </c>
      <c r="B418" s="119" t="s">
        <v>564</v>
      </c>
      <c r="C418" s="119">
        <v>123</v>
      </c>
      <c r="D418" s="118" t="s">
        <v>205</v>
      </c>
      <c r="E418" s="118">
        <v>126</v>
      </c>
      <c r="F418" s="118" t="s">
        <v>198</v>
      </c>
      <c r="G418" s="118">
        <v>155</v>
      </c>
      <c r="H418" s="118" t="s">
        <v>179</v>
      </c>
      <c r="I418" s="378">
        <v>155</v>
      </c>
      <c r="J418" s="117">
        <v>61</v>
      </c>
      <c r="K418" s="117" t="s">
        <v>179</v>
      </c>
      <c r="L418" t="str">
        <f t="shared" si="93"/>
        <v>9H28</v>
      </c>
      <c r="M418" t="str">
        <f t="shared" si="103"/>
        <v/>
      </c>
      <c r="N418" t="str">
        <f t="shared" si="104"/>
        <v/>
      </c>
      <c r="O418" t="str">
        <f t="shared" si="105"/>
        <v/>
      </c>
      <c r="P418" s="113" t="str">
        <f t="shared" si="94"/>
        <v>9H28</v>
      </c>
      <c r="Q418" s="114">
        <f t="shared" si="95"/>
        <v>155</v>
      </c>
      <c r="R418" s="114">
        <f t="shared" si="96"/>
        <v>134.66666666666666</v>
      </c>
      <c r="S418" s="113">
        <f t="shared" si="97"/>
        <v>123</v>
      </c>
      <c r="T418" s="111">
        <f t="shared" ca="1" si="98"/>
        <v>3.06</v>
      </c>
      <c r="U418" s="111" t="str">
        <f t="shared" si="99"/>
        <v/>
      </c>
      <c r="V418" t="str">
        <f t="array" ref="V418">INDEX(P:P,MAX(U$3:U418))</f>
        <v>9H#2DTR(B)</v>
      </c>
      <c r="W418" t="str">
        <f t="shared" ca="1" si="100"/>
        <v/>
      </c>
      <c r="X418">
        <f t="shared" si="101"/>
        <v>11.4</v>
      </c>
      <c r="Y418">
        <f t="shared" si="102"/>
        <v>155</v>
      </c>
      <c r="Z418" t="str">
        <f t="shared" si="106"/>
        <v>草港</v>
      </c>
    </row>
    <row r="419" spans="1:26" x14ac:dyDescent="0.25">
      <c r="A419" s="118" t="s">
        <v>555</v>
      </c>
      <c r="B419" s="119" t="s">
        <v>565</v>
      </c>
      <c r="C419" s="119">
        <v>144</v>
      </c>
      <c r="D419" s="118" t="s">
        <v>177</v>
      </c>
      <c r="E419" s="118">
        <v>177</v>
      </c>
      <c r="F419" s="118" t="s">
        <v>177</v>
      </c>
      <c r="G419" s="118">
        <v>129</v>
      </c>
      <c r="H419" s="118" t="s">
        <v>177</v>
      </c>
      <c r="I419" s="378">
        <v>177</v>
      </c>
      <c r="J419" s="117">
        <v>59</v>
      </c>
      <c r="K419" s="117" t="s">
        <v>177</v>
      </c>
      <c r="L419" t="str">
        <f t="shared" si="93"/>
        <v>9H29</v>
      </c>
      <c r="M419" t="str">
        <f t="shared" si="103"/>
        <v/>
      </c>
      <c r="N419" t="str">
        <f t="shared" si="104"/>
        <v/>
      </c>
      <c r="O419" t="str">
        <f t="shared" si="105"/>
        <v/>
      </c>
      <c r="P419" s="113" t="str">
        <f t="shared" si="94"/>
        <v>9H29</v>
      </c>
      <c r="Q419" s="114">
        <f t="shared" si="95"/>
        <v>177</v>
      </c>
      <c r="R419" s="114">
        <f t="shared" si="96"/>
        <v>150</v>
      </c>
      <c r="S419" s="113">
        <f t="shared" si="97"/>
        <v>129</v>
      </c>
      <c r="T419" s="111">
        <f t="shared" ca="1" si="98"/>
        <v>3.49</v>
      </c>
      <c r="U419" s="111" t="str">
        <f t="shared" si="99"/>
        <v/>
      </c>
      <c r="V419" t="str">
        <f t="array" ref="V419">INDEX(P:P,MAX(U$3:U419))</f>
        <v>9H#2DTR(B)</v>
      </c>
      <c r="W419" t="str">
        <f t="shared" ca="1" si="100"/>
        <v/>
      </c>
      <c r="X419">
        <f t="shared" si="101"/>
        <v>11.4</v>
      </c>
      <c r="Y419">
        <f t="shared" si="102"/>
        <v>177</v>
      </c>
      <c r="Z419" t="str">
        <f t="shared" si="106"/>
        <v>草港</v>
      </c>
    </row>
    <row r="420" spans="1:26" x14ac:dyDescent="0.25">
      <c r="A420" s="118" t="s">
        <v>555</v>
      </c>
      <c r="B420" s="119" t="s">
        <v>369</v>
      </c>
      <c r="C420" s="119">
        <v>852</v>
      </c>
      <c r="D420" s="118" t="s">
        <v>188</v>
      </c>
      <c r="E420" s="118">
        <v>726</v>
      </c>
      <c r="F420" s="118" t="s">
        <v>177</v>
      </c>
      <c r="G420" s="118">
        <v>834</v>
      </c>
      <c r="H420" s="118" t="s">
        <v>177</v>
      </c>
      <c r="I420" s="378">
        <v>852</v>
      </c>
      <c r="J420" s="117"/>
      <c r="K420" s="117"/>
      <c r="L420" t="str">
        <f t="shared" si="93"/>
        <v>9H#3DTR(A)</v>
      </c>
      <c r="M420" t="str">
        <f t="shared" si="103"/>
        <v>(A)</v>
      </c>
      <c r="N420" t="str">
        <f t="shared" si="104"/>
        <v>9H#3DTR</v>
      </c>
      <c r="O420" t="str">
        <f t="shared" si="105"/>
        <v>(A)</v>
      </c>
      <c r="P420" s="113" t="str">
        <f t="shared" si="94"/>
        <v>9H#3DTR(A)</v>
      </c>
      <c r="Q420" s="114">
        <f t="shared" si="95"/>
        <v>852</v>
      </c>
      <c r="R420" s="114">
        <f t="shared" si="96"/>
        <v>804</v>
      </c>
      <c r="S420" s="113">
        <f t="shared" si="97"/>
        <v>726</v>
      </c>
      <c r="T420" s="111">
        <f t="shared" ca="1" si="98"/>
        <v>16.82</v>
      </c>
      <c r="U420" s="111">
        <f t="shared" si="99"/>
        <v>420</v>
      </c>
      <c r="V420" t="str">
        <f t="array" ref="V420">INDEX(P:P,MAX(U$3:U420))</f>
        <v>9H#3DTR(A)</v>
      </c>
      <c r="W420">
        <f t="shared" ca="1" si="100"/>
        <v>30</v>
      </c>
      <c r="X420" t="str">
        <f t="shared" si="101"/>
        <v/>
      </c>
      <c r="Y420">
        <f t="shared" si="102"/>
        <v>852</v>
      </c>
      <c r="Z420" t="str">
        <f t="shared" si="106"/>
        <v>草港</v>
      </c>
    </row>
    <row r="421" spans="1:26" x14ac:dyDescent="0.25">
      <c r="A421" s="118" t="s">
        <v>555</v>
      </c>
      <c r="B421" s="119" t="s">
        <v>566</v>
      </c>
      <c r="C421" s="119">
        <v>0</v>
      </c>
      <c r="D421" s="118" t="s">
        <v>194</v>
      </c>
      <c r="E421" s="118">
        <v>0</v>
      </c>
      <c r="F421" s="118" t="s">
        <v>194</v>
      </c>
      <c r="G421" s="118">
        <v>0</v>
      </c>
      <c r="H421" s="118" t="s">
        <v>194</v>
      </c>
      <c r="I421" s="378">
        <v>0</v>
      </c>
      <c r="J421" s="117">
        <v>0</v>
      </c>
      <c r="K421" s="117" t="s">
        <v>194</v>
      </c>
      <c r="L421" t="str">
        <f t="shared" si="93"/>
        <v>9H30</v>
      </c>
      <c r="M421" t="str">
        <f t="shared" si="103"/>
        <v/>
      </c>
      <c r="N421" t="str">
        <f t="shared" si="104"/>
        <v/>
      </c>
      <c r="O421" t="str">
        <f t="shared" si="105"/>
        <v/>
      </c>
      <c r="P421" s="113" t="str">
        <f t="shared" si="94"/>
        <v>9H30</v>
      </c>
      <c r="Q421" s="114">
        <f t="shared" si="95"/>
        <v>0</v>
      </c>
      <c r="R421" s="114">
        <f t="shared" si="96"/>
        <v>0</v>
      </c>
      <c r="S421" s="113">
        <f t="shared" si="97"/>
        <v>0</v>
      </c>
      <c r="T421" s="111">
        <f t="shared" ca="1" si="98"/>
        <v>0</v>
      </c>
      <c r="U421" s="111" t="str">
        <f t="shared" si="99"/>
        <v/>
      </c>
      <c r="V421" t="str">
        <f t="array" ref="V421">INDEX(P:P,MAX(U$3:U421))</f>
        <v>9H#3DTR(A)</v>
      </c>
      <c r="W421" t="str">
        <f t="shared" ca="1" si="100"/>
        <v/>
      </c>
      <c r="X421">
        <f t="shared" si="101"/>
        <v>11.4</v>
      </c>
      <c r="Y421">
        <f t="shared" si="102"/>
        <v>0</v>
      </c>
      <c r="Z421" t="str">
        <f t="shared" si="106"/>
        <v>草港</v>
      </c>
    </row>
    <row r="422" spans="1:26" x14ac:dyDescent="0.25">
      <c r="A422" s="118" t="s">
        <v>555</v>
      </c>
      <c r="B422" s="119" t="s">
        <v>567</v>
      </c>
      <c r="C422" s="119">
        <v>180</v>
      </c>
      <c r="D422" s="118" t="s">
        <v>188</v>
      </c>
      <c r="E422" s="118">
        <v>175</v>
      </c>
      <c r="F422" s="118" t="s">
        <v>176</v>
      </c>
      <c r="G422" s="118">
        <v>204</v>
      </c>
      <c r="H422" s="118" t="s">
        <v>176</v>
      </c>
      <c r="I422" s="378">
        <v>204</v>
      </c>
      <c r="J422" s="117">
        <v>67</v>
      </c>
      <c r="K422" s="117" t="s">
        <v>207</v>
      </c>
      <c r="L422" t="str">
        <f t="shared" si="93"/>
        <v>9H31</v>
      </c>
      <c r="M422" t="str">
        <f t="shared" si="103"/>
        <v/>
      </c>
      <c r="N422" t="str">
        <f t="shared" si="104"/>
        <v/>
      </c>
      <c r="O422" t="str">
        <f t="shared" si="105"/>
        <v/>
      </c>
      <c r="P422" s="113" t="str">
        <f t="shared" si="94"/>
        <v>9H31</v>
      </c>
      <c r="Q422" s="114">
        <f t="shared" si="95"/>
        <v>204</v>
      </c>
      <c r="R422" s="114">
        <f t="shared" si="96"/>
        <v>186.33333333333334</v>
      </c>
      <c r="S422" s="113">
        <f t="shared" si="97"/>
        <v>175</v>
      </c>
      <c r="T422" s="111">
        <f t="shared" ca="1" si="98"/>
        <v>4.03</v>
      </c>
      <c r="U422" s="111" t="str">
        <f t="shared" si="99"/>
        <v/>
      </c>
      <c r="V422" t="str">
        <f t="array" ref="V422">INDEX(P:P,MAX(U$3:U422))</f>
        <v>9H#3DTR(A)</v>
      </c>
      <c r="W422" t="str">
        <f t="shared" ca="1" si="100"/>
        <v/>
      </c>
      <c r="X422">
        <f t="shared" si="101"/>
        <v>11.4</v>
      </c>
      <c r="Y422">
        <f t="shared" si="102"/>
        <v>204</v>
      </c>
      <c r="Z422" t="str">
        <f t="shared" si="106"/>
        <v>草港</v>
      </c>
    </row>
    <row r="423" spans="1:26" x14ac:dyDescent="0.25">
      <c r="A423" s="118" t="s">
        <v>555</v>
      </c>
      <c r="B423" s="119" t="s">
        <v>568</v>
      </c>
      <c r="C423" s="119">
        <v>161</v>
      </c>
      <c r="D423" s="118" t="s">
        <v>198</v>
      </c>
      <c r="E423" s="118">
        <v>135</v>
      </c>
      <c r="F423" s="118" t="s">
        <v>198</v>
      </c>
      <c r="G423" s="118">
        <v>143</v>
      </c>
      <c r="H423" s="118" t="s">
        <v>198</v>
      </c>
      <c r="I423" s="378">
        <v>161</v>
      </c>
      <c r="J423" s="117">
        <v>73</v>
      </c>
      <c r="K423" s="117" t="s">
        <v>184</v>
      </c>
      <c r="L423" t="str">
        <f t="shared" si="93"/>
        <v>9H32</v>
      </c>
      <c r="M423" t="str">
        <f t="shared" si="103"/>
        <v/>
      </c>
      <c r="N423" t="str">
        <f t="shared" si="104"/>
        <v/>
      </c>
      <c r="O423" t="str">
        <f t="shared" si="105"/>
        <v/>
      </c>
      <c r="P423" s="113" t="str">
        <f t="shared" si="94"/>
        <v>9H32</v>
      </c>
      <c r="Q423" s="114">
        <f t="shared" si="95"/>
        <v>161</v>
      </c>
      <c r="R423" s="114">
        <f t="shared" si="96"/>
        <v>146.33333333333334</v>
      </c>
      <c r="S423" s="113">
        <f t="shared" si="97"/>
        <v>135</v>
      </c>
      <c r="T423" s="111">
        <f t="shared" ca="1" si="98"/>
        <v>3.18</v>
      </c>
      <c r="U423" s="111" t="str">
        <f t="shared" si="99"/>
        <v/>
      </c>
      <c r="V423" t="str">
        <f t="array" ref="V423">INDEX(P:P,MAX(U$3:U423))</f>
        <v>9H#3DTR(A)</v>
      </c>
      <c r="W423" t="str">
        <f t="shared" ca="1" si="100"/>
        <v/>
      </c>
      <c r="X423">
        <f t="shared" si="101"/>
        <v>11.4</v>
      </c>
      <c r="Y423">
        <f t="shared" si="102"/>
        <v>161</v>
      </c>
      <c r="Z423" t="str">
        <f t="shared" si="106"/>
        <v>草港</v>
      </c>
    </row>
    <row r="424" spans="1:26" x14ac:dyDescent="0.25">
      <c r="A424" s="118" t="s">
        <v>555</v>
      </c>
      <c r="B424" s="119" t="s">
        <v>569</v>
      </c>
      <c r="C424" s="119">
        <v>291</v>
      </c>
      <c r="D424" s="118" t="s">
        <v>188</v>
      </c>
      <c r="E424" s="118">
        <v>273</v>
      </c>
      <c r="F424" s="118" t="s">
        <v>188</v>
      </c>
      <c r="G424" s="118">
        <v>292</v>
      </c>
      <c r="H424" s="118" t="s">
        <v>176</v>
      </c>
      <c r="I424" s="378">
        <v>292</v>
      </c>
      <c r="J424" s="117">
        <v>73</v>
      </c>
      <c r="K424" s="117" t="s">
        <v>184</v>
      </c>
      <c r="L424" t="str">
        <f t="shared" si="93"/>
        <v>9H33</v>
      </c>
      <c r="M424" t="str">
        <f t="shared" si="103"/>
        <v/>
      </c>
      <c r="N424" t="str">
        <f t="shared" si="104"/>
        <v/>
      </c>
      <c r="O424" t="str">
        <f t="shared" si="105"/>
        <v/>
      </c>
      <c r="P424" s="113" t="str">
        <f t="shared" si="94"/>
        <v>9H33</v>
      </c>
      <c r="Q424" s="114">
        <f t="shared" si="95"/>
        <v>292</v>
      </c>
      <c r="R424" s="114">
        <f t="shared" si="96"/>
        <v>285.33333333333331</v>
      </c>
      <c r="S424" s="113">
        <f t="shared" si="97"/>
        <v>273</v>
      </c>
      <c r="T424" s="111">
        <f t="shared" ca="1" si="98"/>
        <v>5.77</v>
      </c>
      <c r="U424" s="111" t="str">
        <f t="shared" si="99"/>
        <v/>
      </c>
      <c r="V424" t="str">
        <f t="array" ref="V424">INDEX(P:P,MAX(U$3:U424))</f>
        <v>9H#3DTR(A)</v>
      </c>
      <c r="W424" t="str">
        <f t="shared" ca="1" si="100"/>
        <v/>
      </c>
      <c r="X424">
        <f t="shared" si="101"/>
        <v>11.4</v>
      </c>
      <c r="Y424">
        <f t="shared" si="102"/>
        <v>292</v>
      </c>
      <c r="Z424" t="str">
        <f t="shared" si="106"/>
        <v>草港</v>
      </c>
    </row>
    <row r="425" spans="1:26" x14ac:dyDescent="0.25">
      <c r="A425" s="118" t="s">
        <v>555</v>
      </c>
      <c r="B425" s="119" t="s">
        <v>570</v>
      </c>
      <c r="C425" s="119">
        <v>123</v>
      </c>
      <c r="D425" s="118" t="s">
        <v>176</v>
      </c>
      <c r="E425" s="118">
        <v>97</v>
      </c>
      <c r="F425" s="118" t="s">
        <v>177</v>
      </c>
      <c r="G425" s="118">
        <v>87</v>
      </c>
      <c r="H425" s="118" t="s">
        <v>188</v>
      </c>
      <c r="I425" s="378">
        <v>123</v>
      </c>
      <c r="J425" s="117">
        <v>43</v>
      </c>
      <c r="K425" s="117" t="s">
        <v>177</v>
      </c>
      <c r="L425" t="str">
        <f t="shared" si="93"/>
        <v>9H34</v>
      </c>
      <c r="M425" t="str">
        <f t="shared" si="103"/>
        <v/>
      </c>
      <c r="N425" t="str">
        <f t="shared" si="104"/>
        <v/>
      </c>
      <c r="O425" t="str">
        <f t="shared" si="105"/>
        <v/>
      </c>
      <c r="P425" s="113" t="str">
        <f t="shared" si="94"/>
        <v>9H34</v>
      </c>
      <c r="Q425" s="114">
        <f t="shared" si="95"/>
        <v>123</v>
      </c>
      <c r="R425" s="114">
        <f t="shared" si="96"/>
        <v>102.33333333333333</v>
      </c>
      <c r="S425" s="113">
        <f t="shared" si="97"/>
        <v>87</v>
      </c>
      <c r="T425" s="111">
        <f t="shared" ca="1" si="98"/>
        <v>2.4300000000000002</v>
      </c>
      <c r="U425" s="111" t="str">
        <f t="shared" si="99"/>
        <v/>
      </c>
      <c r="V425" t="str">
        <f t="array" ref="V425">INDEX(P:P,MAX(U$3:U425))</f>
        <v>9H#3DTR(A)</v>
      </c>
      <c r="W425" t="str">
        <f t="shared" ca="1" si="100"/>
        <v/>
      </c>
      <c r="X425">
        <f t="shared" si="101"/>
        <v>11.4</v>
      </c>
      <c r="Y425">
        <f t="shared" si="102"/>
        <v>123</v>
      </c>
      <c r="Z425" t="str">
        <f t="shared" si="106"/>
        <v>草港</v>
      </c>
    </row>
    <row r="426" spans="1:26" x14ac:dyDescent="0.25">
      <c r="A426" s="118" t="s">
        <v>555</v>
      </c>
      <c r="B426" s="119" t="s">
        <v>571</v>
      </c>
      <c r="C426" s="119">
        <v>135</v>
      </c>
      <c r="D426" s="118" t="s">
        <v>176</v>
      </c>
      <c r="E426" s="118">
        <v>97</v>
      </c>
      <c r="F426" s="118" t="s">
        <v>179</v>
      </c>
      <c r="G426" s="118">
        <v>130</v>
      </c>
      <c r="H426" s="118" t="s">
        <v>177</v>
      </c>
      <c r="I426" s="378">
        <v>135</v>
      </c>
      <c r="J426" s="117">
        <v>50</v>
      </c>
      <c r="K426" s="117" t="s">
        <v>176</v>
      </c>
      <c r="L426" t="str">
        <f t="shared" si="93"/>
        <v>9H35</v>
      </c>
      <c r="M426" t="str">
        <f t="shared" si="103"/>
        <v/>
      </c>
      <c r="N426" t="str">
        <f t="shared" si="104"/>
        <v/>
      </c>
      <c r="O426" t="str">
        <f t="shared" si="105"/>
        <v/>
      </c>
      <c r="P426" s="113" t="str">
        <f t="shared" si="94"/>
        <v>9H35</v>
      </c>
      <c r="Q426" s="114">
        <f t="shared" si="95"/>
        <v>135</v>
      </c>
      <c r="R426" s="114">
        <f t="shared" si="96"/>
        <v>120.66666666666667</v>
      </c>
      <c r="S426" s="113">
        <f t="shared" si="97"/>
        <v>97</v>
      </c>
      <c r="T426" s="111">
        <f t="shared" ca="1" si="98"/>
        <v>2.67</v>
      </c>
      <c r="U426" s="111" t="str">
        <f t="shared" si="99"/>
        <v/>
      </c>
      <c r="V426" t="str">
        <f t="array" ref="V426">INDEX(P:P,MAX(U$3:U426))</f>
        <v>9H#3DTR(A)</v>
      </c>
      <c r="W426" t="str">
        <f t="shared" ca="1" si="100"/>
        <v/>
      </c>
      <c r="X426">
        <f t="shared" si="101"/>
        <v>11.4</v>
      </c>
      <c r="Y426">
        <f t="shared" si="102"/>
        <v>135</v>
      </c>
      <c r="Z426" t="str">
        <f t="shared" si="106"/>
        <v>草港</v>
      </c>
    </row>
    <row r="427" spans="1:26" x14ac:dyDescent="0.25">
      <c r="A427" s="118" t="s">
        <v>555</v>
      </c>
      <c r="B427" s="119" t="s">
        <v>373</v>
      </c>
      <c r="C427" s="119">
        <v>471</v>
      </c>
      <c r="D427" s="118" t="s">
        <v>177</v>
      </c>
      <c r="E427" s="118">
        <v>558</v>
      </c>
      <c r="F427" s="118" t="s">
        <v>177</v>
      </c>
      <c r="G427" s="118">
        <v>489</v>
      </c>
      <c r="H427" s="118" t="s">
        <v>177</v>
      </c>
      <c r="I427" s="378">
        <v>558</v>
      </c>
      <c r="J427" s="117"/>
      <c r="K427" s="117"/>
      <c r="L427" t="str">
        <f t="shared" si="93"/>
        <v>9H#3DTR(B)</v>
      </c>
      <c r="M427" t="str">
        <f t="shared" si="103"/>
        <v>(B)</v>
      </c>
      <c r="N427" t="str">
        <f t="shared" si="104"/>
        <v>9H#3DTR</v>
      </c>
      <c r="O427" t="str">
        <f t="shared" si="105"/>
        <v>(B)</v>
      </c>
      <c r="P427" s="113" t="str">
        <f t="shared" si="94"/>
        <v>9H#3DTR(B)</v>
      </c>
      <c r="Q427" s="114">
        <f t="shared" si="95"/>
        <v>558</v>
      </c>
      <c r="R427" s="114">
        <f t="shared" si="96"/>
        <v>506</v>
      </c>
      <c r="S427" s="113">
        <f t="shared" si="97"/>
        <v>471</v>
      </c>
      <c r="T427" s="111">
        <f t="shared" ca="1" si="98"/>
        <v>11.02</v>
      </c>
      <c r="U427" s="111">
        <f t="shared" si="99"/>
        <v>427</v>
      </c>
      <c r="V427" t="str">
        <f t="array" ref="V427">INDEX(P:P,MAX(U$3:U427))</f>
        <v>9H#3DTR(B)</v>
      </c>
      <c r="W427">
        <f t="shared" ca="1" si="100"/>
        <v>30</v>
      </c>
      <c r="X427" t="str">
        <f t="shared" si="101"/>
        <v/>
      </c>
      <c r="Y427">
        <f t="shared" si="102"/>
        <v>558</v>
      </c>
      <c r="Z427" t="str">
        <f t="shared" si="106"/>
        <v>草港</v>
      </c>
    </row>
    <row r="428" spans="1:26" x14ac:dyDescent="0.25">
      <c r="A428" s="118" t="s">
        <v>555</v>
      </c>
      <c r="B428" s="119" t="s">
        <v>572</v>
      </c>
      <c r="C428" s="119">
        <v>137</v>
      </c>
      <c r="D428" s="118" t="s">
        <v>192</v>
      </c>
      <c r="E428" s="118">
        <v>223</v>
      </c>
      <c r="F428" s="118" t="s">
        <v>177</v>
      </c>
      <c r="G428" s="118">
        <v>182</v>
      </c>
      <c r="H428" s="118" t="s">
        <v>188</v>
      </c>
      <c r="I428" s="378">
        <v>223</v>
      </c>
      <c r="J428" s="117">
        <v>77</v>
      </c>
      <c r="K428" s="117" t="s">
        <v>188</v>
      </c>
      <c r="L428" t="str">
        <f t="shared" si="93"/>
        <v>9H36</v>
      </c>
      <c r="M428" t="str">
        <f t="shared" si="103"/>
        <v/>
      </c>
      <c r="N428" t="str">
        <f t="shared" si="104"/>
        <v/>
      </c>
      <c r="O428" t="str">
        <f t="shared" si="105"/>
        <v/>
      </c>
      <c r="P428" s="113" t="str">
        <f t="shared" si="94"/>
        <v>9H36</v>
      </c>
      <c r="Q428" s="114">
        <f t="shared" si="95"/>
        <v>223</v>
      </c>
      <c r="R428" s="114">
        <f t="shared" si="96"/>
        <v>180.66666666666666</v>
      </c>
      <c r="S428" s="113">
        <f t="shared" si="97"/>
        <v>137</v>
      </c>
      <c r="T428" s="111">
        <f t="shared" ca="1" si="98"/>
        <v>4.4000000000000004</v>
      </c>
      <c r="U428" s="111" t="str">
        <f t="shared" si="99"/>
        <v/>
      </c>
      <c r="V428" t="str">
        <f t="array" ref="V428">INDEX(P:P,MAX(U$3:U428))</f>
        <v>9H#3DTR(B)</v>
      </c>
      <c r="W428" t="str">
        <f t="shared" ca="1" si="100"/>
        <v/>
      </c>
      <c r="X428">
        <f t="shared" si="101"/>
        <v>11.4</v>
      </c>
      <c r="Y428">
        <f t="shared" si="102"/>
        <v>223</v>
      </c>
      <c r="Z428" t="str">
        <f t="shared" si="106"/>
        <v>草港</v>
      </c>
    </row>
    <row r="429" spans="1:26" x14ac:dyDescent="0.25">
      <c r="A429" s="118" t="s">
        <v>555</v>
      </c>
      <c r="B429" s="119" t="s">
        <v>573</v>
      </c>
      <c r="C429" s="119">
        <v>110</v>
      </c>
      <c r="D429" s="118" t="s">
        <v>179</v>
      </c>
      <c r="E429" s="118">
        <v>96</v>
      </c>
      <c r="F429" s="118" t="s">
        <v>179</v>
      </c>
      <c r="G429" s="118">
        <v>117</v>
      </c>
      <c r="H429" s="118" t="s">
        <v>179</v>
      </c>
      <c r="I429" s="378">
        <v>117</v>
      </c>
      <c r="J429" s="117">
        <v>41</v>
      </c>
      <c r="K429" s="117" t="s">
        <v>203</v>
      </c>
      <c r="L429" t="str">
        <f t="shared" si="93"/>
        <v>9H37</v>
      </c>
      <c r="M429" t="str">
        <f t="shared" si="103"/>
        <v/>
      </c>
      <c r="N429" t="str">
        <f t="shared" si="104"/>
        <v/>
      </c>
      <c r="O429" t="str">
        <f t="shared" si="105"/>
        <v/>
      </c>
      <c r="P429" s="113" t="str">
        <f t="shared" si="94"/>
        <v>9H37</v>
      </c>
      <c r="Q429" s="114">
        <f t="shared" si="95"/>
        <v>117</v>
      </c>
      <c r="R429" s="114">
        <f t="shared" si="96"/>
        <v>107.66666666666667</v>
      </c>
      <c r="S429" s="113">
        <f t="shared" si="97"/>
        <v>96</v>
      </c>
      <c r="T429" s="111">
        <f t="shared" ca="1" si="98"/>
        <v>2.31</v>
      </c>
      <c r="U429" s="111" t="str">
        <f t="shared" si="99"/>
        <v/>
      </c>
      <c r="V429" t="str">
        <f t="array" ref="V429">INDEX(P:P,MAX(U$3:U429))</f>
        <v>9H#3DTR(B)</v>
      </c>
      <c r="W429" t="str">
        <f t="shared" ca="1" si="100"/>
        <v/>
      </c>
      <c r="X429">
        <f t="shared" si="101"/>
        <v>11.4</v>
      </c>
      <c r="Y429">
        <f t="shared" si="102"/>
        <v>117</v>
      </c>
      <c r="Z429" t="str">
        <f t="shared" si="106"/>
        <v>草港</v>
      </c>
    </row>
    <row r="430" spans="1:26" x14ac:dyDescent="0.25">
      <c r="A430" s="118" t="s">
        <v>555</v>
      </c>
      <c r="B430" s="119" t="s">
        <v>574</v>
      </c>
      <c r="C430" s="119">
        <v>127</v>
      </c>
      <c r="D430" s="118" t="s">
        <v>176</v>
      </c>
      <c r="E430" s="118">
        <v>148</v>
      </c>
      <c r="F430" s="118" t="s">
        <v>177</v>
      </c>
      <c r="G430" s="118">
        <v>111</v>
      </c>
      <c r="H430" s="118" t="s">
        <v>184</v>
      </c>
      <c r="I430" s="378">
        <v>148</v>
      </c>
      <c r="J430" s="117">
        <v>70</v>
      </c>
      <c r="K430" s="117" t="s">
        <v>192</v>
      </c>
      <c r="L430" t="str">
        <f t="shared" si="93"/>
        <v>9H38</v>
      </c>
      <c r="M430" t="str">
        <f t="shared" si="103"/>
        <v/>
      </c>
      <c r="N430" t="str">
        <f t="shared" si="104"/>
        <v/>
      </c>
      <c r="O430" t="str">
        <f t="shared" si="105"/>
        <v/>
      </c>
      <c r="P430" s="113" t="str">
        <f t="shared" si="94"/>
        <v>9H38</v>
      </c>
      <c r="Q430" s="114">
        <f t="shared" si="95"/>
        <v>148</v>
      </c>
      <c r="R430" s="114">
        <f t="shared" si="96"/>
        <v>128.66666666666666</v>
      </c>
      <c r="S430" s="113">
        <f t="shared" si="97"/>
        <v>111</v>
      </c>
      <c r="T430" s="111">
        <f t="shared" ca="1" si="98"/>
        <v>2.92</v>
      </c>
      <c r="U430" s="111" t="str">
        <f t="shared" si="99"/>
        <v/>
      </c>
      <c r="V430" t="str">
        <f t="array" ref="V430">INDEX(P:P,MAX(U$3:U430))</f>
        <v>9H#3DTR(B)</v>
      </c>
      <c r="W430" t="str">
        <f t="shared" ca="1" si="100"/>
        <v/>
      </c>
      <c r="X430">
        <f t="shared" si="101"/>
        <v>11.4</v>
      </c>
      <c r="Y430">
        <f t="shared" si="102"/>
        <v>148</v>
      </c>
      <c r="Z430" t="str">
        <f t="shared" si="106"/>
        <v>草港</v>
      </c>
    </row>
    <row r="431" spans="1:26" x14ac:dyDescent="0.25">
      <c r="A431" s="118" t="s">
        <v>555</v>
      </c>
      <c r="B431" s="119" t="s">
        <v>575</v>
      </c>
      <c r="C431" s="119">
        <v>133</v>
      </c>
      <c r="D431" s="118" t="s">
        <v>203</v>
      </c>
      <c r="E431" s="118">
        <v>116</v>
      </c>
      <c r="F431" s="118" t="s">
        <v>203</v>
      </c>
      <c r="G431" s="118">
        <v>115</v>
      </c>
      <c r="H431" s="118" t="s">
        <v>207</v>
      </c>
      <c r="I431" s="378">
        <v>133</v>
      </c>
      <c r="J431" s="117">
        <v>43</v>
      </c>
      <c r="K431" s="117" t="s">
        <v>180</v>
      </c>
      <c r="L431" t="str">
        <f t="shared" si="93"/>
        <v>9H39</v>
      </c>
      <c r="M431" t="str">
        <f t="shared" si="103"/>
        <v/>
      </c>
      <c r="N431" t="str">
        <f t="shared" si="104"/>
        <v/>
      </c>
      <c r="O431" t="str">
        <f t="shared" si="105"/>
        <v/>
      </c>
      <c r="P431" s="113" t="str">
        <f t="shared" si="94"/>
        <v>9H39</v>
      </c>
      <c r="Q431" s="114">
        <f t="shared" si="95"/>
        <v>133</v>
      </c>
      <c r="R431" s="114">
        <f t="shared" si="96"/>
        <v>121.33333333333333</v>
      </c>
      <c r="S431" s="113">
        <f t="shared" si="97"/>
        <v>115</v>
      </c>
      <c r="T431" s="111">
        <f t="shared" ca="1" si="98"/>
        <v>2.63</v>
      </c>
      <c r="U431" s="111" t="str">
        <f t="shared" si="99"/>
        <v/>
      </c>
      <c r="V431" t="str">
        <f t="array" ref="V431">INDEX(P:P,MAX(U$3:U431))</f>
        <v>9H#3DTR(B)</v>
      </c>
      <c r="W431" t="str">
        <f t="shared" ca="1" si="100"/>
        <v/>
      </c>
      <c r="X431">
        <f t="shared" si="101"/>
        <v>11.4</v>
      </c>
      <c r="Y431">
        <f t="shared" si="102"/>
        <v>133</v>
      </c>
      <c r="Z431" t="str">
        <f t="shared" si="106"/>
        <v>草港</v>
      </c>
    </row>
    <row r="432" spans="1:26" x14ac:dyDescent="0.25">
      <c r="A432" s="118" t="s">
        <v>576</v>
      </c>
      <c r="B432" s="119" t="s">
        <v>175</v>
      </c>
      <c r="C432" s="119">
        <v>484</v>
      </c>
      <c r="D432" s="118" t="s">
        <v>179</v>
      </c>
      <c r="E432" s="118">
        <v>519</v>
      </c>
      <c r="F432" s="118" t="s">
        <v>179</v>
      </c>
      <c r="G432" s="118">
        <v>528</v>
      </c>
      <c r="H432" s="118" t="s">
        <v>179</v>
      </c>
      <c r="I432" s="378">
        <v>528</v>
      </c>
      <c r="J432" s="117"/>
      <c r="K432" s="117"/>
      <c r="L432" t="str">
        <f t="shared" si="93"/>
        <v>IS#1MTR</v>
      </c>
      <c r="M432" t="str">
        <f t="shared" si="103"/>
        <v/>
      </c>
      <c r="N432" t="str">
        <f t="shared" si="104"/>
        <v>IS#1MTR</v>
      </c>
      <c r="O432" t="str">
        <f t="shared" si="105"/>
        <v/>
      </c>
      <c r="P432" s="113" t="str">
        <f t="shared" si="94"/>
        <v>IS#1MTR</v>
      </c>
      <c r="Q432" s="114">
        <f t="shared" si="95"/>
        <v>528</v>
      </c>
      <c r="R432" s="114">
        <f t="shared" si="96"/>
        <v>510.33333333333331</v>
      </c>
      <c r="S432" s="113">
        <f t="shared" si="97"/>
        <v>484</v>
      </c>
      <c r="T432" s="111">
        <f t="shared" ca="1" si="98"/>
        <v>10.43</v>
      </c>
      <c r="U432" s="111">
        <f t="shared" si="99"/>
        <v>432</v>
      </c>
      <c r="V432" t="str">
        <f t="array" ref="V432">INDEX(P:P,MAX(U$3:U432))</f>
        <v>IS#1MTR</v>
      </c>
      <c r="W432">
        <f t="shared" ca="1" si="100"/>
        <v>25</v>
      </c>
      <c r="X432" t="str">
        <f t="shared" si="101"/>
        <v/>
      </c>
      <c r="Y432">
        <f t="shared" si="102"/>
        <v>528</v>
      </c>
      <c r="Z432" t="str">
        <f t="shared" si="106"/>
        <v>草湖</v>
      </c>
    </row>
    <row r="433" spans="1:26" x14ac:dyDescent="0.25">
      <c r="A433" s="118" t="s">
        <v>576</v>
      </c>
      <c r="B433" s="119" t="s">
        <v>577</v>
      </c>
      <c r="C433" s="119">
        <v>97</v>
      </c>
      <c r="D433" s="118" t="s">
        <v>183</v>
      </c>
      <c r="E433" s="118">
        <v>99</v>
      </c>
      <c r="F433" s="118" t="s">
        <v>183</v>
      </c>
      <c r="G433" s="118">
        <v>92</v>
      </c>
      <c r="H433" s="118" t="s">
        <v>183</v>
      </c>
      <c r="I433" s="378">
        <v>99</v>
      </c>
      <c r="J433" s="117">
        <v>30</v>
      </c>
      <c r="K433" s="117" t="s">
        <v>198</v>
      </c>
      <c r="L433" t="str">
        <f t="shared" si="93"/>
        <v>IS20</v>
      </c>
      <c r="M433" t="str">
        <f t="shared" si="103"/>
        <v/>
      </c>
      <c r="N433" t="str">
        <f t="shared" si="104"/>
        <v/>
      </c>
      <c r="O433" t="str">
        <f t="shared" si="105"/>
        <v/>
      </c>
      <c r="P433" s="113" t="str">
        <f t="shared" si="94"/>
        <v>IS20</v>
      </c>
      <c r="Q433" s="114">
        <f t="shared" si="95"/>
        <v>99</v>
      </c>
      <c r="R433" s="114">
        <f t="shared" si="96"/>
        <v>96</v>
      </c>
      <c r="S433" s="113">
        <f t="shared" si="97"/>
        <v>92</v>
      </c>
      <c r="T433" s="111">
        <f t="shared" ca="1" si="98"/>
        <v>1.95</v>
      </c>
      <c r="U433" s="111" t="str">
        <f t="shared" si="99"/>
        <v/>
      </c>
      <c r="V433" t="str">
        <f t="array" ref="V433">INDEX(P:P,MAX(U$3:U433))</f>
        <v>IS#1MTR</v>
      </c>
      <c r="W433" t="str">
        <f t="shared" ca="1" si="100"/>
        <v/>
      </c>
      <c r="X433">
        <f t="shared" si="101"/>
        <v>11.4</v>
      </c>
      <c r="Y433">
        <f t="shared" si="102"/>
        <v>99</v>
      </c>
      <c r="Z433" t="str">
        <f t="shared" si="106"/>
        <v>草湖</v>
      </c>
    </row>
    <row r="434" spans="1:26" x14ac:dyDescent="0.25">
      <c r="A434" s="118" t="s">
        <v>576</v>
      </c>
      <c r="B434" s="119" t="s">
        <v>578</v>
      </c>
      <c r="C434" s="119">
        <v>128</v>
      </c>
      <c r="D434" s="118" t="s">
        <v>179</v>
      </c>
      <c r="E434" s="118">
        <v>146</v>
      </c>
      <c r="F434" s="118" t="s">
        <v>177</v>
      </c>
      <c r="G434" s="118">
        <v>145</v>
      </c>
      <c r="H434" s="118" t="s">
        <v>177</v>
      </c>
      <c r="I434" s="378">
        <v>146</v>
      </c>
      <c r="J434" s="117">
        <v>57</v>
      </c>
      <c r="K434" s="117" t="s">
        <v>183</v>
      </c>
      <c r="L434" t="str">
        <f t="shared" si="93"/>
        <v>IS21</v>
      </c>
      <c r="M434" t="str">
        <f t="shared" si="103"/>
        <v/>
      </c>
      <c r="N434" t="str">
        <f t="shared" si="104"/>
        <v/>
      </c>
      <c r="O434" t="str">
        <f t="shared" si="105"/>
        <v/>
      </c>
      <c r="P434" s="113" t="str">
        <f t="shared" si="94"/>
        <v>IS21</v>
      </c>
      <c r="Q434" s="114">
        <f t="shared" si="95"/>
        <v>146</v>
      </c>
      <c r="R434" s="114">
        <f t="shared" si="96"/>
        <v>139.66666666666666</v>
      </c>
      <c r="S434" s="113">
        <f t="shared" si="97"/>
        <v>128</v>
      </c>
      <c r="T434" s="111">
        <f t="shared" ca="1" si="98"/>
        <v>2.88</v>
      </c>
      <c r="U434" s="111" t="str">
        <f t="shared" si="99"/>
        <v/>
      </c>
      <c r="V434" t="str">
        <f t="array" ref="V434">INDEX(P:P,MAX(U$3:U434))</f>
        <v>IS#1MTR</v>
      </c>
      <c r="W434" t="str">
        <f t="shared" ca="1" si="100"/>
        <v/>
      </c>
      <c r="X434">
        <f t="shared" si="101"/>
        <v>11.4</v>
      </c>
      <c r="Y434">
        <f t="shared" si="102"/>
        <v>146</v>
      </c>
      <c r="Z434" t="str">
        <f t="shared" si="106"/>
        <v>草湖</v>
      </c>
    </row>
    <row r="435" spans="1:26" x14ac:dyDescent="0.25">
      <c r="A435" s="118" t="s">
        <v>576</v>
      </c>
      <c r="B435" s="119" t="s">
        <v>579</v>
      </c>
      <c r="C435" s="119">
        <v>197</v>
      </c>
      <c r="D435" s="118" t="s">
        <v>184</v>
      </c>
      <c r="E435" s="118">
        <v>204</v>
      </c>
      <c r="F435" s="118" t="s">
        <v>179</v>
      </c>
      <c r="G435" s="118">
        <v>216</v>
      </c>
      <c r="H435" s="118" t="s">
        <v>179</v>
      </c>
      <c r="I435" s="378">
        <v>216</v>
      </c>
      <c r="J435" s="117">
        <v>43</v>
      </c>
      <c r="K435" s="117" t="s">
        <v>183</v>
      </c>
      <c r="L435" t="str">
        <f t="shared" si="93"/>
        <v>IS22</v>
      </c>
      <c r="M435" t="str">
        <f t="shared" si="103"/>
        <v/>
      </c>
      <c r="N435" t="str">
        <f t="shared" si="104"/>
        <v/>
      </c>
      <c r="O435" t="str">
        <f t="shared" si="105"/>
        <v/>
      </c>
      <c r="P435" s="113" t="str">
        <f t="shared" si="94"/>
        <v>IS22</v>
      </c>
      <c r="Q435" s="114">
        <f t="shared" si="95"/>
        <v>216</v>
      </c>
      <c r="R435" s="114">
        <f t="shared" si="96"/>
        <v>205.66666666666666</v>
      </c>
      <c r="S435" s="113">
        <f t="shared" si="97"/>
        <v>197</v>
      </c>
      <c r="T435" s="111">
        <f t="shared" ca="1" si="98"/>
        <v>4.2699999999999996</v>
      </c>
      <c r="U435" s="111" t="str">
        <f t="shared" si="99"/>
        <v/>
      </c>
      <c r="V435" t="str">
        <f t="array" ref="V435">INDEX(P:P,MAX(U$3:U435))</f>
        <v>IS#1MTR</v>
      </c>
      <c r="W435" t="str">
        <f t="shared" ca="1" si="100"/>
        <v/>
      </c>
      <c r="X435">
        <f t="shared" si="101"/>
        <v>11.4</v>
      </c>
      <c r="Y435">
        <f t="shared" si="102"/>
        <v>216</v>
      </c>
      <c r="Z435" t="str">
        <f t="shared" si="106"/>
        <v>草湖</v>
      </c>
    </row>
    <row r="436" spans="1:26" x14ac:dyDescent="0.25">
      <c r="A436" s="118" t="s">
        <v>576</v>
      </c>
      <c r="B436" s="119" t="s">
        <v>580</v>
      </c>
      <c r="C436" s="119">
        <v>80</v>
      </c>
      <c r="D436" s="118" t="s">
        <v>180</v>
      </c>
      <c r="E436" s="118">
        <v>89</v>
      </c>
      <c r="F436" s="118" t="s">
        <v>176</v>
      </c>
      <c r="G436" s="118">
        <v>80</v>
      </c>
      <c r="H436" s="118" t="s">
        <v>177</v>
      </c>
      <c r="I436" s="378">
        <v>89</v>
      </c>
      <c r="J436" s="117">
        <v>33</v>
      </c>
      <c r="K436" s="117" t="s">
        <v>188</v>
      </c>
      <c r="L436" t="str">
        <f t="shared" si="93"/>
        <v>IS27</v>
      </c>
      <c r="M436" t="str">
        <f t="shared" si="103"/>
        <v/>
      </c>
      <c r="N436" t="str">
        <f t="shared" si="104"/>
        <v/>
      </c>
      <c r="O436" t="str">
        <f t="shared" si="105"/>
        <v/>
      </c>
      <c r="P436" s="113" t="str">
        <f t="shared" si="94"/>
        <v>IS27</v>
      </c>
      <c r="Q436" s="114">
        <f t="shared" si="95"/>
        <v>89</v>
      </c>
      <c r="R436" s="114">
        <f t="shared" si="96"/>
        <v>83</v>
      </c>
      <c r="S436" s="113">
        <f t="shared" si="97"/>
        <v>80</v>
      </c>
      <c r="T436" s="111">
        <f t="shared" ca="1" si="98"/>
        <v>1.76</v>
      </c>
      <c r="U436" s="111" t="str">
        <f t="shared" si="99"/>
        <v/>
      </c>
      <c r="V436" t="str">
        <f t="array" ref="V436">INDEX(P:P,MAX(U$3:U436))</f>
        <v>IS#1MTR</v>
      </c>
      <c r="W436" t="str">
        <f t="shared" ca="1" si="100"/>
        <v/>
      </c>
      <c r="X436">
        <f t="shared" si="101"/>
        <v>11.4</v>
      </c>
      <c r="Y436">
        <f t="shared" si="102"/>
        <v>89</v>
      </c>
      <c r="Z436" t="str">
        <f t="shared" si="106"/>
        <v>草湖</v>
      </c>
    </row>
    <row r="437" spans="1:26" x14ac:dyDescent="0.25">
      <c r="A437" s="118" t="s">
        <v>576</v>
      </c>
      <c r="B437" s="119" t="s">
        <v>581</v>
      </c>
      <c r="C437" s="119">
        <v>55</v>
      </c>
      <c r="D437" s="118" t="s">
        <v>177</v>
      </c>
      <c r="E437" s="118">
        <v>48</v>
      </c>
      <c r="F437" s="118" t="s">
        <v>200</v>
      </c>
      <c r="G437" s="118">
        <v>50</v>
      </c>
      <c r="H437" s="118" t="s">
        <v>177</v>
      </c>
      <c r="I437" s="378">
        <v>55</v>
      </c>
      <c r="J437" s="117">
        <v>12</v>
      </c>
      <c r="K437" s="117" t="s">
        <v>183</v>
      </c>
      <c r="L437" t="str">
        <f t="shared" si="93"/>
        <v>IS29</v>
      </c>
      <c r="M437" t="str">
        <f t="shared" si="103"/>
        <v/>
      </c>
      <c r="N437" t="str">
        <f t="shared" si="104"/>
        <v/>
      </c>
      <c r="O437" t="str">
        <f t="shared" si="105"/>
        <v/>
      </c>
      <c r="P437" s="113" t="str">
        <f t="shared" si="94"/>
        <v>IS29</v>
      </c>
      <c r="Q437" s="114">
        <f t="shared" si="95"/>
        <v>55</v>
      </c>
      <c r="R437" s="114">
        <f t="shared" si="96"/>
        <v>51</v>
      </c>
      <c r="S437" s="113">
        <f t="shared" si="97"/>
        <v>48</v>
      </c>
      <c r="T437" s="111">
        <f t="shared" ca="1" si="98"/>
        <v>1.0900000000000001</v>
      </c>
      <c r="U437" s="111" t="str">
        <f t="shared" si="99"/>
        <v/>
      </c>
      <c r="V437" t="str">
        <f t="array" ref="V437">INDEX(P:P,MAX(U$3:U437))</f>
        <v>IS#1MTR</v>
      </c>
      <c r="W437" t="str">
        <f t="shared" ca="1" si="100"/>
        <v/>
      </c>
      <c r="X437">
        <f t="shared" si="101"/>
        <v>11.4</v>
      </c>
      <c r="Y437">
        <f t="shared" si="102"/>
        <v>55</v>
      </c>
      <c r="Z437" t="str">
        <f t="shared" si="106"/>
        <v>草湖</v>
      </c>
    </row>
    <row r="438" spans="1:26" x14ac:dyDescent="0.25">
      <c r="A438" s="118" t="s">
        <v>576</v>
      </c>
      <c r="B438" s="119" t="s">
        <v>187</v>
      </c>
      <c r="C438" s="119">
        <v>523</v>
      </c>
      <c r="D438" s="118" t="s">
        <v>179</v>
      </c>
      <c r="E438" s="118">
        <v>550</v>
      </c>
      <c r="F438" s="118" t="s">
        <v>207</v>
      </c>
      <c r="G438" s="118">
        <v>497</v>
      </c>
      <c r="H438" s="118" t="s">
        <v>179</v>
      </c>
      <c r="I438" s="378">
        <v>550</v>
      </c>
      <c r="J438" s="117"/>
      <c r="K438" s="117"/>
      <c r="L438" t="str">
        <f t="shared" si="93"/>
        <v>IS#2MTR</v>
      </c>
      <c r="M438" t="str">
        <f t="shared" si="103"/>
        <v/>
      </c>
      <c r="N438" t="str">
        <f t="shared" si="104"/>
        <v>IS#2MTR</v>
      </c>
      <c r="O438" t="str">
        <f t="shared" si="105"/>
        <v/>
      </c>
      <c r="P438" s="113" t="str">
        <f t="shared" si="94"/>
        <v>IS#2MTR</v>
      </c>
      <c r="Q438" s="114">
        <f t="shared" si="95"/>
        <v>550</v>
      </c>
      <c r="R438" s="114">
        <f t="shared" si="96"/>
        <v>523.33333333333337</v>
      </c>
      <c r="S438" s="113">
        <f t="shared" si="97"/>
        <v>497</v>
      </c>
      <c r="T438" s="111">
        <f t="shared" ca="1" si="98"/>
        <v>10.86</v>
      </c>
      <c r="U438" s="111">
        <f t="shared" si="99"/>
        <v>438</v>
      </c>
      <c r="V438" t="str">
        <f t="array" ref="V438">INDEX(P:P,MAX(U$3:U438))</f>
        <v>IS#2MTR</v>
      </c>
      <c r="W438">
        <f t="shared" ca="1" si="100"/>
        <v>25</v>
      </c>
      <c r="X438" t="str">
        <f t="shared" si="101"/>
        <v/>
      </c>
      <c r="Y438">
        <f t="shared" si="102"/>
        <v>550</v>
      </c>
      <c r="Z438" t="str">
        <f t="shared" si="106"/>
        <v>草湖</v>
      </c>
    </row>
    <row r="439" spans="1:26" x14ac:dyDescent="0.25">
      <c r="A439" s="118" t="s">
        <v>576</v>
      </c>
      <c r="B439" s="119" t="s">
        <v>582</v>
      </c>
      <c r="C439" s="119">
        <v>243</v>
      </c>
      <c r="D439" s="118" t="s">
        <v>207</v>
      </c>
      <c r="E439" s="118">
        <v>250</v>
      </c>
      <c r="F439" s="118" t="s">
        <v>207</v>
      </c>
      <c r="G439" s="118">
        <v>242</v>
      </c>
      <c r="H439" s="118" t="s">
        <v>207</v>
      </c>
      <c r="I439" s="378">
        <v>250</v>
      </c>
      <c r="J439" s="117">
        <v>38</v>
      </c>
      <c r="K439" s="117" t="s">
        <v>306</v>
      </c>
      <c r="L439" t="str">
        <f t="shared" si="93"/>
        <v>IS26</v>
      </c>
      <c r="M439" t="str">
        <f t="shared" si="103"/>
        <v/>
      </c>
      <c r="N439" t="str">
        <f t="shared" si="104"/>
        <v/>
      </c>
      <c r="O439" t="str">
        <f t="shared" si="105"/>
        <v/>
      </c>
      <c r="P439" s="113" t="str">
        <f t="shared" si="94"/>
        <v>IS26</v>
      </c>
      <c r="Q439" s="114">
        <f t="shared" si="95"/>
        <v>250</v>
      </c>
      <c r="R439" s="114">
        <f t="shared" si="96"/>
        <v>245</v>
      </c>
      <c r="S439" s="113">
        <f t="shared" si="97"/>
        <v>242</v>
      </c>
      <c r="T439" s="111">
        <f t="shared" ca="1" si="98"/>
        <v>4.9400000000000004</v>
      </c>
      <c r="U439" s="111" t="str">
        <f t="shared" si="99"/>
        <v/>
      </c>
      <c r="V439" t="str">
        <f t="array" ref="V439">INDEX(P:P,MAX(U$3:U439))</f>
        <v>IS#2MTR</v>
      </c>
      <c r="W439" t="str">
        <f t="shared" ca="1" si="100"/>
        <v/>
      </c>
      <c r="X439">
        <f t="shared" si="101"/>
        <v>11.4</v>
      </c>
      <c r="Y439">
        <f t="shared" si="102"/>
        <v>250</v>
      </c>
      <c r="Z439" t="str">
        <f t="shared" si="106"/>
        <v>草湖</v>
      </c>
    </row>
    <row r="440" spans="1:26" x14ac:dyDescent="0.25">
      <c r="A440" s="118" t="s">
        <v>576</v>
      </c>
      <c r="B440" s="119" t="s">
        <v>583</v>
      </c>
      <c r="C440" s="119">
        <v>135</v>
      </c>
      <c r="D440" s="118" t="s">
        <v>179</v>
      </c>
      <c r="E440" s="118">
        <v>126</v>
      </c>
      <c r="F440" s="118" t="s">
        <v>179</v>
      </c>
      <c r="G440" s="118">
        <v>148</v>
      </c>
      <c r="H440" s="118" t="s">
        <v>179</v>
      </c>
      <c r="I440" s="378">
        <v>148</v>
      </c>
      <c r="J440" s="117">
        <v>40</v>
      </c>
      <c r="K440" s="117" t="s">
        <v>188</v>
      </c>
      <c r="L440" t="str">
        <f t="shared" si="93"/>
        <v>IS25</v>
      </c>
      <c r="M440" t="str">
        <f t="shared" si="103"/>
        <v/>
      </c>
      <c r="N440" t="str">
        <f t="shared" si="104"/>
        <v/>
      </c>
      <c r="O440" t="str">
        <f t="shared" si="105"/>
        <v/>
      </c>
      <c r="P440" s="113" t="str">
        <f t="shared" si="94"/>
        <v>IS25</v>
      </c>
      <c r="Q440" s="114">
        <f t="shared" si="95"/>
        <v>148</v>
      </c>
      <c r="R440" s="114">
        <f t="shared" si="96"/>
        <v>136.33333333333334</v>
      </c>
      <c r="S440" s="113">
        <f t="shared" si="97"/>
        <v>126</v>
      </c>
      <c r="T440" s="111">
        <f t="shared" ca="1" si="98"/>
        <v>2.92</v>
      </c>
      <c r="U440" s="111" t="str">
        <f t="shared" si="99"/>
        <v/>
      </c>
      <c r="V440" t="str">
        <f t="array" ref="V440">INDEX(P:P,MAX(U$3:U440))</f>
        <v>IS#2MTR</v>
      </c>
      <c r="W440" t="str">
        <f t="shared" ca="1" si="100"/>
        <v/>
      </c>
      <c r="X440">
        <f t="shared" si="101"/>
        <v>11.4</v>
      </c>
      <c r="Y440">
        <f t="shared" si="102"/>
        <v>148</v>
      </c>
      <c r="Z440" t="str">
        <f t="shared" si="106"/>
        <v>草湖</v>
      </c>
    </row>
    <row r="441" spans="1:26" x14ac:dyDescent="0.25">
      <c r="A441" s="118" t="s">
        <v>576</v>
      </c>
      <c r="B441" s="119" t="s">
        <v>584</v>
      </c>
      <c r="C441" s="119">
        <v>190</v>
      </c>
      <c r="D441" s="118" t="s">
        <v>180</v>
      </c>
      <c r="E441" s="118">
        <v>200</v>
      </c>
      <c r="F441" s="118" t="s">
        <v>207</v>
      </c>
      <c r="G441" s="118">
        <v>189</v>
      </c>
      <c r="H441" s="118" t="s">
        <v>207</v>
      </c>
      <c r="I441" s="378">
        <v>200</v>
      </c>
      <c r="J441" s="117">
        <v>37</v>
      </c>
      <c r="K441" s="117" t="s">
        <v>200</v>
      </c>
      <c r="L441" t="str">
        <f t="shared" si="93"/>
        <v>IS23</v>
      </c>
      <c r="M441" t="str">
        <f t="shared" si="103"/>
        <v/>
      </c>
      <c r="N441" t="str">
        <f t="shared" si="104"/>
        <v/>
      </c>
      <c r="O441" t="str">
        <f t="shared" si="105"/>
        <v/>
      </c>
      <c r="P441" s="113" t="str">
        <f t="shared" si="94"/>
        <v>IS23</v>
      </c>
      <c r="Q441" s="114">
        <f t="shared" si="95"/>
        <v>200</v>
      </c>
      <c r="R441" s="114">
        <f t="shared" si="96"/>
        <v>193</v>
      </c>
      <c r="S441" s="113">
        <f t="shared" si="97"/>
        <v>189</v>
      </c>
      <c r="T441" s="111">
        <f t="shared" ca="1" si="98"/>
        <v>3.95</v>
      </c>
      <c r="U441" s="111" t="str">
        <f t="shared" si="99"/>
        <v/>
      </c>
      <c r="V441" t="str">
        <f t="array" ref="V441">INDEX(P:P,MAX(U$3:U441))</f>
        <v>IS#2MTR</v>
      </c>
      <c r="W441" t="str">
        <f t="shared" ca="1" si="100"/>
        <v/>
      </c>
      <c r="X441">
        <f t="shared" si="101"/>
        <v>11.4</v>
      </c>
      <c r="Y441">
        <f t="shared" si="102"/>
        <v>200</v>
      </c>
      <c r="Z441" t="str">
        <f t="shared" si="106"/>
        <v>草湖</v>
      </c>
    </row>
    <row r="442" spans="1:26" x14ac:dyDescent="0.25">
      <c r="A442" s="118" t="s">
        <v>576</v>
      </c>
      <c r="B442" s="119" t="s">
        <v>585</v>
      </c>
      <c r="C442" s="119">
        <v>90</v>
      </c>
      <c r="D442" s="118" t="s">
        <v>183</v>
      </c>
      <c r="E442" s="118">
        <v>99</v>
      </c>
      <c r="F442" s="118" t="s">
        <v>183</v>
      </c>
      <c r="G442" s="118">
        <v>90</v>
      </c>
      <c r="H442" s="118" t="s">
        <v>177</v>
      </c>
      <c r="I442" s="378">
        <v>99</v>
      </c>
      <c r="J442" s="117">
        <v>36</v>
      </c>
      <c r="K442" s="117" t="s">
        <v>192</v>
      </c>
      <c r="L442" t="str">
        <f t="shared" si="93"/>
        <v>IS24</v>
      </c>
      <c r="M442" t="str">
        <f t="shared" si="103"/>
        <v/>
      </c>
      <c r="N442" t="str">
        <f t="shared" si="104"/>
        <v/>
      </c>
      <c r="O442" t="str">
        <f t="shared" si="105"/>
        <v/>
      </c>
      <c r="P442" s="113" t="str">
        <f t="shared" si="94"/>
        <v>IS24</v>
      </c>
      <c r="Q442" s="114">
        <f t="shared" si="95"/>
        <v>99</v>
      </c>
      <c r="R442" s="114">
        <f t="shared" si="96"/>
        <v>93</v>
      </c>
      <c r="S442" s="113">
        <f t="shared" si="97"/>
        <v>90</v>
      </c>
      <c r="T442" s="111">
        <f t="shared" ca="1" si="98"/>
        <v>1.95</v>
      </c>
      <c r="U442" s="111" t="str">
        <f t="shared" si="99"/>
        <v/>
      </c>
      <c r="V442" t="str">
        <f t="array" ref="V442">INDEX(P:P,MAX(U$3:U442))</f>
        <v>IS#2MTR</v>
      </c>
      <c r="W442" t="str">
        <f t="shared" ca="1" si="100"/>
        <v/>
      </c>
      <c r="X442">
        <f t="shared" si="101"/>
        <v>11.4</v>
      </c>
      <c r="Y442">
        <f t="shared" si="102"/>
        <v>99</v>
      </c>
      <c r="Z442" t="str">
        <f t="shared" si="106"/>
        <v>草湖</v>
      </c>
    </row>
    <row r="443" spans="1:26" x14ac:dyDescent="0.25">
      <c r="A443" s="118" t="s">
        <v>576</v>
      </c>
      <c r="B443" s="119" t="s">
        <v>586</v>
      </c>
      <c r="C443" s="119">
        <v>106</v>
      </c>
      <c r="D443" s="118" t="s">
        <v>183</v>
      </c>
      <c r="E443" s="118">
        <v>106</v>
      </c>
      <c r="F443" s="118" t="s">
        <v>207</v>
      </c>
      <c r="G443" s="118">
        <v>105</v>
      </c>
      <c r="H443" s="118" t="s">
        <v>183</v>
      </c>
      <c r="I443" s="378">
        <v>106</v>
      </c>
      <c r="J443" s="117">
        <v>24</v>
      </c>
      <c r="K443" s="117" t="s">
        <v>179</v>
      </c>
      <c r="L443" t="str">
        <f t="shared" si="93"/>
        <v>IS28</v>
      </c>
      <c r="M443" t="str">
        <f t="shared" si="103"/>
        <v/>
      </c>
      <c r="N443" t="str">
        <f t="shared" si="104"/>
        <v/>
      </c>
      <c r="O443" t="str">
        <f t="shared" si="105"/>
        <v/>
      </c>
      <c r="P443" s="113" t="str">
        <f t="shared" si="94"/>
        <v>IS28</v>
      </c>
      <c r="Q443" s="114">
        <f t="shared" si="95"/>
        <v>106</v>
      </c>
      <c r="R443" s="114">
        <f t="shared" si="96"/>
        <v>105.66666666666667</v>
      </c>
      <c r="S443" s="113">
        <f t="shared" si="97"/>
        <v>105</v>
      </c>
      <c r="T443" s="111">
        <f t="shared" ca="1" si="98"/>
        <v>2.09</v>
      </c>
      <c r="U443" s="111" t="str">
        <f t="shared" si="99"/>
        <v/>
      </c>
      <c r="V443" t="str">
        <f t="array" ref="V443">INDEX(P:P,MAX(U$3:U443))</f>
        <v>IS#2MTR</v>
      </c>
      <c r="W443" t="str">
        <f t="shared" ca="1" si="100"/>
        <v/>
      </c>
      <c r="X443">
        <f t="shared" si="101"/>
        <v>11.4</v>
      </c>
      <c r="Y443">
        <f t="shared" si="102"/>
        <v>106</v>
      </c>
      <c r="Z443" t="str">
        <f t="shared" si="106"/>
        <v>草湖</v>
      </c>
    </row>
    <row r="444" spans="1:26" x14ac:dyDescent="0.25">
      <c r="A444" s="118" t="s">
        <v>576</v>
      </c>
      <c r="B444" s="119" t="s">
        <v>197</v>
      </c>
      <c r="C444" s="119">
        <v>256</v>
      </c>
      <c r="D444" s="118" t="s">
        <v>183</v>
      </c>
      <c r="E444" s="118">
        <v>255</v>
      </c>
      <c r="F444" s="118" t="s">
        <v>180</v>
      </c>
      <c r="G444" s="118">
        <v>257</v>
      </c>
      <c r="H444" s="118" t="s">
        <v>183</v>
      </c>
      <c r="I444" s="378">
        <v>257</v>
      </c>
      <c r="J444" s="117"/>
      <c r="K444" s="117"/>
      <c r="L444" t="str">
        <f t="shared" si="93"/>
        <v>IS#3MTR</v>
      </c>
      <c r="M444" t="str">
        <f t="shared" si="103"/>
        <v/>
      </c>
      <c r="N444" t="str">
        <f t="shared" si="104"/>
        <v>IS#3MTR</v>
      </c>
      <c r="O444" t="str">
        <f t="shared" si="105"/>
        <v/>
      </c>
      <c r="P444" s="113" t="str">
        <f t="shared" si="94"/>
        <v>IS#3MTR</v>
      </c>
      <c r="Q444" s="114">
        <f t="shared" si="95"/>
        <v>257</v>
      </c>
      <c r="R444" s="114">
        <f t="shared" si="96"/>
        <v>256</v>
      </c>
      <c r="S444" s="113">
        <f t="shared" si="97"/>
        <v>255</v>
      </c>
      <c r="T444" s="111" t="e">
        <f t="shared" ca="1" si="98"/>
        <v>#VALUE!</v>
      </c>
      <c r="U444" s="111">
        <f t="shared" si="99"/>
        <v>444</v>
      </c>
      <c r="V444" t="str">
        <f t="array" ref="V444">INDEX(P:P,MAX(U$3:U444))</f>
        <v>IS#3MTR</v>
      </c>
      <c r="W444">
        <f t="shared" ca="1" si="100"/>
        <v>25</v>
      </c>
      <c r="X444" t="str">
        <f t="shared" si="101"/>
        <v/>
      </c>
      <c r="Y444">
        <f t="shared" si="102"/>
        <v>257</v>
      </c>
      <c r="Z444" t="str">
        <f t="shared" si="106"/>
        <v>草湖</v>
      </c>
    </row>
    <row r="445" spans="1:26" x14ac:dyDescent="0.25">
      <c r="A445" s="118" t="s">
        <v>576</v>
      </c>
      <c r="B445" s="119" t="s">
        <v>587</v>
      </c>
      <c r="C445" s="119">
        <v>0</v>
      </c>
      <c r="D445" s="118" t="s">
        <v>194</v>
      </c>
      <c r="E445" s="118">
        <v>0</v>
      </c>
      <c r="F445" s="118" t="s">
        <v>194</v>
      </c>
      <c r="G445" s="118">
        <v>0</v>
      </c>
      <c r="H445" s="118" t="s">
        <v>194</v>
      </c>
      <c r="I445" s="378">
        <v>0</v>
      </c>
      <c r="J445" s="117">
        <v>0</v>
      </c>
      <c r="K445" s="117" t="s">
        <v>194</v>
      </c>
      <c r="L445" t="str">
        <f t="shared" si="93"/>
        <v>ISA0</v>
      </c>
      <c r="M445" t="str">
        <f t="shared" si="103"/>
        <v/>
      </c>
      <c r="N445" t="str">
        <f t="shared" si="104"/>
        <v/>
      </c>
      <c r="O445" t="str">
        <f t="shared" si="105"/>
        <v/>
      </c>
      <c r="P445" s="113" t="str">
        <f t="shared" si="94"/>
        <v>ISA0</v>
      </c>
      <c r="Q445" s="114">
        <f t="shared" si="95"/>
        <v>0</v>
      </c>
      <c r="R445" s="114">
        <f t="shared" si="96"/>
        <v>0</v>
      </c>
      <c r="S445" s="113">
        <f t="shared" si="97"/>
        <v>0</v>
      </c>
      <c r="T445" s="111" t="e">
        <f t="shared" ca="1" si="98"/>
        <v>#VALUE!</v>
      </c>
      <c r="U445" s="111" t="str">
        <f t="shared" si="99"/>
        <v/>
      </c>
      <c r="V445" t="str">
        <f t="array" ref="V445">INDEX(P:P,MAX(U$3:U445))</f>
        <v>IS#3MTR</v>
      </c>
      <c r="W445" t="str">
        <f t="shared" ca="1" si="100"/>
        <v/>
      </c>
      <c r="X445" t="e">
        <f t="shared" si="101"/>
        <v>#VALUE!</v>
      </c>
      <c r="Y445">
        <f t="shared" si="102"/>
        <v>0</v>
      </c>
      <c r="Z445" t="str">
        <f t="shared" si="106"/>
        <v>草湖</v>
      </c>
    </row>
    <row r="446" spans="1:26" x14ac:dyDescent="0.25">
      <c r="A446" s="118" t="s">
        <v>576</v>
      </c>
      <c r="B446" s="119" t="s">
        <v>588</v>
      </c>
      <c r="C446" s="119">
        <v>4</v>
      </c>
      <c r="D446" s="118" t="s">
        <v>229</v>
      </c>
      <c r="E446" s="118">
        <v>4</v>
      </c>
      <c r="F446" s="118" t="s">
        <v>194</v>
      </c>
      <c r="G446" s="118">
        <v>4</v>
      </c>
      <c r="H446" s="118" t="s">
        <v>194</v>
      </c>
      <c r="I446" s="378">
        <v>4</v>
      </c>
      <c r="J446" s="117">
        <v>0</v>
      </c>
      <c r="K446" s="117" t="s">
        <v>194</v>
      </c>
      <c r="L446" t="str">
        <f t="shared" si="93"/>
        <v>ISA1</v>
      </c>
      <c r="M446" t="str">
        <f t="shared" si="103"/>
        <v/>
      </c>
      <c r="N446" t="str">
        <f t="shared" si="104"/>
        <v/>
      </c>
      <c r="O446" t="str">
        <f t="shared" si="105"/>
        <v/>
      </c>
      <c r="P446" s="113" t="str">
        <f t="shared" si="94"/>
        <v>ISA1</v>
      </c>
      <c r="Q446" s="114">
        <f t="shared" si="95"/>
        <v>4</v>
      </c>
      <c r="R446" s="114">
        <f t="shared" si="96"/>
        <v>4</v>
      </c>
      <c r="S446" s="113">
        <f t="shared" si="97"/>
        <v>4</v>
      </c>
      <c r="T446" s="111" t="e">
        <f t="shared" ca="1" si="98"/>
        <v>#VALUE!</v>
      </c>
      <c r="U446" s="111" t="str">
        <f t="shared" si="99"/>
        <v/>
      </c>
      <c r="V446" t="str">
        <f t="array" ref="V446">INDEX(P:P,MAX(U$3:U446))</f>
        <v>IS#3MTR</v>
      </c>
      <c r="W446" t="str">
        <f t="shared" ca="1" si="100"/>
        <v/>
      </c>
      <c r="X446" t="e">
        <f t="shared" si="101"/>
        <v>#VALUE!</v>
      </c>
      <c r="Y446">
        <f t="shared" si="102"/>
        <v>4</v>
      </c>
      <c r="Z446" t="str">
        <f t="shared" si="106"/>
        <v>草湖</v>
      </c>
    </row>
    <row r="447" spans="1:26" x14ac:dyDescent="0.25">
      <c r="A447" s="118" t="s">
        <v>576</v>
      </c>
      <c r="B447" s="119" t="s">
        <v>589</v>
      </c>
      <c r="C447" s="119">
        <v>142</v>
      </c>
      <c r="D447" s="118" t="s">
        <v>177</v>
      </c>
      <c r="E447" s="118">
        <v>115</v>
      </c>
      <c r="F447" s="118" t="s">
        <v>177</v>
      </c>
      <c r="G447" s="118">
        <v>141</v>
      </c>
      <c r="H447" s="118" t="s">
        <v>177</v>
      </c>
      <c r="I447" s="378">
        <v>142</v>
      </c>
      <c r="J447" s="117">
        <v>51</v>
      </c>
      <c r="K447" s="117" t="s">
        <v>214</v>
      </c>
      <c r="L447" t="str">
        <f t="shared" si="93"/>
        <v>IS32</v>
      </c>
      <c r="M447" t="str">
        <f t="shared" si="103"/>
        <v/>
      </c>
      <c r="N447" t="str">
        <f t="shared" si="104"/>
        <v/>
      </c>
      <c r="O447" t="str">
        <f t="shared" si="105"/>
        <v/>
      </c>
      <c r="P447" s="113" t="str">
        <f t="shared" si="94"/>
        <v>IS32</v>
      </c>
      <c r="Q447" s="114">
        <f t="shared" si="95"/>
        <v>142</v>
      </c>
      <c r="R447" s="114">
        <f t="shared" si="96"/>
        <v>132.66666666666666</v>
      </c>
      <c r="S447" s="113">
        <f t="shared" si="97"/>
        <v>115</v>
      </c>
      <c r="T447" s="111">
        <f t="shared" ca="1" si="98"/>
        <v>2.8</v>
      </c>
      <c r="U447" s="111" t="str">
        <f t="shared" si="99"/>
        <v/>
      </c>
      <c r="V447" t="str">
        <f t="array" ref="V447">INDEX(P:P,MAX(U$3:U447))</f>
        <v>IS#3MTR</v>
      </c>
      <c r="W447" t="str">
        <f t="shared" ca="1" si="100"/>
        <v/>
      </c>
      <c r="X447">
        <f t="shared" si="101"/>
        <v>11.4</v>
      </c>
      <c r="Y447">
        <f t="shared" si="102"/>
        <v>142</v>
      </c>
      <c r="Z447" t="str">
        <f t="shared" si="106"/>
        <v>草湖</v>
      </c>
    </row>
    <row r="448" spans="1:26" x14ac:dyDescent="0.25">
      <c r="A448" s="118" t="s">
        <v>576</v>
      </c>
      <c r="B448" s="119" t="s">
        <v>590</v>
      </c>
      <c r="C448" s="119">
        <v>3</v>
      </c>
      <c r="D448" s="118" t="s">
        <v>194</v>
      </c>
      <c r="E448" s="118">
        <v>3</v>
      </c>
      <c r="F448" s="118" t="s">
        <v>250</v>
      </c>
      <c r="G448" s="118">
        <v>3</v>
      </c>
      <c r="H448" s="118" t="s">
        <v>180</v>
      </c>
      <c r="I448" s="378">
        <v>3</v>
      </c>
      <c r="J448" s="117">
        <v>0</v>
      </c>
      <c r="K448" s="117" t="s">
        <v>194</v>
      </c>
      <c r="L448" t="str">
        <f t="shared" si="93"/>
        <v>IS31</v>
      </c>
      <c r="M448" t="str">
        <f t="shared" si="103"/>
        <v/>
      </c>
      <c r="N448" t="str">
        <f t="shared" si="104"/>
        <v/>
      </c>
      <c r="O448" t="str">
        <f t="shared" si="105"/>
        <v/>
      </c>
      <c r="P448" s="113" t="str">
        <f t="shared" si="94"/>
        <v>IS31</v>
      </c>
      <c r="Q448" s="114">
        <f t="shared" si="95"/>
        <v>3</v>
      </c>
      <c r="R448" s="114">
        <f t="shared" si="96"/>
        <v>3</v>
      </c>
      <c r="S448" s="113">
        <f t="shared" si="97"/>
        <v>3</v>
      </c>
      <c r="T448" s="111">
        <f t="shared" ca="1" si="98"/>
        <v>0.06</v>
      </c>
      <c r="U448" s="111" t="str">
        <f t="shared" si="99"/>
        <v/>
      </c>
      <c r="V448" t="str">
        <f t="array" ref="V448">INDEX(P:P,MAX(U$3:U448))</f>
        <v>IS#3MTR</v>
      </c>
      <c r="W448" t="str">
        <f t="shared" ca="1" si="100"/>
        <v/>
      </c>
      <c r="X448">
        <f t="shared" si="101"/>
        <v>11.4</v>
      </c>
      <c r="Y448">
        <f t="shared" si="102"/>
        <v>3</v>
      </c>
      <c r="Z448" t="str">
        <f t="shared" si="106"/>
        <v>草湖</v>
      </c>
    </row>
    <row r="449" spans="1:26" x14ac:dyDescent="0.25">
      <c r="A449" s="118" t="s">
        <v>576</v>
      </c>
      <c r="B449" s="119" t="s">
        <v>591</v>
      </c>
      <c r="C449" s="119">
        <v>207</v>
      </c>
      <c r="D449" s="118" t="s">
        <v>183</v>
      </c>
      <c r="E449" s="118">
        <v>219</v>
      </c>
      <c r="F449" s="118" t="s">
        <v>180</v>
      </c>
      <c r="G449" s="118">
        <v>223</v>
      </c>
      <c r="H449" s="118" t="s">
        <v>180</v>
      </c>
      <c r="I449" s="378">
        <v>223</v>
      </c>
      <c r="J449" s="117">
        <v>46</v>
      </c>
      <c r="K449" s="117" t="s">
        <v>198</v>
      </c>
      <c r="L449" t="str">
        <f t="shared" si="93"/>
        <v>IS30</v>
      </c>
      <c r="M449" t="str">
        <f t="shared" si="103"/>
        <v/>
      </c>
      <c r="N449" t="str">
        <f t="shared" si="104"/>
        <v/>
      </c>
      <c r="O449" t="str">
        <f t="shared" si="105"/>
        <v/>
      </c>
      <c r="P449" s="113" t="str">
        <f t="shared" si="94"/>
        <v>IS30</v>
      </c>
      <c r="Q449" s="114">
        <f t="shared" si="95"/>
        <v>223</v>
      </c>
      <c r="R449" s="114">
        <f t="shared" si="96"/>
        <v>216.33333333333334</v>
      </c>
      <c r="S449" s="113">
        <f t="shared" si="97"/>
        <v>207</v>
      </c>
      <c r="T449" s="111">
        <f t="shared" ca="1" si="98"/>
        <v>4.4000000000000004</v>
      </c>
      <c r="U449" s="111" t="str">
        <f t="shared" si="99"/>
        <v/>
      </c>
      <c r="V449" t="str">
        <f t="array" ref="V449">INDEX(P:P,MAX(U$3:U449))</f>
        <v>IS#3MTR</v>
      </c>
      <c r="W449" t="str">
        <f t="shared" ca="1" si="100"/>
        <v/>
      </c>
      <c r="X449">
        <f t="shared" si="101"/>
        <v>11.4</v>
      </c>
      <c r="Y449">
        <f t="shared" si="102"/>
        <v>223</v>
      </c>
      <c r="Z449" t="str">
        <f t="shared" si="106"/>
        <v>草湖</v>
      </c>
    </row>
    <row r="450" spans="1:26" x14ac:dyDescent="0.25">
      <c r="A450" s="118" t="s">
        <v>592</v>
      </c>
      <c r="B450" s="119" t="s">
        <v>351</v>
      </c>
      <c r="C450" s="119">
        <v>871</v>
      </c>
      <c r="D450" s="118" t="s">
        <v>179</v>
      </c>
      <c r="E450" s="118">
        <v>856</v>
      </c>
      <c r="F450" s="118" t="s">
        <v>376</v>
      </c>
      <c r="G450" s="118">
        <v>870</v>
      </c>
      <c r="H450" s="118" t="s">
        <v>376</v>
      </c>
      <c r="I450" s="378">
        <v>871</v>
      </c>
      <c r="J450" s="117"/>
      <c r="K450" s="117"/>
      <c r="L450" t="str">
        <f t="shared" si="93"/>
        <v>9F#1DTR</v>
      </c>
      <c r="M450" t="str">
        <f t="shared" si="103"/>
        <v/>
      </c>
      <c r="N450" t="str">
        <f t="shared" si="104"/>
        <v>9F#1DTR</v>
      </c>
      <c r="O450" t="str">
        <f t="shared" si="105"/>
        <v/>
      </c>
      <c r="P450" s="113" t="str">
        <f t="shared" si="94"/>
        <v>9F#1DTR</v>
      </c>
      <c r="Q450" s="114">
        <f t="shared" si="95"/>
        <v>871</v>
      </c>
      <c r="R450" s="114">
        <f t="shared" si="96"/>
        <v>865.66666666666663</v>
      </c>
      <c r="S450" s="113">
        <f t="shared" si="97"/>
        <v>856</v>
      </c>
      <c r="T450" s="111">
        <f t="shared" ca="1" si="98"/>
        <v>34.4</v>
      </c>
      <c r="U450" s="111">
        <f t="shared" si="99"/>
        <v>450</v>
      </c>
      <c r="V450" t="str">
        <f t="array" ref="V450">INDEX(P:P,MAX(U$3:U450))</f>
        <v>9F#1DTR</v>
      </c>
      <c r="W450">
        <f t="shared" ca="1" si="100"/>
        <v>60</v>
      </c>
      <c r="X450" t="str">
        <f t="shared" si="101"/>
        <v/>
      </c>
      <c r="Y450">
        <f t="shared" si="102"/>
        <v>871</v>
      </c>
      <c r="Z450" t="str">
        <f t="shared" si="106"/>
        <v>鹿西</v>
      </c>
    </row>
    <row r="451" spans="1:26" x14ac:dyDescent="0.25">
      <c r="A451" s="118" t="s">
        <v>592</v>
      </c>
      <c r="B451" s="119" t="s">
        <v>593</v>
      </c>
      <c r="C451" s="119">
        <v>123</v>
      </c>
      <c r="D451" s="118" t="s">
        <v>194</v>
      </c>
      <c r="E451" s="118">
        <v>125</v>
      </c>
      <c r="F451" s="118" t="s">
        <v>194</v>
      </c>
      <c r="G451" s="118">
        <v>122</v>
      </c>
      <c r="H451" s="118" t="s">
        <v>194</v>
      </c>
      <c r="I451" s="378">
        <v>125</v>
      </c>
      <c r="J451" s="117">
        <v>0</v>
      </c>
      <c r="K451" s="117" t="s">
        <v>194</v>
      </c>
      <c r="L451" t="str">
        <f t="shared" ref="L451:L514" si="107">IF(COUNTIF(B451,"*TR*")&gt;0,SUBSTITUTE(RIGHT(TRIM(A451),2) &amp; B451," ",""),MID(B451,FIND("(",B451)+1,4))</f>
        <v>9F51</v>
      </c>
      <c r="M451" t="str">
        <f t="shared" si="103"/>
        <v/>
      </c>
      <c r="N451" t="str">
        <f t="shared" si="104"/>
        <v/>
      </c>
      <c r="O451" t="str">
        <f t="shared" si="105"/>
        <v/>
      </c>
      <c r="P451" s="113" t="str">
        <f t="shared" ref="P451:P514" si="108">IF(COUNTIF(B451,"*TR*")&gt;0,SUBSTITUTE(RIGHT(TRIM(A451),2) &amp; B451," ",""),MID(B451,FIND("(",B451)+1,4))</f>
        <v>9F51</v>
      </c>
      <c r="Q451" s="114">
        <f t="shared" ref="Q451:Q514" si="109">VALUE(I451)</f>
        <v>125</v>
      </c>
      <c r="R451" s="114">
        <f t="shared" ref="R451:R514" si="110">AVERAGE(C451*1,E451*1,G451*1)</f>
        <v>123.33333333333333</v>
      </c>
      <c r="S451" s="113">
        <f t="shared" ref="S451:S514" si="111">MIN(C451*1,E451*1,G451*1)</f>
        <v>122</v>
      </c>
      <c r="T451" s="111">
        <f t="shared" ref="T451:T514" ca="1" si="112">IF(LEFT(TRIM(B451),1)="#",ROUND(OFFSET(X451,1,0,1,1)*Y451*SQRT(3)/1000,2),ROUND(Q451*X451*SQRT(3)/1000,2))</f>
        <v>4.9400000000000004</v>
      </c>
      <c r="U451" s="111" t="str">
        <f t="shared" ref="U451:U514" si="113">IF(ISNUMBER(FIND("#",B451)),ROW(),"")</f>
        <v/>
      </c>
      <c r="V451" t="str">
        <f t="array" ref="V451">INDEX(P:P,MAX(U$3:U451))</f>
        <v>9F#1DTR</v>
      </c>
      <c r="W451" t="str">
        <f t="shared" ref="W451:W514" ca="1" si="114">IF(LEFT(TRIM(B451),1)="#",IF(ISNUMBER(FIND("DTR",B451)),IF(MID(OFFSET(P451,1,0,1,1),3,1)*1&lt;5,30,60),25),"")</f>
        <v/>
      </c>
      <c r="X451">
        <f t="shared" ref="X451:X514" si="115">IF(LEFT(TRIM(B451),1)= "#","",IF(MID(P451,3,1)*1&lt;5,11.4,22.8))</f>
        <v>22.8</v>
      </c>
      <c r="Y451">
        <f t="shared" ref="Y451:Y514" si="116">SUMIF(L:L,L451,I:I)</f>
        <v>125</v>
      </c>
      <c r="Z451" t="str">
        <f t="shared" si="106"/>
        <v>鹿西</v>
      </c>
    </row>
    <row r="452" spans="1:26" x14ac:dyDescent="0.25">
      <c r="A452" s="118" t="s">
        <v>592</v>
      </c>
      <c r="B452" s="119" t="s">
        <v>594</v>
      </c>
      <c r="C452" s="119">
        <v>107</v>
      </c>
      <c r="D452" s="118" t="s">
        <v>211</v>
      </c>
      <c r="E452" s="118">
        <v>108</v>
      </c>
      <c r="F452" s="118" t="s">
        <v>196</v>
      </c>
      <c r="G452" s="118">
        <v>108</v>
      </c>
      <c r="H452" s="118" t="s">
        <v>211</v>
      </c>
      <c r="I452" s="378">
        <v>108</v>
      </c>
      <c r="J452" s="117">
        <v>0</v>
      </c>
      <c r="K452" s="117" t="s">
        <v>194</v>
      </c>
      <c r="L452" t="str">
        <f t="shared" si="107"/>
        <v>9F52</v>
      </c>
      <c r="M452" t="str">
        <f t="shared" ref="M452:M515" si="117">IF(LEFT(B452,1)="#",IF(LEN(B452)&lt;&gt;5,MID(B452,6,3),""),"")</f>
        <v/>
      </c>
      <c r="N452" t="str">
        <f t="shared" ref="N452:N515" si="118">IF(LEFT(B452,1)="#",IF(LEN(B452)=5,RIGHT(A452,2)&amp;B452,RIGHT(A452,2)&amp;LEFT(B452,2)&amp;"DTR"),"")</f>
        <v/>
      </c>
      <c r="O452" t="str">
        <f t="shared" ref="O452:O515" si="119">IF(LEFT(B452,1)="#",IF(LEN(B452)&lt;&gt;5,IF(LEN(B452)&lt;&gt;7,MID(B452,6,3),"("&amp;MID(B452,3,2)&amp;")"),""),"")</f>
        <v/>
      </c>
      <c r="P452" s="113" t="str">
        <f t="shared" si="108"/>
        <v>9F52</v>
      </c>
      <c r="Q452" s="114">
        <f t="shared" si="109"/>
        <v>108</v>
      </c>
      <c r="R452" s="114">
        <f t="shared" si="110"/>
        <v>107.66666666666667</v>
      </c>
      <c r="S452" s="113">
        <f t="shared" si="111"/>
        <v>107</v>
      </c>
      <c r="T452" s="111">
        <f t="shared" ca="1" si="112"/>
        <v>4.2699999999999996</v>
      </c>
      <c r="U452" s="111" t="str">
        <f t="shared" si="113"/>
        <v/>
      </c>
      <c r="V452" t="str">
        <f t="array" ref="V452">INDEX(P:P,MAX(U$3:U452))</f>
        <v>9F#1DTR</v>
      </c>
      <c r="W452" t="str">
        <f t="shared" ca="1" si="114"/>
        <v/>
      </c>
      <c r="X452">
        <f t="shared" si="115"/>
        <v>22.8</v>
      </c>
      <c r="Y452">
        <f t="shared" si="116"/>
        <v>108</v>
      </c>
      <c r="Z452" t="str">
        <f t="shared" ref="Z452:Z515" si="120">LEFT(A452,2)</f>
        <v>鹿西</v>
      </c>
    </row>
    <row r="453" spans="1:26" x14ac:dyDescent="0.25">
      <c r="A453" s="118" t="s">
        <v>592</v>
      </c>
      <c r="B453" s="119" t="s">
        <v>595</v>
      </c>
      <c r="C453" s="119">
        <v>111</v>
      </c>
      <c r="D453" s="118" t="s">
        <v>200</v>
      </c>
      <c r="E453" s="118">
        <v>105</v>
      </c>
      <c r="F453" s="118" t="s">
        <v>200</v>
      </c>
      <c r="G453" s="118">
        <v>110</v>
      </c>
      <c r="H453" s="118" t="s">
        <v>200</v>
      </c>
      <c r="I453" s="378">
        <v>111</v>
      </c>
      <c r="J453" s="117">
        <v>0</v>
      </c>
      <c r="K453" s="117" t="s">
        <v>194</v>
      </c>
      <c r="L453" t="str">
        <f t="shared" si="107"/>
        <v>9F53</v>
      </c>
      <c r="M453" t="str">
        <f t="shared" si="117"/>
        <v/>
      </c>
      <c r="N453" t="str">
        <f t="shared" si="118"/>
        <v/>
      </c>
      <c r="O453" t="str">
        <f t="shared" si="119"/>
        <v/>
      </c>
      <c r="P453" s="113" t="str">
        <f t="shared" si="108"/>
        <v>9F53</v>
      </c>
      <c r="Q453" s="114">
        <f t="shared" si="109"/>
        <v>111</v>
      </c>
      <c r="R453" s="114">
        <f t="shared" si="110"/>
        <v>108.66666666666667</v>
      </c>
      <c r="S453" s="113">
        <f t="shared" si="111"/>
        <v>105</v>
      </c>
      <c r="T453" s="111">
        <f t="shared" ca="1" si="112"/>
        <v>4.38</v>
      </c>
      <c r="U453" s="111" t="str">
        <f t="shared" si="113"/>
        <v/>
      </c>
      <c r="V453" t="str">
        <f t="array" ref="V453">INDEX(P:P,MAX(U$3:U453))</f>
        <v>9F#1DTR</v>
      </c>
      <c r="W453" t="str">
        <f t="shared" ca="1" si="114"/>
        <v/>
      </c>
      <c r="X453">
        <f t="shared" si="115"/>
        <v>22.8</v>
      </c>
      <c r="Y453">
        <f t="shared" si="116"/>
        <v>111</v>
      </c>
      <c r="Z453" t="str">
        <f t="shared" si="120"/>
        <v>鹿西</v>
      </c>
    </row>
    <row r="454" spans="1:26" x14ac:dyDescent="0.25">
      <c r="A454" s="118" t="s">
        <v>592</v>
      </c>
      <c r="B454" s="119" t="s">
        <v>596</v>
      </c>
      <c r="C454" s="119">
        <v>132</v>
      </c>
      <c r="D454" s="118" t="s">
        <v>203</v>
      </c>
      <c r="E454" s="118">
        <v>130</v>
      </c>
      <c r="F454" s="118" t="s">
        <v>203</v>
      </c>
      <c r="G454" s="118">
        <v>131</v>
      </c>
      <c r="H454" s="118" t="s">
        <v>203</v>
      </c>
      <c r="I454" s="378">
        <v>132</v>
      </c>
      <c r="J454" s="117">
        <v>0</v>
      </c>
      <c r="K454" s="117" t="s">
        <v>194</v>
      </c>
      <c r="L454" t="str">
        <f t="shared" si="107"/>
        <v>9F54</v>
      </c>
      <c r="M454" t="str">
        <f t="shared" si="117"/>
        <v/>
      </c>
      <c r="N454" t="str">
        <f t="shared" si="118"/>
        <v/>
      </c>
      <c r="O454" t="str">
        <f t="shared" si="119"/>
        <v/>
      </c>
      <c r="P454" s="113" t="str">
        <f t="shared" si="108"/>
        <v>9F54</v>
      </c>
      <c r="Q454" s="114">
        <f t="shared" si="109"/>
        <v>132</v>
      </c>
      <c r="R454" s="114">
        <f t="shared" si="110"/>
        <v>131</v>
      </c>
      <c r="S454" s="113">
        <f t="shared" si="111"/>
        <v>130</v>
      </c>
      <c r="T454" s="111">
        <f t="shared" ca="1" si="112"/>
        <v>5.21</v>
      </c>
      <c r="U454" s="111" t="str">
        <f t="shared" si="113"/>
        <v/>
      </c>
      <c r="V454" t="str">
        <f t="array" ref="V454">INDEX(P:P,MAX(U$3:U454))</f>
        <v>9F#1DTR</v>
      </c>
      <c r="W454" t="str">
        <f t="shared" ca="1" si="114"/>
        <v/>
      </c>
      <c r="X454">
        <f t="shared" si="115"/>
        <v>22.8</v>
      </c>
      <c r="Y454">
        <f t="shared" si="116"/>
        <v>132</v>
      </c>
      <c r="Z454" t="str">
        <f t="shared" si="120"/>
        <v>鹿西</v>
      </c>
    </row>
    <row r="455" spans="1:26" x14ac:dyDescent="0.25">
      <c r="A455" s="118" t="s">
        <v>592</v>
      </c>
      <c r="B455" s="119" t="s">
        <v>597</v>
      </c>
      <c r="C455" s="119">
        <v>118</v>
      </c>
      <c r="D455" s="118" t="s">
        <v>179</v>
      </c>
      <c r="E455" s="118">
        <v>112</v>
      </c>
      <c r="F455" s="118" t="s">
        <v>247</v>
      </c>
      <c r="G455" s="118">
        <v>113</v>
      </c>
      <c r="H455" s="118" t="s">
        <v>179</v>
      </c>
      <c r="I455" s="378">
        <v>118</v>
      </c>
      <c r="J455" s="117">
        <v>0</v>
      </c>
      <c r="K455" s="117" t="s">
        <v>194</v>
      </c>
      <c r="L455" t="str">
        <f t="shared" si="107"/>
        <v>9F55</v>
      </c>
      <c r="M455" t="str">
        <f t="shared" si="117"/>
        <v/>
      </c>
      <c r="N455" t="str">
        <f t="shared" si="118"/>
        <v/>
      </c>
      <c r="O455" t="str">
        <f t="shared" si="119"/>
        <v/>
      </c>
      <c r="P455" s="113" t="str">
        <f t="shared" si="108"/>
        <v>9F55</v>
      </c>
      <c r="Q455" s="114">
        <f t="shared" si="109"/>
        <v>118</v>
      </c>
      <c r="R455" s="114">
        <f t="shared" si="110"/>
        <v>114.33333333333333</v>
      </c>
      <c r="S455" s="113">
        <f t="shared" si="111"/>
        <v>112</v>
      </c>
      <c r="T455" s="111">
        <f t="shared" ca="1" si="112"/>
        <v>4.66</v>
      </c>
      <c r="U455" s="111" t="str">
        <f t="shared" si="113"/>
        <v/>
      </c>
      <c r="V455" t="str">
        <f t="array" ref="V455">INDEX(P:P,MAX(U$3:U455))</f>
        <v>9F#1DTR</v>
      </c>
      <c r="W455" t="str">
        <f t="shared" ca="1" si="114"/>
        <v/>
      </c>
      <c r="X455">
        <f t="shared" si="115"/>
        <v>22.8</v>
      </c>
      <c r="Y455">
        <f t="shared" si="116"/>
        <v>118</v>
      </c>
      <c r="Z455" t="str">
        <f t="shared" si="120"/>
        <v>鹿西</v>
      </c>
    </row>
    <row r="456" spans="1:26" x14ac:dyDescent="0.25">
      <c r="A456" s="118" t="s">
        <v>592</v>
      </c>
      <c r="B456" s="119" t="s">
        <v>598</v>
      </c>
      <c r="C456" s="119">
        <v>67</v>
      </c>
      <c r="D456" s="118" t="s">
        <v>247</v>
      </c>
      <c r="E456" s="118">
        <v>65</v>
      </c>
      <c r="F456" s="118" t="s">
        <v>247</v>
      </c>
      <c r="G456" s="118">
        <v>67</v>
      </c>
      <c r="H456" s="118" t="s">
        <v>247</v>
      </c>
      <c r="I456" s="378">
        <v>67</v>
      </c>
      <c r="J456" s="117">
        <v>0</v>
      </c>
      <c r="K456" s="117" t="s">
        <v>194</v>
      </c>
      <c r="L456" t="str">
        <f t="shared" si="107"/>
        <v>9F56</v>
      </c>
      <c r="M456" t="str">
        <f t="shared" si="117"/>
        <v/>
      </c>
      <c r="N456" t="str">
        <f t="shared" si="118"/>
        <v/>
      </c>
      <c r="O456" t="str">
        <f t="shared" si="119"/>
        <v/>
      </c>
      <c r="P456" s="113" t="str">
        <f t="shared" si="108"/>
        <v>9F56</v>
      </c>
      <c r="Q456" s="114">
        <f t="shared" si="109"/>
        <v>67</v>
      </c>
      <c r="R456" s="114">
        <f t="shared" si="110"/>
        <v>66.333333333333329</v>
      </c>
      <c r="S456" s="113">
        <f t="shared" si="111"/>
        <v>65</v>
      </c>
      <c r="T456" s="111">
        <f t="shared" ca="1" si="112"/>
        <v>2.65</v>
      </c>
      <c r="U456" s="111" t="str">
        <f t="shared" si="113"/>
        <v/>
      </c>
      <c r="V456" t="str">
        <f t="array" ref="V456">INDEX(P:P,MAX(U$3:U456))</f>
        <v>9F#1DTR</v>
      </c>
      <c r="W456" t="str">
        <f t="shared" ca="1" si="114"/>
        <v/>
      </c>
      <c r="X456">
        <f t="shared" si="115"/>
        <v>22.8</v>
      </c>
      <c r="Y456">
        <f t="shared" si="116"/>
        <v>67</v>
      </c>
      <c r="Z456" t="str">
        <f t="shared" si="120"/>
        <v>鹿西</v>
      </c>
    </row>
    <row r="457" spans="1:26" x14ac:dyDescent="0.25">
      <c r="A457" s="118" t="s">
        <v>592</v>
      </c>
      <c r="B457" s="119" t="s">
        <v>599</v>
      </c>
      <c r="C457" s="119">
        <v>239</v>
      </c>
      <c r="D457" s="118" t="s">
        <v>211</v>
      </c>
      <c r="E457" s="118">
        <v>241</v>
      </c>
      <c r="F457" s="118" t="s">
        <v>211</v>
      </c>
      <c r="G457" s="118">
        <v>243</v>
      </c>
      <c r="H457" s="118" t="s">
        <v>211</v>
      </c>
      <c r="I457" s="378">
        <v>243</v>
      </c>
      <c r="J457" s="117">
        <v>0</v>
      </c>
      <c r="K457" s="117" t="s">
        <v>194</v>
      </c>
      <c r="L457" t="str">
        <f t="shared" si="107"/>
        <v>9F57</v>
      </c>
      <c r="M457" t="str">
        <f t="shared" si="117"/>
        <v/>
      </c>
      <c r="N457" t="str">
        <f t="shared" si="118"/>
        <v/>
      </c>
      <c r="O457" t="str">
        <f t="shared" si="119"/>
        <v/>
      </c>
      <c r="P457" s="113" t="str">
        <f t="shared" si="108"/>
        <v>9F57</v>
      </c>
      <c r="Q457" s="114">
        <f t="shared" si="109"/>
        <v>243</v>
      </c>
      <c r="R457" s="114">
        <f t="shared" si="110"/>
        <v>241</v>
      </c>
      <c r="S457" s="113">
        <f t="shared" si="111"/>
        <v>239</v>
      </c>
      <c r="T457" s="111">
        <f t="shared" ca="1" si="112"/>
        <v>9.6</v>
      </c>
      <c r="U457" s="111" t="str">
        <f t="shared" si="113"/>
        <v/>
      </c>
      <c r="V457" t="str">
        <f t="array" ref="V457">INDEX(P:P,MAX(U$3:U457))</f>
        <v>9F#1DTR</v>
      </c>
      <c r="W457" t="str">
        <f t="shared" ca="1" si="114"/>
        <v/>
      </c>
      <c r="X457">
        <f t="shared" si="115"/>
        <v>22.8</v>
      </c>
      <c r="Y457">
        <f t="shared" si="116"/>
        <v>243</v>
      </c>
      <c r="Z457" t="str">
        <f t="shared" si="120"/>
        <v>鹿西</v>
      </c>
    </row>
    <row r="458" spans="1:26" x14ac:dyDescent="0.25">
      <c r="A458" s="118" t="s">
        <v>592</v>
      </c>
      <c r="B458" s="119" t="s">
        <v>600</v>
      </c>
      <c r="C458" s="119">
        <v>153</v>
      </c>
      <c r="D458" s="118" t="s">
        <v>179</v>
      </c>
      <c r="E458" s="118">
        <v>153</v>
      </c>
      <c r="F458" s="118" t="s">
        <v>179</v>
      </c>
      <c r="G458" s="118">
        <v>152</v>
      </c>
      <c r="H458" s="118" t="s">
        <v>179</v>
      </c>
      <c r="I458" s="378">
        <v>153</v>
      </c>
      <c r="J458" s="117">
        <v>0</v>
      </c>
      <c r="K458" s="117" t="s">
        <v>194</v>
      </c>
      <c r="L458" t="str">
        <f t="shared" si="107"/>
        <v>9F58</v>
      </c>
      <c r="M458" t="str">
        <f t="shared" si="117"/>
        <v/>
      </c>
      <c r="N458" t="str">
        <f t="shared" si="118"/>
        <v/>
      </c>
      <c r="O458" t="str">
        <f t="shared" si="119"/>
        <v/>
      </c>
      <c r="P458" s="113" t="str">
        <f t="shared" si="108"/>
        <v>9F58</v>
      </c>
      <c r="Q458" s="114">
        <f t="shared" si="109"/>
        <v>153</v>
      </c>
      <c r="R458" s="114">
        <f t="shared" si="110"/>
        <v>152.66666666666666</v>
      </c>
      <c r="S458" s="113">
        <f t="shared" si="111"/>
        <v>152</v>
      </c>
      <c r="T458" s="111">
        <f t="shared" ca="1" si="112"/>
        <v>6.04</v>
      </c>
      <c r="U458" s="111" t="str">
        <f t="shared" si="113"/>
        <v/>
      </c>
      <c r="V458" t="str">
        <f t="array" ref="V458">INDEX(P:P,MAX(U$3:U458))</f>
        <v>9F#1DTR</v>
      </c>
      <c r="W458" t="str">
        <f t="shared" ca="1" si="114"/>
        <v/>
      </c>
      <c r="X458">
        <f t="shared" si="115"/>
        <v>22.8</v>
      </c>
      <c r="Y458">
        <f t="shared" si="116"/>
        <v>153</v>
      </c>
      <c r="Z458" t="str">
        <f t="shared" si="120"/>
        <v>鹿西</v>
      </c>
    </row>
    <row r="459" spans="1:26" x14ac:dyDescent="0.25">
      <c r="A459" s="118" t="s">
        <v>592</v>
      </c>
      <c r="B459" s="119" t="s">
        <v>301</v>
      </c>
      <c r="C459" s="119">
        <v>295</v>
      </c>
      <c r="D459" s="118" t="s">
        <v>247</v>
      </c>
      <c r="E459" s="118">
        <v>288</v>
      </c>
      <c r="F459" s="118" t="s">
        <v>247</v>
      </c>
      <c r="G459" s="118">
        <v>295</v>
      </c>
      <c r="H459" s="118" t="s">
        <v>247</v>
      </c>
      <c r="I459" s="378">
        <v>295</v>
      </c>
      <c r="J459" s="117"/>
      <c r="K459" s="117"/>
      <c r="L459" t="str">
        <f t="shared" si="107"/>
        <v>9F#2DTR(A)</v>
      </c>
      <c r="M459" t="str">
        <f t="shared" si="117"/>
        <v>(A)</v>
      </c>
      <c r="N459" t="str">
        <f t="shared" si="118"/>
        <v>9F#2DTR</v>
      </c>
      <c r="O459" t="str">
        <f t="shared" si="119"/>
        <v>(A)</v>
      </c>
      <c r="P459" s="113" t="str">
        <f t="shared" si="108"/>
        <v>9F#2DTR(A)</v>
      </c>
      <c r="Q459" s="114">
        <f t="shared" si="109"/>
        <v>295</v>
      </c>
      <c r="R459" s="114">
        <f t="shared" si="110"/>
        <v>292.66666666666669</v>
      </c>
      <c r="S459" s="113">
        <f t="shared" si="111"/>
        <v>288</v>
      </c>
      <c r="T459" s="111">
        <f t="shared" ca="1" si="112"/>
        <v>11.65</v>
      </c>
      <c r="U459" s="111">
        <f t="shared" si="113"/>
        <v>459</v>
      </c>
      <c r="V459" t="str">
        <f t="array" ref="V459">INDEX(P:P,MAX(U$3:U459))</f>
        <v>9F#2DTR(A)</v>
      </c>
      <c r="W459">
        <f t="shared" ca="1" si="114"/>
        <v>60</v>
      </c>
      <c r="X459" t="str">
        <f t="shared" si="115"/>
        <v/>
      </c>
      <c r="Y459">
        <f t="shared" si="116"/>
        <v>295</v>
      </c>
      <c r="Z459" t="str">
        <f t="shared" si="120"/>
        <v>鹿西</v>
      </c>
    </row>
    <row r="460" spans="1:26" x14ac:dyDescent="0.25">
      <c r="A460" s="118" t="s">
        <v>592</v>
      </c>
      <c r="B460" s="119" t="s">
        <v>601</v>
      </c>
      <c r="C460" s="119">
        <v>64</v>
      </c>
      <c r="D460" s="118" t="s">
        <v>180</v>
      </c>
      <c r="E460" s="118">
        <v>65</v>
      </c>
      <c r="F460" s="118" t="s">
        <v>180</v>
      </c>
      <c r="G460" s="118">
        <v>64</v>
      </c>
      <c r="H460" s="118" t="s">
        <v>180</v>
      </c>
      <c r="I460" s="378">
        <v>65</v>
      </c>
      <c r="J460" s="117">
        <v>0</v>
      </c>
      <c r="K460" s="117" t="s">
        <v>194</v>
      </c>
      <c r="L460" t="str">
        <f t="shared" si="107"/>
        <v>9F61</v>
      </c>
      <c r="M460" t="str">
        <f t="shared" si="117"/>
        <v/>
      </c>
      <c r="N460" t="str">
        <f t="shared" si="118"/>
        <v/>
      </c>
      <c r="O460" t="str">
        <f t="shared" si="119"/>
        <v/>
      </c>
      <c r="P460" s="113" t="str">
        <f t="shared" si="108"/>
        <v>9F61</v>
      </c>
      <c r="Q460" s="114">
        <f t="shared" si="109"/>
        <v>65</v>
      </c>
      <c r="R460" s="114">
        <f t="shared" si="110"/>
        <v>64.333333333333329</v>
      </c>
      <c r="S460" s="113">
        <f t="shared" si="111"/>
        <v>64</v>
      </c>
      <c r="T460" s="111">
        <f t="shared" ca="1" si="112"/>
        <v>2.57</v>
      </c>
      <c r="U460" s="111" t="str">
        <f t="shared" si="113"/>
        <v/>
      </c>
      <c r="V460" t="str">
        <f t="array" ref="V460">INDEX(P:P,MAX(U$3:U460))</f>
        <v>9F#2DTR(A)</v>
      </c>
      <c r="W460" t="str">
        <f t="shared" ca="1" si="114"/>
        <v/>
      </c>
      <c r="X460">
        <f t="shared" si="115"/>
        <v>22.8</v>
      </c>
      <c r="Y460">
        <f t="shared" si="116"/>
        <v>65</v>
      </c>
      <c r="Z460" t="str">
        <f t="shared" si="120"/>
        <v>鹿西</v>
      </c>
    </row>
    <row r="461" spans="1:26" x14ac:dyDescent="0.25">
      <c r="A461" s="118" t="s">
        <v>592</v>
      </c>
      <c r="B461" s="119" t="s">
        <v>602</v>
      </c>
      <c r="C461" s="119">
        <v>97</v>
      </c>
      <c r="D461" s="118" t="s">
        <v>376</v>
      </c>
      <c r="E461" s="118">
        <v>97</v>
      </c>
      <c r="F461" s="118" t="s">
        <v>376</v>
      </c>
      <c r="G461" s="118">
        <v>97</v>
      </c>
      <c r="H461" s="118" t="s">
        <v>376</v>
      </c>
      <c r="I461" s="378">
        <v>97</v>
      </c>
      <c r="J461" s="117">
        <v>0</v>
      </c>
      <c r="K461" s="117" t="s">
        <v>194</v>
      </c>
      <c r="L461" t="str">
        <f t="shared" si="107"/>
        <v>9F62</v>
      </c>
      <c r="M461" t="str">
        <f t="shared" si="117"/>
        <v/>
      </c>
      <c r="N461" t="str">
        <f t="shared" si="118"/>
        <v/>
      </c>
      <c r="O461" t="str">
        <f t="shared" si="119"/>
        <v/>
      </c>
      <c r="P461" s="113" t="str">
        <f t="shared" si="108"/>
        <v>9F62</v>
      </c>
      <c r="Q461" s="114">
        <f t="shared" si="109"/>
        <v>97</v>
      </c>
      <c r="R461" s="114">
        <f t="shared" si="110"/>
        <v>97</v>
      </c>
      <c r="S461" s="113">
        <f t="shared" si="111"/>
        <v>97</v>
      </c>
      <c r="T461" s="111">
        <f t="shared" ca="1" si="112"/>
        <v>3.83</v>
      </c>
      <c r="U461" s="111" t="str">
        <f t="shared" si="113"/>
        <v/>
      </c>
      <c r="V461" t="str">
        <f t="array" ref="V461">INDEX(P:P,MAX(U$3:U461))</f>
        <v>9F#2DTR(A)</v>
      </c>
      <c r="W461" t="str">
        <f t="shared" ca="1" si="114"/>
        <v/>
      </c>
      <c r="X461">
        <f t="shared" si="115"/>
        <v>22.8</v>
      </c>
      <c r="Y461">
        <f t="shared" si="116"/>
        <v>97</v>
      </c>
      <c r="Z461" t="str">
        <f t="shared" si="120"/>
        <v>鹿西</v>
      </c>
    </row>
    <row r="462" spans="1:26" x14ac:dyDescent="0.25">
      <c r="A462" s="118" t="s">
        <v>592</v>
      </c>
      <c r="B462" s="119" t="s">
        <v>603</v>
      </c>
      <c r="C462" s="119">
        <v>142</v>
      </c>
      <c r="D462" s="118" t="s">
        <v>179</v>
      </c>
      <c r="E462" s="118">
        <v>139</v>
      </c>
      <c r="F462" s="118" t="s">
        <v>179</v>
      </c>
      <c r="G462" s="118">
        <v>144</v>
      </c>
      <c r="H462" s="118" t="s">
        <v>179</v>
      </c>
      <c r="I462" s="378">
        <v>144</v>
      </c>
      <c r="J462" s="117">
        <v>0</v>
      </c>
      <c r="K462" s="117" t="s">
        <v>194</v>
      </c>
      <c r="L462" t="str">
        <f t="shared" si="107"/>
        <v>9F63</v>
      </c>
      <c r="M462" t="str">
        <f t="shared" si="117"/>
        <v/>
      </c>
      <c r="N462" t="str">
        <f t="shared" si="118"/>
        <v/>
      </c>
      <c r="O462" t="str">
        <f t="shared" si="119"/>
        <v/>
      </c>
      <c r="P462" s="113" t="str">
        <f t="shared" si="108"/>
        <v>9F63</v>
      </c>
      <c r="Q462" s="114">
        <f t="shared" si="109"/>
        <v>144</v>
      </c>
      <c r="R462" s="114">
        <f t="shared" si="110"/>
        <v>141.66666666666666</v>
      </c>
      <c r="S462" s="113">
        <f t="shared" si="111"/>
        <v>139</v>
      </c>
      <c r="T462" s="111">
        <f t="shared" ca="1" si="112"/>
        <v>5.69</v>
      </c>
      <c r="U462" s="111" t="str">
        <f t="shared" si="113"/>
        <v/>
      </c>
      <c r="V462" t="str">
        <f t="array" ref="V462">INDEX(P:P,MAX(U$3:U462))</f>
        <v>9F#2DTR(A)</v>
      </c>
      <c r="W462" t="str">
        <f t="shared" ca="1" si="114"/>
        <v/>
      </c>
      <c r="X462">
        <f t="shared" si="115"/>
        <v>22.8</v>
      </c>
      <c r="Y462">
        <f t="shared" si="116"/>
        <v>144</v>
      </c>
      <c r="Z462" t="str">
        <f t="shared" si="120"/>
        <v>鹿西</v>
      </c>
    </row>
    <row r="463" spans="1:26" x14ac:dyDescent="0.25">
      <c r="A463" s="118" t="s">
        <v>592</v>
      </c>
      <c r="B463" s="119" t="s">
        <v>604</v>
      </c>
      <c r="C463" s="119">
        <v>105</v>
      </c>
      <c r="D463" s="118" t="s">
        <v>211</v>
      </c>
      <c r="E463" s="118">
        <v>99</v>
      </c>
      <c r="F463" s="118" t="s">
        <v>211</v>
      </c>
      <c r="G463" s="118">
        <v>97</v>
      </c>
      <c r="H463" s="118" t="s">
        <v>176</v>
      </c>
      <c r="I463" s="378">
        <v>105</v>
      </c>
      <c r="J463" s="117">
        <v>0</v>
      </c>
      <c r="K463" s="117" t="s">
        <v>194</v>
      </c>
      <c r="L463" t="str">
        <f t="shared" si="107"/>
        <v>9F64</v>
      </c>
      <c r="M463" t="str">
        <f t="shared" si="117"/>
        <v/>
      </c>
      <c r="N463" t="str">
        <f t="shared" si="118"/>
        <v/>
      </c>
      <c r="O463" t="str">
        <f t="shared" si="119"/>
        <v/>
      </c>
      <c r="P463" s="113" t="str">
        <f t="shared" si="108"/>
        <v>9F64</v>
      </c>
      <c r="Q463" s="114">
        <f t="shared" si="109"/>
        <v>105</v>
      </c>
      <c r="R463" s="114">
        <f t="shared" si="110"/>
        <v>100.33333333333333</v>
      </c>
      <c r="S463" s="113">
        <f t="shared" si="111"/>
        <v>97</v>
      </c>
      <c r="T463" s="111">
        <f t="shared" ca="1" si="112"/>
        <v>4.1500000000000004</v>
      </c>
      <c r="U463" s="111" t="str">
        <f t="shared" si="113"/>
        <v/>
      </c>
      <c r="V463" t="str">
        <f t="array" ref="V463">INDEX(P:P,MAX(U$3:U463))</f>
        <v>9F#2DTR(A)</v>
      </c>
      <c r="W463" t="str">
        <f t="shared" ca="1" si="114"/>
        <v/>
      </c>
      <c r="X463">
        <f t="shared" si="115"/>
        <v>22.8</v>
      </c>
      <c r="Y463">
        <f t="shared" si="116"/>
        <v>105</v>
      </c>
      <c r="Z463" t="str">
        <f t="shared" si="120"/>
        <v>鹿西</v>
      </c>
    </row>
    <row r="464" spans="1:26" x14ac:dyDescent="0.25">
      <c r="A464" s="118" t="s">
        <v>592</v>
      </c>
      <c r="B464" s="119" t="s">
        <v>283</v>
      </c>
      <c r="C464" s="119">
        <v>259</v>
      </c>
      <c r="D464" s="118" t="s">
        <v>179</v>
      </c>
      <c r="E464" s="118">
        <v>261</v>
      </c>
      <c r="F464" s="118" t="s">
        <v>177</v>
      </c>
      <c r="G464" s="118">
        <v>262</v>
      </c>
      <c r="H464" s="118" t="s">
        <v>177</v>
      </c>
      <c r="I464" s="378">
        <v>262</v>
      </c>
      <c r="J464" s="117"/>
      <c r="K464" s="117"/>
      <c r="L464" t="str">
        <f t="shared" si="107"/>
        <v>9F#2DTR(B)</v>
      </c>
      <c r="M464" t="str">
        <f t="shared" si="117"/>
        <v>(B)</v>
      </c>
      <c r="N464" t="str">
        <f t="shared" si="118"/>
        <v>9F#2DTR</v>
      </c>
      <c r="O464" t="str">
        <f t="shared" si="119"/>
        <v>(B)</v>
      </c>
      <c r="P464" s="113" t="str">
        <f t="shared" si="108"/>
        <v>9F#2DTR(B)</v>
      </c>
      <c r="Q464" s="114">
        <f t="shared" si="109"/>
        <v>262</v>
      </c>
      <c r="R464" s="114">
        <f t="shared" si="110"/>
        <v>260.66666666666669</v>
      </c>
      <c r="S464" s="113">
        <f t="shared" si="111"/>
        <v>259</v>
      </c>
      <c r="T464" s="111">
        <f t="shared" ca="1" si="112"/>
        <v>10.35</v>
      </c>
      <c r="U464" s="111">
        <f t="shared" si="113"/>
        <v>464</v>
      </c>
      <c r="V464" t="str">
        <f t="array" ref="V464">INDEX(P:P,MAX(U$3:U464))</f>
        <v>9F#2DTR(B)</v>
      </c>
      <c r="W464">
        <f t="shared" ca="1" si="114"/>
        <v>60</v>
      </c>
      <c r="X464" t="str">
        <f t="shared" si="115"/>
        <v/>
      </c>
      <c r="Y464">
        <f t="shared" si="116"/>
        <v>262</v>
      </c>
      <c r="Z464" t="str">
        <f t="shared" si="120"/>
        <v>鹿西</v>
      </c>
    </row>
    <row r="465" spans="1:26" x14ac:dyDescent="0.25">
      <c r="A465" s="118" t="s">
        <v>592</v>
      </c>
      <c r="B465" s="119" t="s">
        <v>605</v>
      </c>
      <c r="C465" s="119">
        <v>136</v>
      </c>
      <c r="D465" s="118" t="s">
        <v>184</v>
      </c>
      <c r="E465" s="118">
        <v>135</v>
      </c>
      <c r="F465" s="118" t="s">
        <v>184</v>
      </c>
      <c r="G465" s="118">
        <v>135</v>
      </c>
      <c r="H465" s="118" t="s">
        <v>184</v>
      </c>
      <c r="I465" s="378">
        <v>136</v>
      </c>
      <c r="J465" s="117">
        <v>0</v>
      </c>
      <c r="K465" s="117" t="s">
        <v>194</v>
      </c>
      <c r="L465" t="str">
        <f t="shared" si="107"/>
        <v>9F65</v>
      </c>
      <c r="M465" t="str">
        <f t="shared" si="117"/>
        <v/>
      </c>
      <c r="N465" t="str">
        <f t="shared" si="118"/>
        <v/>
      </c>
      <c r="O465" t="str">
        <f t="shared" si="119"/>
        <v/>
      </c>
      <c r="P465" s="113" t="str">
        <f t="shared" si="108"/>
        <v>9F65</v>
      </c>
      <c r="Q465" s="114">
        <f t="shared" si="109"/>
        <v>136</v>
      </c>
      <c r="R465" s="114">
        <f t="shared" si="110"/>
        <v>135.33333333333334</v>
      </c>
      <c r="S465" s="113">
        <f t="shared" si="111"/>
        <v>135</v>
      </c>
      <c r="T465" s="111">
        <f t="shared" ca="1" si="112"/>
        <v>5.37</v>
      </c>
      <c r="U465" s="111" t="str">
        <f t="shared" si="113"/>
        <v/>
      </c>
      <c r="V465" t="str">
        <f t="array" ref="V465">INDEX(P:P,MAX(U$3:U465))</f>
        <v>9F#2DTR(B)</v>
      </c>
      <c r="W465" t="str">
        <f t="shared" ca="1" si="114"/>
        <v/>
      </c>
      <c r="X465">
        <f t="shared" si="115"/>
        <v>22.8</v>
      </c>
      <c r="Y465">
        <f t="shared" si="116"/>
        <v>136</v>
      </c>
      <c r="Z465" t="str">
        <f t="shared" si="120"/>
        <v>鹿西</v>
      </c>
    </row>
    <row r="466" spans="1:26" x14ac:dyDescent="0.25">
      <c r="A466" s="118" t="s">
        <v>592</v>
      </c>
      <c r="B466" s="119" t="s">
        <v>606</v>
      </c>
      <c r="C466" s="119">
        <v>98</v>
      </c>
      <c r="D466" s="118" t="s">
        <v>180</v>
      </c>
      <c r="E466" s="118">
        <v>98</v>
      </c>
      <c r="F466" s="118" t="s">
        <v>180</v>
      </c>
      <c r="G466" s="118">
        <v>98</v>
      </c>
      <c r="H466" s="118" t="s">
        <v>180</v>
      </c>
      <c r="I466" s="378">
        <v>98</v>
      </c>
      <c r="J466" s="117">
        <v>0</v>
      </c>
      <c r="K466" s="117" t="s">
        <v>194</v>
      </c>
      <c r="L466" t="str">
        <f t="shared" si="107"/>
        <v>9F66</v>
      </c>
      <c r="M466" t="str">
        <f t="shared" si="117"/>
        <v/>
      </c>
      <c r="N466" t="str">
        <f t="shared" si="118"/>
        <v/>
      </c>
      <c r="O466" t="str">
        <f t="shared" si="119"/>
        <v/>
      </c>
      <c r="P466" s="113" t="str">
        <f t="shared" si="108"/>
        <v>9F66</v>
      </c>
      <c r="Q466" s="114">
        <f t="shared" si="109"/>
        <v>98</v>
      </c>
      <c r="R466" s="114">
        <f t="shared" si="110"/>
        <v>98</v>
      </c>
      <c r="S466" s="113">
        <f t="shared" si="111"/>
        <v>98</v>
      </c>
      <c r="T466" s="111">
        <f t="shared" ca="1" si="112"/>
        <v>3.87</v>
      </c>
      <c r="U466" s="111" t="str">
        <f t="shared" si="113"/>
        <v/>
      </c>
      <c r="V466" t="str">
        <f t="array" ref="V466">INDEX(P:P,MAX(U$3:U466))</f>
        <v>9F#2DTR(B)</v>
      </c>
      <c r="W466" t="str">
        <f t="shared" ca="1" si="114"/>
        <v/>
      </c>
      <c r="X466">
        <f t="shared" si="115"/>
        <v>22.8</v>
      </c>
      <c r="Y466">
        <f t="shared" si="116"/>
        <v>98</v>
      </c>
      <c r="Z466" t="str">
        <f t="shared" si="120"/>
        <v>鹿西</v>
      </c>
    </row>
    <row r="467" spans="1:26" x14ac:dyDescent="0.25">
      <c r="A467" s="118" t="s">
        <v>592</v>
      </c>
      <c r="B467" s="119" t="s">
        <v>607</v>
      </c>
      <c r="C467" s="119">
        <v>58</v>
      </c>
      <c r="D467" s="118" t="s">
        <v>184</v>
      </c>
      <c r="E467" s="118">
        <v>57</v>
      </c>
      <c r="F467" s="118" t="s">
        <v>184</v>
      </c>
      <c r="G467" s="118">
        <v>57</v>
      </c>
      <c r="H467" s="118" t="s">
        <v>184</v>
      </c>
      <c r="I467" s="378">
        <v>58</v>
      </c>
      <c r="J467" s="117">
        <v>0</v>
      </c>
      <c r="K467" s="117" t="s">
        <v>194</v>
      </c>
      <c r="L467" t="str">
        <f t="shared" si="107"/>
        <v>9F67</v>
      </c>
      <c r="M467" t="str">
        <f t="shared" si="117"/>
        <v/>
      </c>
      <c r="N467" t="str">
        <f t="shared" si="118"/>
        <v/>
      </c>
      <c r="O467" t="str">
        <f t="shared" si="119"/>
        <v/>
      </c>
      <c r="P467" s="113" t="str">
        <f t="shared" si="108"/>
        <v>9F67</v>
      </c>
      <c r="Q467" s="114">
        <f t="shared" si="109"/>
        <v>58</v>
      </c>
      <c r="R467" s="114">
        <f t="shared" si="110"/>
        <v>57.333333333333336</v>
      </c>
      <c r="S467" s="113">
        <f t="shared" si="111"/>
        <v>57</v>
      </c>
      <c r="T467" s="111">
        <f t="shared" ca="1" si="112"/>
        <v>2.29</v>
      </c>
      <c r="U467" s="111" t="str">
        <f t="shared" si="113"/>
        <v/>
      </c>
      <c r="V467" t="str">
        <f t="array" ref="V467">INDEX(P:P,MAX(U$3:U467))</f>
        <v>9F#2DTR(B)</v>
      </c>
      <c r="W467" t="str">
        <f t="shared" ca="1" si="114"/>
        <v/>
      </c>
      <c r="X467">
        <f t="shared" si="115"/>
        <v>22.8</v>
      </c>
      <c r="Y467">
        <f t="shared" si="116"/>
        <v>58</v>
      </c>
      <c r="Z467" t="str">
        <f t="shared" si="120"/>
        <v>鹿西</v>
      </c>
    </row>
    <row r="468" spans="1:26" x14ac:dyDescent="0.25">
      <c r="A468" s="118" t="s">
        <v>592</v>
      </c>
      <c r="B468" s="119" t="s">
        <v>608</v>
      </c>
      <c r="C468" s="119">
        <v>55</v>
      </c>
      <c r="D468" s="118" t="s">
        <v>211</v>
      </c>
      <c r="E468" s="118">
        <v>53</v>
      </c>
      <c r="F468" s="118" t="s">
        <v>211</v>
      </c>
      <c r="G468" s="118">
        <v>57</v>
      </c>
      <c r="H468" s="118" t="s">
        <v>211</v>
      </c>
      <c r="I468" s="378">
        <v>57</v>
      </c>
      <c r="J468" s="117">
        <v>0</v>
      </c>
      <c r="K468" s="117" t="s">
        <v>194</v>
      </c>
      <c r="L468" t="str">
        <f t="shared" si="107"/>
        <v>9F68</v>
      </c>
      <c r="M468" t="str">
        <f t="shared" si="117"/>
        <v/>
      </c>
      <c r="N468" t="str">
        <f t="shared" si="118"/>
        <v/>
      </c>
      <c r="O468" t="str">
        <f t="shared" si="119"/>
        <v/>
      </c>
      <c r="P468" s="113" t="str">
        <f t="shared" si="108"/>
        <v>9F68</v>
      </c>
      <c r="Q468" s="114">
        <f t="shared" si="109"/>
        <v>57</v>
      </c>
      <c r="R468" s="114">
        <f t="shared" si="110"/>
        <v>55</v>
      </c>
      <c r="S468" s="113">
        <f t="shared" si="111"/>
        <v>53</v>
      </c>
      <c r="T468" s="111">
        <f t="shared" ca="1" si="112"/>
        <v>2.25</v>
      </c>
      <c r="U468" s="111" t="str">
        <f t="shared" si="113"/>
        <v/>
      </c>
      <c r="V468" t="str">
        <f t="array" ref="V468">INDEX(P:P,MAX(U$3:U468))</f>
        <v>9F#2DTR(B)</v>
      </c>
      <c r="W468" t="str">
        <f t="shared" ca="1" si="114"/>
        <v/>
      </c>
      <c r="X468">
        <f t="shared" si="115"/>
        <v>22.8</v>
      </c>
      <c r="Y468">
        <f t="shared" si="116"/>
        <v>57</v>
      </c>
      <c r="Z468" t="str">
        <f t="shared" si="120"/>
        <v>鹿西</v>
      </c>
    </row>
    <row r="469" spans="1:26" x14ac:dyDescent="0.25">
      <c r="A469" s="118" t="s">
        <v>609</v>
      </c>
      <c r="B469" s="119" t="s">
        <v>254</v>
      </c>
      <c r="C469" s="119">
        <v>420</v>
      </c>
      <c r="D469" s="118" t="s">
        <v>179</v>
      </c>
      <c r="E469" s="118">
        <v>414</v>
      </c>
      <c r="F469" s="118" t="s">
        <v>179</v>
      </c>
      <c r="G469" s="118">
        <v>418</v>
      </c>
      <c r="H469" s="118" t="s">
        <v>184</v>
      </c>
      <c r="I469" s="378">
        <v>420</v>
      </c>
      <c r="J469" s="117"/>
      <c r="K469" s="117"/>
      <c r="L469" t="str">
        <f t="shared" si="107"/>
        <v>IO#1DTR(A)</v>
      </c>
      <c r="M469" t="str">
        <f t="shared" si="117"/>
        <v>(A)</v>
      </c>
      <c r="N469" t="str">
        <f t="shared" si="118"/>
        <v>IO#1DTR</v>
      </c>
      <c r="O469" t="str">
        <f t="shared" si="119"/>
        <v>(A)</v>
      </c>
      <c r="P469" s="113" t="str">
        <f t="shared" si="108"/>
        <v>IO#1DTR(A)</v>
      </c>
      <c r="Q469" s="114">
        <f t="shared" si="109"/>
        <v>420</v>
      </c>
      <c r="R469" s="114">
        <f t="shared" si="110"/>
        <v>417.33333333333331</v>
      </c>
      <c r="S469" s="113">
        <f t="shared" si="111"/>
        <v>414</v>
      </c>
      <c r="T469" s="111">
        <f t="shared" ca="1" si="112"/>
        <v>16.59</v>
      </c>
      <c r="U469" s="111">
        <f t="shared" si="113"/>
        <v>469</v>
      </c>
      <c r="V469" t="str">
        <f t="array" ref="V469">INDEX(P:P,MAX(U$3:U469))</f>
        <v>IO#1DTR(A)</v>
      </c>
      <c r="W469">
        <f t="shared" ca="1" si="114"/>
        <v>60</v>
      </c>
      <c r="X469" t="str">
        <f t="shared" si="115"/>
        <v/>
      </c>
      <c r="Y469">
        <f t="shared" si="116"/>
        <v>420</v>
      </c>
      <c r="Z469" t="str">
        <f t="shared" si="120"/>
        <v>鹿東</v>
      </c>
    </row>
    <row r="470" spans="1:26" x14ac:dyDescent="0.25">
      <c r="A470" s="118" t="s">
        <v>609</v>
      </c>
      <c r="B470" s="119" t="s">
        <v>610</v>
      </c>
      <c r="C470" s="119">
        <v>191</v>
      </c>
      <c r="D470" s="118" t="s">
        <v>179</v>
      </c>
      <c r="E470" s="118">
        <v>189</v>
      </c>
      <c r="F470" s="118" t="s">
        <v>179</v>
      </c>
      <c r="G470" s="118">
        <v>189</v>
      </c>
      <c r="H470" s="118" t="s">
        <v>179</v>
      </c>
      <c r="I470" s="378">
        <v>191</v>
      </c>
      <c r="J470" s="117">
        <v>3</v>
      </c>
      <c r="K470" s="117" t="s">
        <v>205</v>
      </c>
      <c r="L470" t="str">
        <f t="shared" si="107"/>
        <v>IO51</v>
      </c>
      <c r="M470" t="str">
        <f t="shared" si="117"/>
        <v/>
      </c>
      <c r="N470" t="str">
        <f t="shared" si="118"/>
        <v/>
      </c>
      <c r="O470" t="str">
        <f t="shared" si="119"/>
        <v/>
      </c>
      <c r="P470" s="113" t="str">
        <f t="shared" si="108"/>
        <v>IO51</v>
      </c>
      <c r="Q470" s="114">
        <f t="shared" si="109"/>
        <v>191</v>
      </c>
      <c r="R470" s="114">
        <f t="shared" si="110"/>
        <v>189.66666666666666</v>
      </c>
      <c r="S470" s="113">
        <f t="shared" si="111"/>
        <v>189</v>
      </c>
      <c r="T470" s="111">
        <f t="shared" ca="1" si="112"/>
        <v>7.54</v>
      </c>
      <c r="U470" s="111" t="str">
        <f t="shared" si="113"/>
        <v/>
      </c>
      <c r="V470" t="str">
        <f t="array" ref="V470">INDEX(P:P,MAX(U$3:U470))</f>
        <v>IO#1DTR(A)</v>
      </c>
      <c r="W470" t="str">
        <f t="shared" ca="1" si="114"/>
        <v/>
      </c>
      <c r="X470">
        <f t="shared" si="115"/>
        <v>22.8</v>
      </c>
      <c r="Y470">
        <f t="shared" si="116"/>
        <v>191</v>
      </c>
      <c r="Z470" t="str">
        <f t="shared" si="120"/>
        <v>鹿東</v>
      </c>
    </row>
    <row r="471" spans="1:26" x14ac:dyDescent="0.25">
      <c r="A471" s="118" t="s">
        <v>609</v>
      </c>
      <c r="B471" s="119" t="s">
        <v>611</v>
      </c>
      <c r="C471" s="119">
        <v>29</v>
      </c>
      <c r="D471" s="118" t="s">
        <v>183</v>
      </c>
      <c r="E471" s="118">
        <v>29</v>
      </c>
      <c r="F471" s="118" t="s">
        <v>183</v>
      </c>
      <c r="G471" s="118">
        <v>29</v>
      </c>
      <c r="H471" s="118" t="s">
        <v>183</v>
      </c>
      <c r="I471" s="378">
        <v>29</v>
      </c>
      <c r="J471" s="117">
        <v>0</v>
      </c>
      <c r="K471" s="117" t="s">
        <v>194</v>
      </c>
      <c r="L471" t="str">
        <f t="shared" si="107"/>
        <v>IO52</v>
      </c>
      <c r="M471" t="str">
        <f t="shared" si="117"/>
        <v/>
      </c>
      <c r="N471" t="str">
        <f t="shared" si="118"/>
        <v/>
      </c>
      <c r="O471" t="str">
        <f t="shared" si="119"/>
        <v/>
      </c>
      <c r="P471" s="113" t="str">
        <f t="shared" si="108"/>
        <v>IO52</v>
      </c>
      <c r="Q471" s="114">
        <f t="shared" si="109"/>
        <v>29</v>
      </c>
      <c r="R471" s="114">
        <f t="shared" si="110"/>
        <v>29</v>
      </c>
      <c r="S471" s="113">
        <f t="shared" si="111"/>
        <v>29</v>
      </c>
      <c r="T471" s="111">
        <f t="shared" ca="1" si="112"/>
        <v>1.1499999999999999</v>
      </c>
      <c r="U471" s="111" t="str">
        <f t="shared" si="113"/>
        <v/>
      </c>
      <c r="V471" t="str">
        <f t="array" ref="V471">INDEX(P:P,MAX(U$3:U471))</f>
        <v>IO#1DTR(A)</v>
      </c>
      <c r="W471" t="str">
        <f t="shared" ca="1" si="114"/>
        <v/>
      </c>
      <c r="X471">
        <f t="shared" si="115"/>
        <v>22.8</v>
      </c>
      <c r="Y471">
        <f t="shared" si="116"/>
        <v>29</v>
      </c>
      <c r="Z471" t="str">
        <f t="shared" si="120"/>
        <v>鹿東</v>
      </c>
    </row>
    <row r="472" spans="1:26" x14ac:dyDescent="0.25">
      <c r="A472" s="118" t="s">
        <v>609</v>
      </c>
      <c r="B472" s="119" t="s">
        <v>612</v>
      </c>
      <c r="C472" s="119">
        <v>62</v>
      </c>
      <c r="D472" s="118" t="s">
        <v>180</v>
      </c>
      <c r="E472" s="118">
        <v>60</v>
      </c>
      <c r="F472" s="118" t="s">
        <v>180</v>
      </c>
      <c r="G472" s="118">
        <v>63</v>
      </c>
      <c r="H472" s="118" t="s">
        <v>180</v>
      </c>
      <c r="I472" s="378">
        <v>63</v>
      </c>
      <c r="J472" s="117">
        <v>0</v>
      </c>
      <c r="K472" s="117" t="s">
        <v>194</v>
      </c>
      <c r="L472" t="str">
        <f t="shared" si="107"/>
        <v>IO53</v>
      </c>
      <c r="M472" t="str">
        <f t="shared" si="117"/>
        <v/>
      </c>
      <c r="N472" t="str">
        <f t="shared" si="118"/>
        <v/>
      </c>
      <c r="O472" t="str">
        <f t="shared" si="119"/>
        <v/>
      </c>
      <c r="P472" s="113" t="str">
        <f t="shared" si="108"/>
        <v>IO53</v>
      </c>
      <c r="Q472" s="114">
        <f t="shared" si="109"/>
        <v>63</v>
      </c>
      <c r="R472" s="114">
        <f t="shared" si="110"/>
        <v>61.666666666666664</v>
      </c>
      <c r="S472" s="113">
        <f t="shared" si="111"/>
        <v>60</v>
      </c>
      <c r="T472" s="111">
        <f t="shared" ca="1" si="112"/>
        <v>2.4900000000000002</v>
      </c>
      <c r="U472" s="111" t="str">
        <f t="shared" si="113"/>
        <v/>
      </c>
      <c r="V472" t="str">
        <f t="array" ref="V472">INDEX(P:P,MAX(U$3:U472))</f>
        <v>IO#1DTR(A)</v>
      </c>
      <c r="W472" t="str">
        <f t="shared" ca="1" si="114"/>
        <v/>
      </c>
      <c r="X472">
        <f t="shared" si="115"/>
        <v>22.8</v>
      </c>
      <c r="Y472">
        <f t="shared" si="116"/>
        <v>63</v>
      </c>
      <c r="Z472" t="str">
        <f t="shared" si="120"/>
        <v>鹿東</v>
      </c>
    </row>
    <row r="473" spans="1:26" x14ac:dyDescent="0.25">
      <c r="A473" s="118" t="s">
        <v>609</v>
      </c>
      <c r="B473" s="119" t="s">
        <v>613</v>
      </c>
      <c r="C473" s="119">
        <v>50</v>
      </c>
      <c r="D473" s="118" t="s">
        <v>192</v>
      </c>
      <c r="E473" s="118">
        <v>48</v>
      </c>
      <c r="F473" s="118" t="s">
        <v>184</v>
      </c>
      <c r="G473" s="118">
        <v>45</v>
      </c>
      <c r="H473" s="118" t="s">
        <v>184</v>
      </c>
      <c r="I473" s="378">
        <v>50</v>
      </c>
      <c r="J473" s="117">
        <v>5</v>
      </c>
      <c r="K473" s="117" t="s">
        <v>180</v>
      </c>
      <c r="L473" t="str">
        <f t="shared" si="107"/>
        <v>IO54</v>
      </c>
      <c r="M473" t="str">
        <f t="shared" si="117"/>
        <v/>
      </c>
      <c r="N473" t="str">
        <f t="shared" si="118"/>
        <v/>
      </c>
      <c r="O473" t="str">
        <f t="shared" si="119"/>
        <v/>
      </c>
      <c r="P473" s="113" t="str">
        <f t="shared" si="108"/>
        <v>IO54</v>
      </c>
      <c r="Q473" s="114">
        <f t="shared" si="109"/>
        <v>50</v>
      </c>
      <c r="R473" s="114">
        <f t="shared" si="110"/>
        <v>47.666666666666664</v>
      </c>
      <c r="S473" s="113">
        <f t="shared" si="111"/>
        <v>45</v>
      </c>
      <c r="T473" s="111">
        <f t="shared" ca="1" si="112"/>
        <v>1.97</v>
      </c>
      <c r="U473" s="111" t="str">
        <f t="shared" si="113"/>
        <v/>
      </c>
      <c r="V473" t="str">
        <f t="array" ref="V473">INDEX(P:P,MAX(U$3:U473))</f>
        <v>IO#1DTR(A)</v>
      </c>
      <c r="W473" t="str">
        <f t="shared" ca="1" si="114"/>
        <v/>
      </c>
      <c r="X473">
        <f t="shared" si="115"/>
        <v>22.8</v>
      </c>
      <c r="Y473">
        <f t="shared" si="116"/>
        <v>50</v>
      </c>
      <c r="Z473" t="str">
        <f t="shared" si="120"/>
        <v>鹿東</v>
      </c>
    </row>
    <row r="474" spans="1:26" x14ac:dyDescent="0.25">
      <c r="A474" s="118" t="s">
        <v>609</v>
      </c>
      <c r="B474" s="119" t="s">
        <v>614</v>
      </c>
      <c r="C474" s="119">
        <v>117</v>
      </c>
      <c r="D474" s="118" t="s">
        <v>180</v>
      </c>
      <c r="E474" s="118">
        <v>119</v>
      </c>
      <c r="F474" s="118" t="s">
        <v>183</v>
      </c>
      <c r="G474" s="118">
        <v>118</v>
      </c>
      <c r="H474" s="118" t="s">
        <v>180</v>
      </c>
      <c r="I474" s="378">
        <v>119</v>
      </c>
      <c r="J474" s="117">
        <v>0</v>
      </c>
      <c r="K474" s="117" t="s">
        <v>194</v>
      </c>
      <c r="L474" t="str">
        <f t="shared" si="107"/>
        <v>IO55</v>
      </c>
      <c r="M474" t="str">
        <f t="shared" si="117"/>
        <v/>
      </c>
      <c r="N474" t="str">
        <f t="shared" si="118"/>
        <v/>
      </c>
      <c r="O474" t="str">
        <f t="shared" si="119"/>
        <v/>
      </c>
      <c r="P474" s="113" t="str">
        <f t="shared" si="108"/>
        <v>IO55</v>
      </c>
      <c r="Q474" s="114">
        <f t="shared" si="109"/>
        <v>119</v>
      </c>
      <c r="R474" s="114">
        <f t="shared" si="110"/>
        <v>118</v>
      </c>
      <c r="S474" s="113">
        <f t="shared" si="111"/>
        <v>117</v>
      </c>
      <c r="T474" s="111">
        <f t="shared" ca="1" si="112"/>
        <v>4.7</v>
      </c>
      <c r="U474" s="111" t="str">
        <f t="shared" si="113"/>
        <v/>
      </c>
      <c r="V474" t="str">
        <f t="array" ref="V474">INDEX(P:P,MAX(U$3:U474))</f>
        <v>IO#1DTR(A)</v>
      </c>
      <c r="W474" t="str">
        <f t="shared" ca="1" si="114"/>
        <v/>
      </c>
      <c r="X474">
        <f t="shared" si="115"/>
        <v>22.8</v>
      </c>
      <c r="Y474">
        <f t="shared" si="116"/>
        <v>119</v>
      </c>
      <c r="Z474" t="str">
        <f t="shared" si="120"/>
        <v>鹿東</v>
      </c>
    </row>
    <row r="475" spans="1:26" x14ac:dyDescent="0.25">
      <c r="A475" s="118" t="s">
        <v>609</v>
      </c>
      <c r="B475" s="119" t="s">
        <v>615</v>
      </c>
      <c r="C475" s="119">
        <v>116</v>
      </c>
      <c r="D475" s="118" t="s">
        <v>198</v>
      </c>
      <c r="E475" s="118">
        <v>103</v>
      </c>
      <c r="F475" s="118" t="s">
        <v>198</v>
      </c>
      <c r="G475" s="118">
        <v>114</v>
      </c>
      <c r="H475" s="118" t="s">
        <v>198</v>
      </c>
      <c r="I475" s="378">
        <v>116</v>
      </c>
      <c r="J475" s="117">
        <v>0</v>
      </c>
      <c r="K475" s="117" t="s">
        <v>194</v>
      </c>
      <c r="L475" t="str">
        <f t="shared" si="107"/>
        <v>IO56</v>
      </c>
      <c r="M475" t="str">
        <f t="shared" si="117"/>
        <v/>
      </c>
      <c r="N475" t="str">
        <f t="shared" si="118"/>
        <v/>
      </c>
      <c r="O475" t="str">
        <f t="shared" si="119"/>
        <v/>
      </c>
      <c r="P475" s="113" t="str">
        <f t="shared" si="108"/>
        <v>IO56</v>
      </c>
      <c r="Q475" s="114">
        <f t="shared" si="109"/>
        <v>116</v>
      </c>
      <c r="R475" s="114">
        <f t="shared" si="110"/>
        <v>111</v>
      </c>
      <c r="S475" s="113">
        <f t="shared" si="111"/>
        <v>103</v>
      </c>
      <c r="T475" s="111">
        <f t="shared" ca="1" si="112"/>
        <v>4.58</v>
      </c>
      <c r="U475" s="111" t="str">
        <f t="shared" si="113"/>
        <v/>
      </c>
      <c r="V475" t="str">
        <f t="array" ref="V475">INDEX(P:P,MAX(U$3:U475))</f>
        <v>IO#1DTR(A)</v>
      </c>
      <c r="W475" t="str">
        <f t="shared" ca="1" si="114"/>
        <v/>
      </c>
      <c r="X475">
        <f t="shared" si="115"/>
        <v>22.8</v>
      </c>
      <c r="Y475">
        <f t="shared" si="116"/>
        <v>116</v>
      </c>
      <c r="Z475" t="str">
        <f t="shared" si="120"/>
        <v>鹿東</v>
      </c>
    </row>
    <row r="476" spans="1:26" x14ac:dyDescent="0.25">
      <c r="A476" s="118" t="s">
        <v>609</v>
      </c>
      <c r="B476" s="119" t="s">
        <v>360</v>
      </c>
      <c r="C476" s="119">
        <v>382</v>
      </c>
      <c r="D476" s="118" t="s">
        <v>177</v>
      </c>
      <c r="E476" s="118">
        <v>360</v>
      </c>
      <c r="F476" s="118" t="s">
        <v>177</v>
      </c>
      <c r="G476" s="118">
        <v>379</v>
      </c>
      <c r="H476" s="118" t="s">
        <v>177</v>
      </c>
      <c r="I476" s="378">
        <v>382</v>
      </c>
      <c r="J476" s="117"/>
      <c r="K476" s="117"/>
      <c r="L476" t="str">
        <f t="shared" si="107"/>
        <v>IO#2DTR</v>
      </c>
      <c r="M476" t="str">
        <f t="shared" si="117"/>
        <v/>
      </c>
      <c r="N476" t="str">
        <f t="shared" si="118"/>
        <v>IO#2DTR</v>
      </c>
      <c r="O476" t="str">
        <f t="shared" si="119"/>
        <v/>
      </c>
      <c r="P476" s="113" t="str">
        <f t="shared" si="108"/>
        <v>IO#2DTR</v>
      </c>
      <c r="Q476" s="114">
        <f t="shared" si="109"/>
        <v>382</v>
      </c>
      <c r="R476" s="114">
        <f t="shared" si="110"/>
        <v>373.66666666666669</v>
      </c>
      <c r="S476" s="113">
        <f t="shared" si="111"/>
        <v>360</v>
      </c>
      <c r="T476" s="111">
        <f t="shared" ca="1" si="112"/>
        <v>15.09</v>
      </c>
      <c r="U476" s="111">
        <f t="shared" si="113"/>
        <v>476</v>
      </c>
      <c r="V476" t="str">
        <f t="array" ref="V476">INDEX(P:P,MAX(U$3:U476))</f>
        <v>IO#2DTR</v>
      </c>
      <c r="W476">
        <f t="shared" ca="1" si="114"/>
        <v>60</v>
      </c>
      <c r="X476" t="str">
        <f t="shared" si="115"/>
        <v/>
      </c>
      <c r="Y476">
        <f t="shared" si="116"/>
        <v>382</v>
      </c>
      <c r="Z476" t="str">
        <f t="shared" si="120"/>
        <v>鹿東</v>
      </c>
    </row>
    <row r="477" spans="1:26" x14ac:dyDescent="0.25">
      <c r="A477" s="118" t="s">
        <v>609</v>
      </c>
      <c r="B477" s="119" t="s">
        <v>616</v>
      </c>
      <c r="C477" s="119">
        <v>139</v>
      </c>
      <c r="D477" s="118" t="s">
        <v>192</v>
      </c>
      <c r="E477" s="118">
        <v>139</v>
      </c>
      <c r="F477" s="118" t="s">
        <v>192</v>
      </c>
      <c r="G477" s="118">
        <v>138</v>
      </c>
      <c r="H477" s="118" t="s">
        <v>192</v>
      </c>
      <c r="I477" s="378">
        <v>139</v>
      </c>
      <c r="J477" s="117">
        <v>0</v>
      </c>
      <c r="K477" s="117" t="s">
        <v>194</v>
      </c>
      <c r="L477" t="str">
        <f t="shared" si="107"/>
        <v>IO61</v>
      </c>
      <c r="M477" t="str">
        <f t="shared" si="117"/>
        <v/>
      </c>
      <c r="N477" t="str">
        <f t="shared" si="118"/>
        <v/>
      </c>
      <c r="O477" t="str">
        <f t="shared" si="119"/>
        <v/>
      </c>
      <c r="P477" s="113" t="str">
        <f t="shared" si="108"/>
        <v>IO61</v>
      </c>
      <c r="Q477" s="114">
        <f t="shared" si="109"/>
        <v>139</v>
      </c>
      <c r="R477" s="114">
        <f t="shared" si="110"/>
        <v>138.66666666666666</v>
      </c>
      <c r="S477" s="113">
        <f t="shared" si="111"/>
        <v>138</v>
      </c>
      <c r="T477" s="111">
        <f t="shared" ca="1" si="112"/>
        <v>5.49</v>
      </c>
      <c r="U477" s="111" t="str">
        <f t="shared" si="113"/>
        <v/>
      </c>
      <c r="V477" t="str">
        <f t="array" ref="V477">INDEX(P:P,MAX(U$3:U477))</f>
        <v>IO#2DTR</v>
      </c>
      <c r="W477" t="str">
        <f t="shared" ca="1" si="114"/>
        <v/>
      </c>
      <c r="X477">
        <f t="shared" si="115"/>
        <v>22.8</v>
      </c>
      <c r="Y477">
        <f t="shared" si="116"/>
        <v>139</v>
      </c>
      <c r="Z477" t="str">
        <f t="shared" si="120"/>
        <v>鹿東</v>
      </c>
    </row>
    <row r="478" spans="1:26" x14ac:dyDescent="0.25">
      <c r="A478" s="118" t="s">
        <v>609</v>
      </c>
      <c r="B478" s="119" t="s">
        <v>617</v>
      </c>
      <c r="C478" s="119">
        <v>164</v>
      </c>
      <c r="D478" s="118" t="s">
        <v>177</v>
      </c>
      <c r="E478" s="118">
        <v>157</v>
      </c>
      <c r="F478" s="118" t="s">
        <v>177</v>
      </c>
      <c r="G478" s="118">
        <v>163</v>
      </c>
      <c r="H478" s="118" t="s">
        <v>177</v>
      </c>
      <c r="I478" s="378">
        <v>164</v>
      </c>
      <c r="J478" s="117">
        <v>0</v>
      </c>
      <c r="K478" s="117" t="s">
        <v>194</v>
      </c>
      <c r="L478" t="str">
        <f t="shared" si="107"/>
        <v>IO64</v>
      </c>
      <c r="M478" t="str">
        <f t="shared" si="117"/>
        <v/>
      </c>
      <c r="N478" t="str">
        <f t="shared" si="118"/>
        <v/>
      </c>
      <c r="O478" t="str">
        <f t="shared" si="119"/>
        <v/>
      </c>
      <c r="P478" s="113" t="str">
        <f t="shared" si="108"/>
        <v>IO64</v>
      </c>
      <c r="Q478" s="114">
        <f t="shared" si="109"/>
        <v>164</v>
      </c>
      <c r="R478" s="114">
        <f t="shared" si="110"/>
        <v>161.33333333333334</v>
      </c>
      <c r="S478" s="113">
        <f t="shared" si="111"/>
        <v>157</v>
      </c>
      <c r="T478" s="111">
        <f t="shared" ca="1" si="112"/>
        <v>6.48</v>
      </c>
      <c r="U478" s="111" t="str">
        <f t="shared" si="113"/>
        <v/>
      </c>
      <c r="V478" t="str">
        <f t="array" ref="V478">INDEX(P:P,MAX(U$3:U478))</f>
        <v>IO#2DTR</v>
      </c>
      <c r="W478" t="str">
        <f t="shared" ca="1" si="114"/>
        <v/>
      </c>
      <c r="X478">
        <f t="shared" si="115"/>
        <v>22.8</v>
      </c>
      <c r="Y478">
        <f t="shared" si="116"/>
        <v>164</v>
      </c>
      <c r="Z478" t="str">
        <f t="shared" si="120"/>
        <v>鹿東</v>
      </c>
    </row>
    <row r="479" spans="1:26" x14ac:dyDescent="0.25">
      <c r="A479" s="118" t="s">
        <v>609</v>
      </c>
      <c r="B479" s="119" t="s">
        <v>618</v>
      </c>
      <c r="C479" s="119">
        <v>107</v>
      </c>
      <c r="D479" s="118" t="s">
        <v>180</v>
      </c>
      <c r="E479" s="118">
        <v>107</v>
      </c>
      <c r="F479" s="118" t="s">
        <v>180</v>
      </c>
      <c r="G479" s="118">
        <v>108</v>
      </c>
      <c r="H479" s="118" t="s">
        <v>180</v>
      </c>
      <c r="I479" s="378">
        <v>108</v>
      </c>
      <c r="J479" s="117">
        <v>0</v>
      </c>
      <c r="K479" s="117" t="s">
        <v>194</v>
      </c>
      <c r="L479" t="str">
        <f t="shared" si="107"/>
        <v>IO65</v>
      </c>
      <c r="M479" t="str">
        <f t="shared" si="117"/>
        <v/>
      </c>
      <c r="N479" t="str">
        <f t="shared" si="118"/>
        <v/>
      </c>
      <c r="O479" t="str">
        <f t="shared" si="119"/>
        <v/>
      </c>
      <c r="P479" s="113" t="str">
        <f t="shared" si="108"/>
        <v>IO65</v>
      </c>
      <c r="Q479" s="114">
        <f t="shared" si="109"/>
        <v>108</v>
      </c>
      <c r="R479" s="114">
        <f t="shared" si="110"/>
        <v>107.33333333333333</v>
      </c>
      <c r="S479" s="113">
        <f t="shared" si="111"/>
        <v>107</v>
      </c>
      <c r="T479" s="111">
        <f t="shared" ca="1" si="112"/>
        <v>4.2699999999999996</v>
      </c>
      <c r="U479" s="111" t="str">
        <f t="shared" si="113"/>
        <v/>
      </c>
      <c r="V479" t="str">
        <f t="array" ref="V479">INDEX(P:P,MAX(U$3:U479))</f>
        <v>IO#2DTR</v>
      </c>
      <c r="W479" t="str">
        <f t="shared" ca="1" si="114"/>
        <v/>
      </c>
      <c r="X479">
        <f t="shared" si="115"/>
        <v>22.8</v>
      </c>
      <c r="Y479">
        <f t="shared" si="116"/>
        <v>108</v>
      </c>
      <c r="Z479" t="str">
        <f t="shared" si="120"/>
        <v>鹿東</v>
      </c>
    </row>
    <row r="480" spans="1:26" x14ac:dyDescent="0.25">
      <c r="A480" s="118" t="s">
        <v>609</v>
      </c>
      <c r="B480" s="119" t="s">
        <v>619</v>
      </c>
      <c r="C480" s="119">
        <v>54</v>
      </c>
      <c r="D480" s="118" t="s">
        <v>211</v>
      </c>
      <c r="E480" s="118">
        <v>53</v>
      </c>
      <c r="F480" s="118" t="s">
        <v>211</v>
      </c>
      <c r="G480" s="118">
        <v>54</v>
      </c>
      <c r="H480" s="118" t="s">
        <v>211</v>
      </c>
      <c r="I480" s="378">
        <v>54</v>
      </c>
      <c r="J480" s="117">
        <v>0</v>
      </c>
      <c r="K480" s="117" t="s">
        <v>194</v>
      </c>
      <c r="L480" t="str">
        <f t="shared" si="107"/>
        <v>IO62</v>
      </c>
      <c r="M480" t="str">
        <f t="shared" si="117"/>
        <v/>
      </c>
      <c r="N480" t="str">
        <f t="shared" si="118"/>
        <v/>
      </c>
      <c r="O480" t="str">
        <f t="shared" si="119"/>
        <v/>
      </c>
      <c r="P480" s="113" t="str">
        <f t="shared" si="108"/>
        <v>IO62</v>
      </c>
      <c r="Q480" s="114">
        <f t="shared" si="109"/>
        <v>54</v>
      </c>
      <c r="R480" s="114">
        <f t="shared" si="110"/>
        <v>53.666666666666664</v>
      </c>
      <c r="S480" s="113">
        <f t="shared" si="111"/>
        <v>53</v>
      </c>
      <c r="T480" s="111">
        <f t="shared" ca="1" si="112"/>
        <v>2.13</v>
      </c>
      <c r="U480" s="111" t="str">
        <f t="shared" si="113"/>
        <v/>
      </c>
      <c r="V480" t="str">
        <f t="array" ref="V480">INDEX(P:P,MAX(U$3:U480))</f>
        <v>IO#2DTR</v>
      </c>
      <c r="W480" t="str">
        <f t="shared" ca="1" si="114"/>
        <v/>
      </c>
      <c r="X480">
        <f t="shared" si="115"/>
        <v>22.8</v>
      </c>
      <c r="Y480">
        <f t="shared" si="116"/>
        <v>54</v>
      </c>
      <c r="Z480" t="str">
        <f t="shared" si="120"/>
        <v>鹿東</v>
      </c>
    </row>
    <row r="481" spans="1:26" x14ac:dyDescent="0.25">
      <c r="A481" s="118" t="s">
        <v>609</v>
      </c>
      <c r="B481" s="119" t="s">
        <v>620</v>
      </c>
      <c r="C481" s="119">
        <v>108</v>
      </c>
      <c r="D481" s="118" t="s">
        <v>192</v>
      </c>
      <c r="E481" s="118">
        <v>107</v>
      </c>
      <c r="F481" s="118" t="s">
        <v>192</v>
      </c>
      <c r="G481" s="118">
        <v>106</v>
      </c>
      <c r="H481" s="118" t="s">
        <v>192</v>
      </c>
      <c r="I481" s="378">
        <v>108</v>
      </c>
      <c r="J481" s="117">
        <v>0</v>
      </c>
      <c r="K481" s="117" t="s">
        <v>194</v>
      </c>
      <c r="L481" t="str">
        <f t="shared" si="107"/>
        <v>IO63</v>
      </c>
      <c r="M481" t="str">
        <f t="shared" si="117"/>
        <v/>
      </c>
      <c r="N481" t="str">
        <f t="shared" si="118"/>
        <v/>
      </c>
      <c r="O481" t="str">
        <f t="shared" si="119"/>
        <v/>
      </c>
      <c r="P481" s="113" t="str">
        <f t="shared" si="108"/>
        <v>IO63</v>
      </c>
      <c r="Q481" s="114">
        <f t="shared" si="109"/>
        <v>108</v>
      </c>
      <c r="R481" s="114">
        <f t="shared" si="110"/>
        <v>107</v>
      </c>
      <c r="S481" s="113">
        <f t="shared" si="111"/>
        <v>106</v>
      </c>
      <c r="T481" s="111">
        <f t="shared" ca="1" si="112"/>
        <v>4.2699999999999996</v>
      </c>
      <c r="U481" s="111" t="str">
        <f t="shared" si="113"/>
        <v/>
      </c>
      <c r="V481" t="str">
        <f t="array" ref="V481">INDEX(P:P,MAX(U$3:U481))</f>
        <v>IO#2DTR</v>
      </c>
      <c r="W481" t="str">
        <f t="shared" ca="1" si="114"/>
        <v/>
      </c>
      <c r="X481">
        <f t="shared" si="115"/>
        <v>22.8</v>
      </c>
      <c r="Y481">
        <f t="shared" si="116"/>
        <v>108</v>
      </c>
      <c r="Z481" t="str">
        <f t="shared" si="120"/>
        <v>鹿東</v>
      </c>
    </row>
    <row r="482" spans="1:26" x14ac:dyDescent="0.25">
      <c r="A482" s="118" t="s">
        <v>609</v>
      </c>
      <c r="B482" s="119" t="s">
        <v>621</v>
      </c>
      <c r="C482" s="119">
        <v>61</v>
      </c>
      <c r="D482" s="118" t="s">
        <v>177</v>
      </c>
      <c r="E482" s="118">
        <v>57</v>
      </c>
      <c r="F482" s="118" t="s">
        <v>179</v>
      </c>
      <c r="G482" s="118">
        <v>67</v>
      </c>
      <c r="H482" s="118" t="s">
        <v>179</v>
      </c>
      <c r="I482" s="378">
        <v>67</v>
      </c>
      <c r="J482" s="117">
        <v>0</v>
      </c>
      <c r="K482" s="117" t="s">
        <v>194</v>
      </c>
      <c r="L482" t="str">
        <f t="shared" si="107"/>
        <v>IO66</v>
      </c>
      <c r="M482" t="str">
        <f t="shared" si="117"/>
        <v/>
      </c>
      <c r="N482" t="str">
        <f t="shared" si="118"/>
        <v/>
      </c>
      <c r="O482" t="str">
        <f t="shared" si="119"/>
        <v/>
      </c>
      <c r="P482" s="113" t="str">
        <f t="shared" si="108"/>
        <v>IO66</v>
      </c>
      <c r="Q482" s="114">
        <f t="shared" si="109"/>
        <v>67</v>
      </c>
      <c r="R482" s="114">
        <f t="shared" si="110"/>
        <v>61.666666666666664</v>
      </c>
      <c r="S482" s="113">
        <f t="shared" si="111"/>
        <v>57</v>
      </c>
      <c r="T482" s="111">
        <f t="shared" ca="1" si="112"/>
        <v>2.65</v>
      </c>
      <c r="U482" s="111" t="str">
        <f t="shared" si="113"/>
        <v/>
      </c>
      <c r="V482" t="str">
        <f t="array" ref="V482">INDEX(P:P,MAX(U$3:U482))</f>
        <v>IO#2DTR</v>
      </c>
      <c r="W482" t="str">
        <f t="shared" ca="1" si="114"/>
        <v/>
      </c>
      <c r="X482">
        <f t="shared" si="115"/>
        <v>22.8</v>
      </c>
      <c r="Y482">
        <f t="shared" si="116"/>
        <v>67</v>
      </c>
      <c r="Z482" t="str">
        <f t="shared" si="120"/>
        <v>鹿東</v>
      </c>
    </row>
    <row r="483" spans="1:26" x14ac:dyDescent="0.25">
      <c r="A483" s="118" t="s">
        <v>609</v>
      </c>
      <c r="B483" s="119" t="s">
        <v>622</v>
      </c>
      <c r="C483" s="119">
        <v>433</v>
      </c>
      <c r="D483" s="118" t="s">
        <v>179</v>
      </c>
      <c r="E483" s="118">
        <v>427</v>
      </c>
      <c r="F483" s="118" t="s">
        <v>179</v>
      </c>
      <c r="G483" s="118">
        <v>430</v>
      </c>
      <c r="H483" s="118" t="s">
        <v>179</v>
      </c>
      <c r="I483" s="378">
        <v>433</v>
      </c>
      <c r="J483" s="117"/>
      <c r="K483" s="117"/>
      <c r="L483" t="str">
        <f t="shared" si="107"/>
        <v>IO#3DTR</v>
      </c>
      <c r="M483" t="str">
        <f t="shared" si="117"/>
        <v/>
      </c>
      <c r="N483" t="str">
        <f t="shared" si="118"/>
        <v>IO#3DTR</v>
      </c>
      <c r="O483" t="str">
        <f t="shared" si="119"/>
        <v/>
      </c>
      <c r="P483" s="113" t="str">
        <f t="shared" si="108"/>
        <v>IO#3DTR</v>
      </c>
      <c r="Q483" s="114">
        <f t="shared" si="109"/>
        <v>433</v>
      </c>
      <c r="R483" s="114">
        <f t="shared" si="110"/>
        <v>430</v>
      </c>
      <c r="S483" s="113">
        <f t="shared" si="111"/>
        <v>427</v>
      </c>
      <c r="T483" s="111">
        <f t="shared" ca="1" si="112"/>
        <v>17.100000000000001</v>
      </c>
      <c r="U483" s="111">
        <f t="shared" si="113"/>
        <v>483</v>
      </c>
      <c r="V483" t="str">
        <f t="array" ref="V483">INDEX(P:P,MAX(U$3:U483))</f>
        <v>IO#3DTR</v>
      </c>
      <c r="W483">
        <f t="shared" ca="1" si="114"/>
        <v>60</v>
      </c>
      <c r="X483" t="str">
        <f t="shared" si="115"/>
        <v/>
      </c>
      <c r="Y483">
        <f t="shared" si="116"/>
        <v>433</v>
      </c>
      <c r="Z483" t="str">
        <f t="shared" si="120"/>
        <v>鹿東</v>
      </c>
    </row>
    <row r="484" spans="1:26" x14ac:dyDescent="0.25">
      <c r="A484" s="118" t="s">
        <v>609</v>
      </c>
      <c r="B484" s="119" t="s">
        <v>623</v>
      </c>
      <c r="C484" s="119">
        <v>122</v>
      </c>
      <c r="D484" s="118" t="s">
        <v>179</v>
      </c>
      <c r="E484" s="118">
        <v>124</v>
      </c>
      <c r="F484" s="118" t="s">
        <v>179</v>
      </c>
      <c r="G484" s="118">
        <v>123</v>
      </c>
      <c r="H484" s="118" t="s">
        <v>179</v>
      </c>
      <c r="I484" s="378">
        <v>124</v>
      </c>
      <c r="J484" s="117">
        <v>0</v>
      </c>
      <c r="K484" s="117" t="s">
        <v>194</v>
      </c>
      <c r="L484" t="str">
        <f t="shared" si="107"/>
        <v>IO76</v>
      </c>
      <c r="M484" t="str">
        <f t="shared" si="117"/>
        <v/>
      </c>
      <c r="N484" t="str">
        <f t="shared" si="118"/>
        <v/>
      </c>
      <c r="O484" t="str">
        <f t="shared" si="119"/>
        <v/>
      </c>
      <c r="P484" s="113" t="str">
        <f t="shared" si="108"/>
        <v>IO76</v>
      </c>
      <c r="Q484" s="114">
        <f t="shared" si="109"/>
        <v>124</v>
      </c>
      <c r="R484" s="114">
        <f t="shared" si="110"/>
        <v>123</v>
      </c>
      <c r="S484" s="113">
        <f t="shared" si="111"/>
        <v>122</v>
      </c>
      <c r="T484" s="111">
        <f t="shared" ca="1" si="112"/>
        <v>4.9000000000000004</v>
      </c>
      <c r="U484" s="111" t="str">
        <f t="shared" si="113"/>
        <v/>
      </c>
      <c r="V484" t="str">
        <f t="array" ref="V484">INDEX(P:P,MAX(U$3:U484))</f>
        <v>IO#3DTR</v>
      </c>
      <c r="W484" t="str">
        <f t="shared" ca="1" si="114"/>
        <v/>
      </c>
      <c r="X484">
        <f t="shared" si="115"/>
        <v>22.8</v>
      </c>
      <c r="Y484">
        <f t="shared" si="116"/>
        <v>124</v>
      </c>
      <c r="Z484" t="str">
        <f t="shared" si="120"/>
        <v>鹿東</v>
      </c>
    </row>
    <row r="485" spans="1:26" x14ac:dyDescent="0.25">
      <c r="A485" s="118" t="s">
        <v>609</v>
      </c>
      <c r="B485" s="119" t="s">
        <v>624</v>
      </c>
      <c r="C485" s="119">
        <v>61</v>
      </c>
      <c r="D485" s="118" t="s">
        <v>194</v>
      </c>
      <c r="E485" s="118">
        <v>62</v>
      </c>
      <c r="F485" s="118" t="s">
        <v>194</v>
      </c>
      <c r="G485" s="118">
        <v>63</v>
      </c>
      <c r="H485" s="118" t="s">
        <v>194</v>
      </c>
      <c r="I485" s="378">
        <v>63</v>
      </c>
      <c r="J485" s="117">
        <v>3</v>
      </c>
      <c r="K485" s="117" t="s">
        <v>180</v>
      </c>
      <c r="L485" t="str">
        <f t="shared" si="107"/>
        <v>IO75</v>
      </c>
      <c r="M485" t="str">
        <f t="shared" si="117"/>
        <v/>
      </c>
      <c r="N485" t="str">
        <f t="shared" si="118"/>
        <v/>
      </c>
      <c r="O485" t="str">
        <f t="shared" si="119"/>
        <v/>
      </c>
      <c r="P485" s="113" t="str">
        <f t="shared" si="108"/>
        <v>IO75</v>
      </c>
      <c r="Q485" s="114">
        <f t="shared" si="109"/>
        <v>63</v>
      </c>
      <c r="R485" s="114">
        <f t="shared" si="110"/>
        <v>62</v>
      </c>
      <c r="S485" s="113">
        <f t="shared" si="111"/>
        <v>61</v>
      </c>
      <c r="T485" s="111">
        <f t="shared" ca="1" si="112"/>
        <v>2.4900000000000002</v>
      </c>
      <c r="U485" s="111" t="str">
        <f t="shared" si="113"/>
        <v/>
      </c>
      <c r="V485" t="str">
        <f t="array" ref="V485">INDEX(P:P,MAX(U$3:U485))</f>
        <v>IO#3DTR</v>
      </c>
      <c r="W485" t="str">
        <f t="shared" ca="1" si="114"/>
        <v/>
      </c>
      <c r="X485">
        <f t="shared" si="115"/>
        <v>22.8</v>
      </c>
      <c r="Y485">
        <f t="shared" si="116"/>
        <v>63</v>
      </c>
      <c r="Z485" t="str">
        <f t="shared" si="120"/>
        <v>鹿東</v>
      </c>
    </row>
    <row r="486" spans="1:26" x14ac:dyDescent="0.25">
      <c r="A486" s="118" t="s">
        <v>609</v>
      </c>
      <c r="B486" s="119" t="s">
        <v>625</v>
      </c>
      <c r="C486" s="119">
        <v>76</v>
      </c>
      <c r="D486" s="118" t="s">
        <v>183</v>
      </c>
      <c r="E486" s="118">
        <v>77</v>
      </c>
      <c r="F486" s="118" t="s">
        <v>183</v>
      </c>
      <c r="G486" s="118">
        <v>79</v>
      </c>
      <c r="H486" s="118" t="s">
        <v>180</v>
      </c>
      <c r="I486" s="378">
        <v>79</v>
      </c>
      <c r="J486" s="117">
        <v>0</v>
      </c>
      <c r="K486" s="117" t="s">
        <v>194</v>
      </c>
      <c r="L486" t="str">
        <f t="shared" si="107"/>
        <v>IO73</v>
      </c>
      <c r="M486" t="str">
        <f t="shared" si="117"/>
        <v/>
      </c>
      <c r="N486" t="str">
        <f t="shared" si="118"/>
        <v/>
      </c>
      <c r="O486" t="str">
        <f t="shared" si="119"/>
        <v/>
      </c>
      <c r="P486" s="113" t="str">
        <f t="shared" si="108"/>
        <v>IO73</v>
      </c>
      <c r="Q486" s="114">
        <f t="shared" si="109"/>
        <v>79</v>
      </c>
      <c r="R486" s="114">
        <f t="shared" si="110"/>
        <v>77.333333333333329</v>
      </c>
      <c r="S486" s="113">
        <f t="shared" si="111"/>
        <v>76</v>
      </c>
      <c r="T486" s="111">
        <f t="shared" ca="1" si="112"/>
        <v>3.12</v>
      </c>
      <c r="U486" s="111" t="str">
        <f t="shared" si="113"/>
        <v/>
      </c>
      <c r="V486" t="str">
        <f t="array" ref="V486">INDEX(P:P,MAX(U$3:U486))</f>
        <v>IO#3DTR</v>
      </c>
      <c r="W486" t="str">
        <f t="shared" ca="1" si="114"/>
        <v/>
      </c>
      <c r="X486">
        <f t="shared" si="115"/>
        <v>22.8</v>
      </c>
      <c r="Y486">
        <f t="shared" si="116"/>
        <v>79</v>
      </c>
      <c r="Z486" t="str">
        <f t="shared" si="120"/>
        <v>鹿東</v>
      </c>
    </row>
    <row r="487" spans="1:26" x14ac:dyDescent="0.25">
      <c r="A487" s="118" t="s">
        <v>609</v>
      </c>
      <c r="B487" s="119" t="s">
        <v>626</v>
      </c>
      <c r="C487" s="119">
        <v>12</v>
      </c>
      <c r="D487" s="118" t="s">
        <v>263</v>
      </c>
      <c r="E487" s="118">
        <v>12</v>
      </c>
      <c r="F487" s="118" t="s">
        <v>263</v>
      </c>
      <c r="G487" s="118">
        <v>12</v>
      </c>
      <c r="H487" s="118" t="s">
        <v>263</v>
      </c>
      <c r="I487" s="378">
        <v>12</v>
      </c>
      <c r="J487" s="117">
        <v>0</v>
      </c>
      <c r="K487" s="117" t="s">
        <v>194</v>
      </c>
      <c r="L487" t="str">
        <f t="shared" si="107"/>
        <v>IO74</v>
      </c>
      <c r="M487" t="str">
        <f t="shared" si="117"/>
        <v/>
      </c>
      <c r="N487" t="str">
        <f t="shared" si="118"/>
        <v/>
      </c>
      <c r="O487" t="str">
        <f t="shared" si="119"/>
        <v/>
      </c>
      <c r="P487" s="113" t="str">
        <f t="shared" si="108"/>
        <v>IO74</v>
      </c>
      <c r="Q487" s="114">
        <f t="shared" si="109"/>
        <v>12</v>
      </c>
      <c r="R487" s="114">
        <f t="shared" si="110"/>
        <v>12</v>
      </c>
      <c r="S487" s="113">
        <f t="shared" si="111"/>
        <v>12</v>
      </c>
      <c r="T487" s="111">
        <f t="shared" ca="1" si="112"/>
        <v>0.47</v>
      </c>
      <c r="U487" s="111" t="str">
        <f t="shared" si="113"/>
        <v/>
      </c>
      <c r="V487" t="str">
        <f t="array" ref="V487">INDEX(P:P,MAX(U$3:U487))</f>
        <v>IO#3DTR</v>
      </c>
      <c r="W487" t="str">
        <f t="shared" ca="1" si="114"/>
        <v/>
      </c>
      <c r="X487">
        <f t="shared" si="115"/>
        <v>22.8</v>
      </c>
      <c r="Y487">
        <f t="shared" si="116"/>
        <v>12</v>
      </c>
      <c r="Z487" t="str">
        <f t="shared" si="120"/>
        <v>鹿東</v>
      </c>
    </row>
    <row r="488" spans="1:26" x14ac:dyDescent="0.25">
      <c r="A488" s="118" t="s">
        <v>609</v>
      </c>
      <c r="B488" s="119" t="s">
        <v>627</v>
      </c>
      <c r="C488" s="119">
        <v>70</v>
      </c>
      <c r="D488" s="118" t="s">
        <v>192</v>
      </c>
      <c r="E488" s="118">
        <v>71</v>
      </c>
      <c r="F488" s="118" t="s">
        <v>192</v>
      </c>
      <c r="G488" s="118">
        <v>70</v>
      </c>
      <c r="H488" s="118" t="s">
        <v>192</v>
      </c>
      <c r="I488" s="378">
        <v>71</v>
      </c>
      <c r="J488" s="117">
        <v>0</v>
      </c>
      <c r="K488" s="117" t="s">
        <v>194</v>
      </c>
      <c r="L488" t="str">
        <f t="shared" si="107"/>
        <v>IO72</v>
      </c>
      <c r="M488" t="str">
        <f t="shared" si="117"/>
        <v/>
      </c>
      <c r="N488" t="str">
        <f t="shared" si="118"/>
        <v/>
      </c>
      <c r="O488" t="str">
        <f t="shared" si="119"/>
        <v/>
      </c>
      <c r="P488" s="113" t="str">
        <f t="shared" si="108"/>
        <v>IO72</v>
      </c>
      <c r="Q488" s="114">
        <f t="shared" si="109"/>
        <v>71</v>
      </c>
      <c r="R488" s="114">
        <f t="shared" si="110"/>
        <v>70.333333333333329</v>
      </c>
      <c r="S488" s="113">
        <f t="shared" si="111"/>
        <v>70</v>
      </c>
      <c r="T488" s="111">
        <f t="shared" ca="1" si="112"/>
        <v>2.8</v>
      </c>
      <c r="U488" s="111" t="str">
        <f t="shared" si="113"/>
        <v/>
      </c>
      <c r="V488" t="str">
        <f t="array" ref="V488">INDEX(P:P,MAX(U$3:U488))</f>
        <v>IO#3DTR</v>
      </c>
      <c r="W488" t="str">
        <f t="shared" ca="1" si="114"/>
        <v/>
      </c>
      <c r="X488">
        <f t="shared" si="115"/>
        <v>22.8</v>
      </c>
      <c r="Y488">
        <f t="shared" si="116"/>
        <v>71</v>
      </c>
      <c r="Z488" t="str">
        <f t="shared" si="120"/>
        <v>鹿東</v>
      </c>
    </row>
    <row r="489" spans="1:26" x14ac:dyDescent="0.25">
      <c r="A489" s="118" t="s">
        <v>609</v>
      </c>
      <c r="B489" s="119" t="s">
        <v>628</v>
      </c>
      <c r="C489" s="119">
        <v>171</v>
      </c>
      <c r="D489" s="118" t="s">
        <v>184</v>
      </c>
      <c r="E489" s="118">
        <v>165</v>
      </c>
      <c r="F489" s="118" t="s">
        <v>184</v>
      </c>
      <c r="G489" s="118">
        <v>172</v>
      </c>
      <c r="H489" s="118" t="s">
        <v>184</v>
      </c>
      <c r="I489" s="378">
        <v>172</v>
      </c>
      <c r="J489" s="117">
        <v>6</v>
      </c>
      <c r="K489" s="117" t="s">
        <v>214</v>
      </c>
      <c r="L489" t="str">
        <f t="shared" si="107"/>
        <v>IO71</v>
      </c>
      <c r="M489" t="str">
        <f t="shared" si="117"/>
        <v/>
      </c>
      <c r="N489" t="str">
        <f t="shared" si="118"/>
        <v/>
      </c>
      <c r="O489" t="str">
        <f t="shared" si="119"/>
        <v/>
      </c>
      <c r="P489" s="113" t="str">
        <f t="shared" si="108"/>
        <v>IO71</v>
      </c>
      <c r="Q489" s="114">
        <f t="shared" si="109"/>
        <v>172</v>
      </c>
      <c r="R489" s="114">
        <f t="shared" si="110"/>
        <v>169.33333333333334</v>
      </c>
      <c r="S489" s="113">
        <f t="shared" si="111"/>
        <v>165</v>
      </c>
      <c r="T489" s="111">
        <f t="shared" ca="1" si="112"/>
        <v>6.79</v>
      </c>
      <c r="U489" s="111" t="str">
        <f t="shared" si="113"/>
        <v/>
      </c>
      <c r="V489" t="str">
        <f t="array" ref="V489">INDEX(P:P,MAX(U$3:U489))</f>
        <v>IO#3DTR</v>
      </c>
      <c r="W489" t="str">
        <f t="shared" ca="1" si="114"/>
        <v/>
      </c>
      <c r="X489">
        <f t="shared" si="115"/>
        <v>22.8</v>
      </c>
      <c r="Y489">
        <f t="shared" si="116"/>
        <v>172</v>
      </c>
      <c r="Z489" t="str">
        <f t="shared" si="120"/>
        <v>鹿東</v>
      </c>
    </row>
    <row r="490" spans="1:26" x14ac:dyDescent="0.25">
      <c r="A490" s="118" t="s">
        <v>609</v>
      </c>
      <c r="B490" s="119" t="s">
        <v>295</v>
      </c>
      <c r="C490" s="119">
        <v>1149</v>
      </c>
      <c r="D490" s="118" t="s">
        <v>177</v>
      </c>
      <c r="E490" s="118">
        <v>1074</v>
      </c>
      <c r="F490" s="118" t="s">
        <v>179</v>
      </c>
      <c r="G490" s="118">
        <v>1063</v>
      </c>
      <c r="H490" s="118" t="s">
        <v>184</v>
      </c>
      <c r="I490" s="378">
        <v>1149</v>
      </c>
      <c r="J490" s="117"/>
      <c r="K490" s="117"/>
      <c r="L490" t="str">
        <f t="shared" si="107"/>
        <v>IO#1DTR(B)</v>
      </c>
      <c r="M490" t="str">
        <f t="shared" si="117"/>
        <v>(B)</v>
      </c>
      <c r="N490" t="str">
        <f t="shared" si="118"/>
        <v>IO#1DTR</v>
      </c>
      <c r="O490" t="str">
        <f t="shared" si="119"/>
        <v>(B)</v>
      </c>
      <c r="P490" s="113" t="str">
        <f t="shared" si="108"/>
        <v>IO#1DTR(B)</v>
      </c>
      <c r="Q490" s="114">
        <f t="shared" si="109"/>
        <v>1149</v>
      </c>
      <c r="R490" s="114">
        <f t="shared" si="110"/>
        <v>1095.3333333333333</v>
      </c>
      <c r="S490" s="113">
        <f t="shared" si="111"/>
        <v>1063</v>
      </c>
      <c r="T490" s="111">
        <f t="shared" ca="1" si="112"/>
        <v>22.69</v>
      </c>
      <c r="U490" s="111">
        <f t="shared" si="113"/>
        <v>490</v>
      </c>
      <c r="V490" t="str">
        <f t="array" ref="V490">INDEX(P:P,MAX(U$3:U490))</f>
        <v>IO#1DTR(B)</v>
      </c>
      <c r="W490">
        <f t="shared" ca="1" si="114"/>
        <v>30</v>
      </c>
      <c r="X490" t="str">
        <f t="shared" si="115"/>
        <v/>
      </c>
      <c r="Y490">
        <f t="shared" si="116"/>
        <v>1149</v>
      </c>
      <c r="Z490" t="str">
        <f t="shared" si="120"/>
        <v>鹿東</v>
      </c>
    </row>
    <row r="491" spans="1:26" x14ac:dyDescent="0.25">
      <c r="A491" s="118" t="s">
        <v>609</v>
      </c>
      <c r="B491" s="119" t="s">
        <v>629</v>
      </c>
      <c r="C491" s="119">
        <v>252</v>
      </c>
      <c r="D491" s="118" t="s">
        <v>188</v>
      </c>
      <c r="E491" s="118">
        <v>221</v>
      </c>
      <c r="F491" s="118" t="s">
        <v>188</v>
      </c>
      <c r="G491" s="118">
        <v>222</v>
      </c>
      <c r="H491" s="118" t="s">
        <v>188</v>
      </c>
      <c r="I491" s="378">
        <v>252</v>
      </c>
      <c r="J491" s="117">
        <v>52</v>
      </c>
      <c r="K491" s="117" t="s">
        <v>177</v>
      </c>
      <c r="L491" t="str">
        <f t="shared" si="107"/>
        <v>IO26</v>
      </c>
      <c r="M491" t="str">
        <f t="shared" si="117"/>
        <v/>
      </c>
      <c r="N491" t="str">
        <f t="shared" si="118"/>
        <v/>
      </c>
      <c r="O491" t="str">
        <f t="shared" si="119"/>
        <v/>
      </c>
      <c r="P491" s="113" t="str">
        <f t="shared" si="108"/>
        <v>IO26</v>
      </c>
      <c r="Q491" s="114">
        <f t="shared" si="109"/>
        <v>252</v>
      </c>
      <c r="R491" s="114">
        <f t="shared" si="110"/>
        <v>231.66666666666666</v>
      </c>
      <c r="S491" s="113">
        <f t="shared" si="111"/>
        <v>221</v>
      </c>
      <c r="T491" s="111">
        <f t="shared" ca="1" si="112"/>
        <v>4.9800000000000004</v>
      </c>
      <c r="U491" s="111" t="str">
        <f t="shared" si="113"/>
        <v/>
      </c>
      <c r="V491" t="str">
        <f t="array" ref="V491">INDEX(P:P,MAX(U$3:U491))</f>
        <v>IO#1DTR(B)</v>
      </c>
      <c r="W491" t="str">
        <f t="shared" ca="1" si="114"/>
        <v/>
      </c>
      <c r="X491">
        <f t="shared" si="115"/>
        <v>11.4</v>
      </c>
      <c r="Y491">
        <f t="shared" si="116"/>
        <v>252</v>
      </c>
      <c r="Z491" t="str">
        <f t="shared" si="120"/>
        <v>鹿東</v>
      </c>
    </row>
    <row r="492" spans="1:26" x14ac:dyDescent="0.25">
      <c r="A492" s="118" t="s">
        <v>609</v>
      </c>
      <c r="B492" s="119" t="s">
        <v>630</v>
      </c>
      <c r="C492" s="119">
        <v>99</v>
      </c>
      <c r="D492" s="118" t="s">
        <v>196</v>
      </c>
      <c r="E492" s="118">
        <v>99</v>
      </c>
      <c r="F492" s="118" t="s">
        <v>179</v>
      </c>
      <c r="G492" s="118">
        <v>90</v>
      </c>
      <c r="H492" s="118" t="s">
        <v>205</v>
      </c>
      <c r="I492" s="378">
        <v>99</v>
      </c>
      <c r="J492" s="117">
        <v>34</v>
      </c>
      <c r="K492" s="117" t="s">
        <v>188</v>
      </c>
      <c r="L492" t="str">
        <f t="shared" si="107"/>
        <v>IO25</v>
      </c>
      <c r="M492" t="str">
        <f t="shared" si="117"/>
        <v/>
      </c>
      <c r="N492" t="str">
        <f t="shared" si="118"/>
        <v/>
      </c>
      <c r="O492" t="str">
        <f t="shared" si="119"/>
        <v/>
      </c>
      <c r="P492" s="113" t="str">
        <f t="shared" si="108"/>
        <v>IO25</v>
      </c>
      <c r="Q492" s="114">
        <f t="shared" si="109"/>
        <v>99</v>
      </c>
      <c r="R492" s="114">
        <f t="shared" si="110"/>
        <v>96</v>
      </c>
      <c r="S492" s="113">
        <f t="shared" si="111"/>
        <v>90</v>
      </c>
      <c r="T492" s="111">
        <f t="shared" ca="1" si="112"/>
        <v>1.95</v>
      </c>
      <c r="U492" s="111" t="str">
        <f t="shared" si="113"/>
        <v/>
      </c>
      <c r="V492" t="str">
        <f t="array" ref="V492">INDEX(P:P,MAX(U$3:U492))</f>
        <v>IO#1DTR(B)</v>
      </c>
      <c r="W492" t="str">
        <f t="shared" ca="1" si="114"/>
        <v/>
      </c>
      <c r="X492">
        <f t="shared" si="115"/>
        <v>11.4</v>
      </c>
      <c r="Y492">
        <f t="shared" si="116"/>
        <v>99</v>
      </c>
      <c r="Z492" t="str">
        <f t="shared" si="120"/>
        <v>鹿東</v>
      </c>
    </row>
    <row r="493" spans="1:26" x14ac:dyDescent="0.25">
      <c r="A493" s="118" t="s">
        <v>609</v>
      </c>
      <c r="B493" s="119" t="s">
        <v>631</v>
      </c>
      <c r="C493" s="119">
        <v>196</v>
      </c>
      <c r="D493" s="118" t="s">
        <v>177</v>
      </c>
      <c r="E493" s="118">
        <v>185</v>
      </c>
      <c r="F493" s="118" t="s">
        <v>177</v>
      </c>
      <c r="G493" s="118">
        <v>169</v>
      </c>
      <c r="H493" s="118" t="s">
        <v>177</v>
      </c>
      <c r="I493" s="378">
        <v>196</v>
      </c>
      <c r="J493" s="117">
        <v>48</v>
      </c>
      <c r="K493" s="117" t="s">
        <v>198</v>
      </c>
      <c r="L493" t="str">
        <f t="shared" si="107"/>
        <v>IO24</v>
      </c>
      <c r="M493" t="str">
        <f t="shared" si="117"/>
        <v/>
      </c>
      <c r="N493" t="str">
        <f t="shared" si="118"/>
        <v/>
      </c>
      <c r="O493" t="str">
        <f t="shared" si="119"/>
        <v/>
      </c>
      <c r="P493" s="113" t="str">
        <f t="shared" si="108"/>
        <v>IO24</v>
      </c>
      <c r="Q493" s="114">
        <f t="shared" si="109"/>
        <v>196</v>
      </c>
      <c r="R493" s="114">
        <f t="shared" si="110"/>
        <v>183.33333333333334</v>
      </c>
      <c r="S493" s="113">
        <f t="shared" si="111"/>
        <v>169</v>
      </c>
      <c r="T493" s="111">
        <f t="shared" ca="1" si="112"/>
        <v>3.87</v>
      </c>
      <c r="U493" s="111" t="str">
        <f t="shared" si="113"/>
        <v/>
      </c>
      <c r="V493" t="str">
        <f t="array" ref="V493">INDEX(P:P,MAX(U$3:U493))</f>
        <v>IO#1DTR(B)</v>
      </c>
      <c r="W493" t="str">
        <f t="shared" ca="1" si="114"/>
        <v/>
      </c>
      <c r="X493">
        <f t="shared" si="115"/>
        <v>11.4</v>
      </c>
      <c r="Y493">
        <f t="shared" si="116"/>
        <v>196</v>
      </c>
      <c r="Z493" t="str">
        <f t="shared" si="120"/>
        <v>鹿東</v>
      </c>
    </row>
    <row r="494" spans="1:26" x14ac:dyDescent="0.25">
      <c r="A494" s="118" t="s">
        <v>609</v>
      </c>
      <c r="B494" s="119" t="s">
        <v>632</v>
      </c>
      <c r="C494" s="119">
        <v>178</v>
      </c>
      <c r="D494" s="118" t="s">
        <v>180</v>
      </c>
      <c r="E494" s="118">
        <v>171</v>
      </c>
      <c r="F494" s="118" t="s">
        <v>176</v>
      </c>
      <c r="G494" s="118">
        <v>216</v>
      </c>
      <c r="H494" s="118" t="s">
        <v>176</v>
      </c>
      <c r="I494" s="378">
        <v>216</v>
      </c>
      <c r="J494" s="117">
        <v>77</v>
      </c>
      <c r="K494" s="117" t="s">
        <v>205</v>
      </c>
      <c r="L494" t="str">
        <f t="shared" si="107"/>
        <v>IO23</v>
      </c>
      <c r="M494" t="str">
        <f t="shared" si="117"/>
        <v/>
      </c>
      <c r="N494" t="str">
        <f t="shared" si="118"/>
        <v/>
      </c>
      <c r="O494" t="str">
        <f t="shared" si="119"/>
        <v/>
      </c>
      <c r="P494" s="113" t="str">
        <f t="shared" si="108"/>
        <v>IO23</v>
      </c>
      <c r="Q494" s="114">
        <f t="shared" si="109"/>
        <v>216</v>
      </c>
      <c r="R494" s="114">
        <f t="shared" si="110"/>
        <v>188.33333333333334</v>
      </c>
      <c r="S494" s="113">
        <f t="shared" si="111"/>
        <v>171</v>
      </c>
      <c r="T494" s="111">
        <f t="shared" ca="1" si="112"/>
        <v>4.2699999999999996</v>
      </c>
      <c r="U494" s="111" t="str">
        <f t="shared" si="113"/>
        <v/>
      </c>
      <c r="V494" t="str">
        <f t="array" ref="V494">INDEX(P:P,MAX(U$3:U494))</f>
        <v>IO#1DTR(B)</v>
      </c>
      <c r="W494" t="str">
        <f t="shared" ca="1" si="114"/>
        <v/>
      </c>
      <c r="X494">
        <f t="shared" si="115"/>
        <v>11.4</v>
      </c>
      <c r="Y494">
        <f t="shared" si="116"/>
        <v>216</v>
      </c>
      <c r="Z494" t="str">
        <f t="shared" si="120"/>
        <v>鹿東</v>
      </c>
    </row>
    <row r="495" spans="1:26" x14ac:dyDescent="0.25">
      <c r="A495" s="118" t="s">
        <v>609</v>
      </c>
      <c r="B495" s="119" t="s">
        <v>633</v>
      </c>
      <c r="C495" s="119">
        <v>269</v>
      </c>
      <c r="D495" s="118" t="s">
        <v>192</v>
      </c>
      <c r="E495" s="118">
        <v>285</v>
      </c>
      <c r="F495" s="118" t="s">
        <v>183</v>
      </c>
      <c r="G495" s="118">
        <v>251</v>
      </c>
      <c r="H495" s="118" t="s">
        <v>192</v>
      </c>
      <c r="I495" s="378">
        <v>285</v>
      </c>
      <c r="J495" s="117">
        <v>81</v>
      </c>
      <c r="K495" s="117" t="s">
        <v>183</v>
      </c>
      <c r="L495" t="str">
        <f t="shared" si="107"/>
        <v>IO22</v>
      </c>
      <c r="M495" t="str">
        <f t="shared" si="117"/>
        <v/>
      </c>
      <c r="N495" t="str">
        <f t="shared" si="118"/>
        <v/>
      </c>
      <c r="O495" t="str">
        <f t="shared" si="119"/>
        <v/>
      </c>
      <c r="P495" s="113" t="str">
        <f t="shared" si="108"/>
        <v>IO22</v>
      </c>
      <c r="Q495" s="114">
        <f t="shared" si="109"/>
        <v>285</v>
      </c>
      <c r="R495" s="114">
        <f t="shared" si="110"/>
        <v>268.33333333333331</v>
      </c>
      <c r="S495" s="113">
        <f t="shared" si="111"/>
        <v>251</v>
      </c>
      <c r="T495" s="111">
        <f t="shared" ca="1" si="112"/>
        <v>5.63</v>
      </c>
      <c r="U495" s="111" t="str">
        <f t="shared" si="113"/>
        <v/>
      </c>
      <c r="V495" t="str">
        <f t="array" ref="V495">INDEX(P:P,MAX(U$3:U495))</f>
        <v>IO#1DTR(B)</v>
      </c>
      <c r="W495" t="str">
        <f t="shared" ca="1" si="114"/>
        <v/>
      </c>
      <c r="X495">
        <f t="shared" si="115"/>
        <v>11.4</v>
      </c>
      <c r="Y495">
        <f t="shared" si="116"/>
        <v>285</v>
      </c>
      <c r="Z495" t="str">
        <f t="shared" si="120"/>
        <v>鹿東</v>
      </c>
    </row>
    <row r="496" spans="1:26" x14ac:dyDescent="0.25">
      <c r="A496" s="118" t="s">
        <v>609</v>
      </c>
      <c r="B496" s="119" t="s">
        <v>634</v>
      </c>
      <c r="C496" s="119">
        <v>210</v>
      </c>
      <c r="D496" s="118" t="s">
        <v>176</v>
      </c>
      <c r="E496" s="118">
        <v>192</v>
      </c>
      <c r="F496" s="118" t="s">
        <v>176</v>
      </c>
      <c r="G496" s="118">
        <v>163</v>
      </c>
      <c r="H496" s="118" t="s">
        <v>180</v>
      </c>
      <c r="I496" s="378">
        <v>210</v>
      </c>
      <c r="J496" s="117">
        <v>61</v>
      </c>
      <c r="K496" s="117" t="s">
        <v>196</v>
      </c>
      <c r="L496" t="str">
        <f t="shared" si="107"/>
        <v>IO21</v>
      </c>
      <c r="M496" t="str">
        <f t="shared" si="117"/>
        <v/>
      </c>
      <c r="N496" t="str">
        <f t="shared" si="118"/>
        <v/>
      </c>
      <c r="O496" t="str">
        <f t="shared" si="119"/>
        <v/>
      </c>
      <c r="P496" s="113" t="str">
        <f t="shared" si="108"/>
        <v>IO21</v>
      </c>
      <c r="Q496" s="114">
        <f t="shared" si="109"/>
        <v>210</v>
      </c>
      <c r="R496" s="114">
        <f t="shared" si="110"/>
        <v>188.33333333333334</v>
      </c>
      <c r="S496" s="113">
        <f t="shared" si="111"/>
        <v>163</v>
      </c>
      <c r="T496" s="111">
        <f t="shared" ca="1" si="112"/>
        <v>4.1500000000000004</v>
      </c>
      <c r="U496" s="111" t="str">
        <f t="shared" si="113"/>
        <v/>
      </c>
      <c r="V496" t="str">
        <f t="array" ref="V496">INDEX(P:P,MAX(U$3:U496))</f>
        <v>IO#1DTR(B)</v>
      </c>
      <c r="W496" t="str">
        <f t="shared" ca="1" si="114"/>
        <v/>
      </c>
      <c r="X496">
        <f t="shared" si="115"/>
        <v>11.4</v>
      </c>
      <c r="Y496">
        <f t="shared" si="116"/>
        <v>210</v>
      </c>
      <c r="Z496" t="str">
        <f t="shared" si="120"/>
        <v>鹿東</v>
      </c>
    </row>
    <row r="497" spans="1:26" x14ac:dyDescent="0.25">
      <c r="A497" s="118" t="s">
        <v>635</v>
      </c>
      <c r="B497" s="119" t="s">
        <v>175</v>
      </c>
      <c r="C497" s="119">
        <v>0</v>
      </c>
      <c r="D497" s="118" t="s">
        <v>194</v>
      </c>
      <c r="E497" s="118">
        <v>0</v>
      </c>
      <c r="F497" s="118" t="s">
        <v>194</v>
      </c>
      <c r="G497" s="118">
        <v>0</v>
      </c>
      <c r="H497" s="118" t="s">
        <v>194</v>
      </c>
      <c r="I497" s="378">
        <v>0</v>
      </c>
      <c r="J497" s="117"/>
      <c r="K497" s="117"/>
      <c r="L497" t="str">
        <f t="shared" si="107"/>
        <v>IB#1MTR</v>
      </c>
      <c r="M497" t="str">
        <f t="shared" si="117"/>
        <v/>
      </c>
      <c r="N497" t="str">
        <f t="shared" si="118"/>
        <v>IB#1MTR</v>
      </c>
      <c r="O497" t="str">
        <f t="shared" si="119"/>
        <v/>
      </c>
      <c r="P497" s="113" t="str">
        <f t="shared" si="108"/>
        <v>IB#1MTR</v>
      </c>
      <c r="Q497" s="114">
        <f t="shared" si="109"/>
        <v>0</v>
      </c>
      <c r="R497" s="114">
        <f t="shared" si="110"/>
        <v>0</v>
      </c>
      <c r="S497" s="113">
        <f t="shared" si="111"/>
        <v>0</v>
      </c>
      <c r="T497" s="111">
        <f t="shared" ca="1" si="112"/>
        <v>0</v>
      </c>
      <c r="U497" s="111">
        <f t="shared" si="113"/>
        <v>497</v>
      </c>
      <c r="V497" t="str">
        <f t="array" ref="V497">INDEX(P:P,MAX(U$3:U497))</f>
        <v>IB#1MTR</v>
      </c>
      <c r="W497">
        <f t="shared" ca="1" si="114"/>
        <v>25</v>
      </c>
      <c r="X497" t="str">
        <f t="shared" si="115"/>
        <v/>
      </c>
      <c r="Y497">
        <f t="shared" si="116"/>
        <v>0</v>
      </c>
      <c r="Z497" t="str">
        <f t="shared" si="120"/>
        <v>鹿港</v>
      </c>
    </row>
    <row r="498" spans="1:26" x14ac:dyDescent="0.25">
      <c r="A498" s="118" t="s">
        <v>635</v>
      </c>
      <c r="B498" s="119" t="s">
        <v>636</v>
      </c>
      <c r="C498" s="119">
        <v>0</v>
      </c>
      <c r="D498" s="118" t="s">
        <v>194</v>
      </c>
      <c r="E498" s="118">
        <v>0</v>
      </c>
      <c r="F498" s="118" t="s">
        <v>194</v>
      </c>
      <c r="G498" s="118">
        <v>0</v>
      </c>
      <c r="H498" s="118" t="s">
        <v>194</v>
      </c>
      <c r="I498" s="378">
        <v>0</v>
      </c>
      <c r="J498" s="117">
        <v>0</v>
      </c>
      <c r="K498" s="117" t="s">
        <v>194</v>
      </c>
      <c r="L498" t="str">
        <f t="shared" si="107"/>
        <v>IB20</v>
      </c>
      <c r="M498" t="str">
        <f t="shared" si="117"/>
        <v/>
      </c>
      <c r="N498" t="str">
        <f t="shared" si="118"/>
        <v/>
      </c>
      <c r="O498" t="str">
        <f t="shared" si="119"/>
        <v/>
      </c>
      <c r="P498" s="113" t="str">
        <f t="shared" si="108"/>
        <v>IB20</v>
      </c>
      <c r="Q498" s="114">
        <f t="shared" si="109"/>
        <v>0</v>
      </c>
      <c r="R498" s="114">
        <f t="shared" si="110"/>
        <v>0</v>
      </c>
      <c r="S498" s="113">
        <f t="shared" si="111"/>
        <v>0</v>
      </c>
      <c r="T498" s="111">
        <f t="shared" ca="1" si="112"/>
        <v>0</v>
      </c>
      <c r="U498" s="111" t="str">
        <f t="shared" si="113"/>
        <v/>
      </c>
      <c r="V498" t="str">
        <f t="array" ref="V498">INDEX(P:P,MAX(U$3:U498))</f>
        <v>IB#1MTR</v>
      </c>
      <c r="W498" t="str">
        <f t="shared" ca="1" si="114"/>
        <v/>
      </c>
      <c r="X498">
        <f t="shared" si="115"/>
        <v>11.4</v>
      </c>
      <c r="Y498">
        <f t="shared" si="116"/>
        <v>0</v>
      </c>
      <c r="Z498" t="str">
        <f t="shared" si="120"/>
        <v>鹿港</v>
      </c>
    </row>
    <row r="499" spans="1:26" x14ac:dyDescent="0.25">
      <c r="A499" s="118" t="s">
        <v>635</v>
      </c>
      <c r="B499" s="119" t="s">
        <v>637</v>
      </c>
      <c r="C499" s="119">
        <v>0</v>
      </c>
      <c r="D499" s="118" t="s">
        <v>194</v>
      </c>
      <c r="E499" s="118">
        <v>0</v>
      </c>
      <c r="F499" s="118" t="s">
        <v>194</v>
      </c>
      <c r="G499" s="118">
        <v>0</v>
      </c>
      <c r="H499" s="118" t="s">
        <v>194</v>
      </c>
      <c r="I499" s="378">
        <v>0</v>
      </c>
      <c r="J499" s="117">
        <v>0</v>
      </c>
      <c r="K499" s="117" t="s">
        <v>194</v>
      </c>
      <c r="L499" t="str">
        <f t="shared" si="107"/>
        <v>IB22</v>
      </c>
      <c r="M499" t="str">
        <f t="shared" si="117"/>
        <v/>
      </c>
      <c r="N499" t="str">
        <f t="shared" si="118"/>
        <v/>
      </c>
      <c r="O499" t="str">
        <f t="shared" si="119"/>
        <v/>
      </c>
      <c r="P499" s="113" t="str">
        <f t="shared" si="108"/>
        <v>IB22</v>
      </c>
      <c r="Q499" s="114">
        <f t="shared" si="109"/>
        <v>0</v>
      </c>
      <c r="R499" s="114">
        <f t="shared" si="110"/>
        <v>0</v>
      </c>
      <c r="S499" s="113">
        <f t="shared" si="111"/>
        <v>0</v>
      </c>
      <c r="T499" s="111">
        <f t="shared" ca="1" si="112"/>
        <v>0</v>
      </c>
      <c r="U499" s="111" t="str">
        <f t="shared" si="113"/>
        <v/>
      </c>
      <c r="V499" t="str">
        <f t="array" ref="V499">INDEX(P:P,MAX(U$3:U499))</f>
        <v>IB#1MTR</v>
      </c>
      <c r="W499" t="str">
        <f t="shared" ca="1" si="114"/>
        <v/>
      </c>
      <c r="X499">
        <f t="shared" si="115"/>
        <v>11.4</v>
      </c>
      <c r="Y499">
        <f t="shared" si="116"/>
        <v>0</v>
      </c>
      <c r="Z499" t="str">
        <f t="shared" si="120"/>
        <v>鹿港</v>
      </c>
    </row>
    <row r="500" spans="1:26" x14ac:dyDescent="0.25">
      <c r="A500" s="118" t="s">
        <v>635</v>
      </c>
      <c r="B500" s="119" t="s">
        <v>638</v>
      </c>
      <c r="C500" s="119">
        <v>0</v>
      </c>
      <c r="D500" s="118" t="s">
        <v>194</v>
      </c>
      <c r="E500" s="118">
        <v>0</v>
      </c>
      <c r="F500" s="118" t="s">
        <v>194</v>
      </c>
      <c r="G500" s="118">
        <v>0</v>
      </c>
      <c r="H500" s="118" t="s">
        <v>194</v>
      </c>
      <c r="I500" s="378">
        <v>0</v>
      </c>
      <c r="J500" s="117">
        <v>0</v>
      </c>
      <c r="K500" s="117" t="s">
        <v>194</v>
      </c>
      <c r="L500" t="str">
        <f t="shared" si="107"/>
        <v>IB30</v>
      </c>
      <c r="M500" t="str">
        <f t="shared" si="117"/>
        <v/>
      </c>
      <c r="N500" t="str">
        <f t="shared" si="118"/>
        <v/>
      </c>
      <c r="O500" t="str">
        <f t="shared" si="119"/>
        <v/>
      </c>
      <c r="P500" s="113" t="str">
        <f t="shared" si="108"/>
        <v>IB30</v>
      </c>
      <c r="Q500" s="114">
        <f t="shared" si="109"/>
        <v>0</v>
      </c>
      <c r="R500" s="114">
        <f t="shared" si="110"/>
        <v>0</v>
      </c>
      <c r="S500" s="113">
        <f t="shared" si="111"/>
        <v>0</v>
      </c>
      <c r="T500" s="111">
        <f t="shared" ca="1" si="112"/>
        <v>0</v>
      </c>
      <c r="U500" s="111" t="str">
        <f t="shared" si="113"/>
        <v/>
      </c>
      <c r="V500" t="str">
        <f t="array" ref="V500">INDEX(P:P,MAX(U$3:U500))</f>
        <v>IB#1MTR</v>
      </c>
      <c r="W500" t="str">
        <f t="shared" ca="1" si="114"/>
        <v/>
      </c>
      <c r="X500">
        <f t="shared" si="115"/>
        <v>11.4</v>
      </c>
      <c r="Y500">
        <f t="shared" si="116"/>
        <v>0</v>
      </c>
      <c r="Z500" t="str">
        <f t="shared" si="120"/>
        <v>鹿港</v>
      </c>
    </row>
    <row r="501" spans="1:26" x14ac:dyDescent="0.25">
      <c r="A501" s="118" t="s">
        <v>635</v>
      </c>
      <c r="B501" s="119" t="s">
        <v>639</v>
      </c>
      <c r="C501" s="119">
        <v>0</v>
      </c>
      <c r="D501" s="118" t="s">
        <v>194</v>
      </c>
      <c r="E501" s="118">
        <v>0</v>
      </c>
      <c r="F501" s="118" t="s">
        <v>194</v>
      </c>
      <c r="G501" s="118">
        <v>0</v>
      </c>
      <c r="H501" s="118" t="s">
        <v>194</v>
      </c>
      <c r="I501" s="378">
        <v>0</v>
      </c>
      <c r="J501" s="117">
        <v>0</v>
      </c>
      <c r="K501" s="117" t="s">
        <v>194</v>
      </c>
      <c r="L501" t="str">
        <f t="shared" si="107"/>
        <v>IB31</v>
      </c>
      <c r="M501" t="str">
        <f t="shared" si="117"/>
        <v/>
      </c>
      <c r="N501" t="str">
        <f t="shared" si="118"/>
        <v/>
      </c>
      <c r="O501" t="str">
        <f t="shared" si="119"/>
        <v/>
      </c>
      <c r="P501" s="113" t="str">
        <f t="shared" si="108"/>
        <v>IB31</v>
      </c>
      <c r="Q501" s="114">
        <f t="shared" si="109"/>
        <v>0</v>
      </c>
      <c r="R501" s="114">
        <f t="shared" si="110"/>
        <v>0</v>
      </c>
      <c r="S501" s="113">
        <f t="shared" si="111"/>
        <v>0</v>
      </c>
      <c r="T501" s="111">
        <f t="shared" ca="1" si="112"/>
        <v>0</v>
      </c>
      <c r="U501" s="111" t="str">
        <f t="shared" si="113"/>
        <v/>
      </c>
      <c r="V501" t="str">
        <f t="array" ref="V501">INDEX(P:P,MAX(U$3:U501))</f>
        <v>IB#1MTR</v>
      </c>
      <c r="W501" t="str">
        <f t="shared" ca="1" si="114"/>
        <v/>
      </c>
      <c r="X501">
        <f t="shared" si="115"/>
        <v>11.4</v>
      </c>
      <c r="Y501">
        <f t="shared" si="116"/>
        <v>0</v>
      </c>
      <c r="Z501" t="str">
        <f t="shared" si="120"/>
        <v>鹿港</v>
      </c>
    </row>
    <row r="502" spans="1:26" x14ac:dyDescent="0.25">
      <c r="A502" s="118" t="s">
        <v>635</v>
      </c>
      <c r="B502" s="119" t="s">
        <v>640</v>
      </c>
      <c r="C502" s="119">
        <v>0</v>
      </c>
      <c r="D502" s="118" t="s">
        <v>194</v>
      </c>
      <c r="E502" s="118">
        <v>0</v>
      </c>
      <c r="F502" s="118" t="s">
        <v>194</v>
      </c>
      <c r="G502" s="118">
        <v>0</v>
      </c>
      <c r="H502" s="118" t="s">
        <v>194</v>
      </c>
      <c r="I502" s="378">
        <v>0</v>
      </c>
      <c r="J502" s="117">
        <v>0</v>
      </c>
      <c r="K502" s="117" t="s">
        <v>194</v>
      </c>
      <c r="L502" t="str">
        <f t="shared" si="107"/>
        <v>IB21</v>
      </c>
      <c r="M502" t="str">
        <f t="shared" si="117"/>
        <v/>
      </c>
      <c r="N502" t="str">
        <f t="shared" si="118"/>
        <v/>
      </c>
      <c r="O502" t="str">
        <f t="shared" si="119"/>
        <v/>
      </c>
      <c r="P502" s="113" t="str">
        <f t="shared" si="108"/>
        <v>IB21</v>
      </c>
      <c r="Q502" s="114">
        <f t="shared" si="109"/>
        <v>0</v>
      </c>
      <c r="R502" s="114">
        <f t="shared" si="110"/>
        <v>0</v>
      </c>
      <c r="S502" s="113">
        <f t="shared" si="111"/>
        <v>0</v>
      </c>
      <c r="T502" s="111">
        <f t="shared" ca="1" si="112"/>
        <v>0</v>
      </c>
      <c r="U502" s="111" t="str">
        <f t="shared" si="113"/>
        <v/>
      </c>
      <c r="V502" t="str">
        <f t="array" ref="V502">INDEX(P:P,MAX(U$3:U502))</f>
        <v>IB#1MTR</v>
      </c>
      <c r="W502" t="str">
        <f t="shared" ca="1" si="114"/>
        <v/>
      </c>
      <c r="X502">
        <f t="shared" si="115"/>
        <v>11.4</v>
      </c>
      <c r="Y502">
        <f t="shared" si="116"/>
        <v>0</v>
      </c>
      <c r="Z502" t="str">
        <f t="shared" si="120"/>
        <v>鹿港</v>
      </c>
    </row>
    <row r="503" spans="1:26" x14ac:dyDescent="0.25">
      <c r="A503" s="118" t="s">
        <v>635</v>
      </c>
      <c r="B503" s="119" t="s">
        <v>187</v>
      </c>
      <c r="C503" s="119">
        <v>0</v>
      </c>
      <c r="D503" s="118" t="s">
        <v>194</v>
      </c>
      <c r="E503" s="118">
        <v>0</v>
      </c>
      <c r="F503" s="118" t="s">
        <v>194</v>
      </c>
      <c r="G503" s="118">
        <v>0</v>
      </c>
      <c r="H503" s="118" t="s">
        <v>194</v>
      </c>
      <c r="I503" s="378">
        <v>0</v>
      </c>
      <c r="J503" s="117"/>
      <c r="K503" s="117"/>
      <c r="L503" t="str">
        <f t="shared" si="107"/>
        <v>IB#2MTR</v>
      </c>
      <c r="M503" t="str">
        <f t="shared" si="117"/>
        <v/>
      </c>
      <c r="N503" t="str">
        <f t="shared" si="118"/>
        <v>IB#2MTR</v>
      </c>
      <c r="O503" t="str">
        <f t="shared" si="119"/>
        <v/>
      </c>
      <c r="P503" s="113" t="str">
        <f t="shared" si="108"/>
        <v>IB#2MTR</v>
      </c>
      <c r="Q503" s="114">
        <f t="shared" si="109"/>
        <v>0</v>
      </c>
      <c r="R503" s="114">
        <f t="shared" si="110"/>
        <v>0</v>
      </c>
      <c r="S503" s="113">
        <f t="shared" si="111"/>
        <v>0</v>
      </c>
      <c r="T503" s="111">
        <f t="shared" ca="1" si="112"/>
        <v>0</v>
      </c>
      <c r="U503" s="111">
        <f t="shared" si="113"/>
        <v>503</v>
      </c>
      <c r="V503" t="str">
        <f t="array" ref="V503">INDEX(P:P,MAX(U$3:U503))</f>
        <v>IB#2MTR</v>
      </c>
      <c r="W503">
        <f t="shared" ca="1" si="114"/>
        <v>25</v>
      </c>
      <c r="X503" t="str">
        <f t="shared" si="115"/>
        <v/>
      </c>
      <c r="Y503">
        <f t="shared" si="116"/>
        <v>0</v>
      </c>
      <c r="Z503" t="str">
        <f t="shared" si="120"/>
        <v>鹿港</v>
      </c>
    </row>
    <row r="504" spans="1:26" x14ac:dyDescent="0.25">
      <c r="A504" s="118" t="s">
        <v>635</v>
      </c>
      <c r="B504" s="119" t="s">
        <v>641</v>
      </c>
      <c r="C504" s="119">
        <v>0</v>
      </c>
      <c r="D504" s="118" t="s">
        <v>194</v>
      </c>
      <c r="E504" s="118">
        <v>0</v>
      </c>
      <c r="F504" s="118" t="s">
        <v>194</v>
      </c>
      <c r="G504" s="118">
        <v>0</v>
      </c>
      <c r="H504" s="118" t="s">
        <v>194</v>
      </c>
      <c r="I504" s="378">
        <v>0</v>
      </c>
      <c r="J504" s="117">
        <v>0</v>
      </c>
      <c r="K504" s="117" t="s">
        <v>194</v>
      </c>
      <c r="L504" t="str">
        <f t="shared" si="107"/>
        <v>IB28</v>
      </c>
      <c r="M504" t="str">
        <f t="shared" si="117"/>
        <v/>
      </c>
      <c r="N504" t="str">
        <f t="shared" si="118"/>
        <v/>
      </c>
      <c r="O504" t="str">
        <f t="shared" si="119"/>
        <v/>
      </c>
      <c r="P504" s="113" t="str">
        <f t="shared" si="108"/>
        <v>IB28</v>
      </c>
      <c r="Q504" s="114">
        <f t="shared" si="109"/>
        <v>0</v>
      </c>
      <c r="R504" s="114">
        <f t="shared" si="110"/>
        <v>0</v>
      </c>
      <c r="S504" s="113">
        <f t="shared" si="111"/>
        <v>0</v>
      </c>
      <c r="T504" s="111">
        <f t="shared" ca="1" si="112"/>
        <v>0</v>
      </c>
      <c r="U504" s="111" t="str">
        <f t="shared" si="113"/>
        <v/>
      </c>
      <c r="V504" t="str">
        <f t="array" ref="V504">INDEX(P:P,MAX(U$3:U504))</f>
        <v>IB#2MTR</v>
      </c>
      <c r="W504" t="str">
        <f t="shared" ca="1" si="114"/>
        <v/>
      </c>
      <c r="X504">
        <f t="shared" si="115"/>
        <v>11.4</v>
      </c>
      <c r="Y504">
        <f t="shared" si="116"/>
        <v>0</v>
      </c>
      <c r="Z504" t="str">
        <f t="shared" si="120"/>
        <v>鹿港</v>
      </c>
    </row>
    <row r="505" spans="1:26" x14ac:dyDescent="0.25">
      <c r="A505" s="118" t="s">
        <v>635</v>
      </c>
      <c r="B505" s="119" t="s">
        <v>642</v>
      </c>
      <c r="C505" s="119">
        <v>0</v>
      </c>
      <c r="D505" s="118" t="s">
        <v>194</v>
      </c>
      <c r="E505" s="118">
        <v>0</v>
      </c>
      <c r="F505" s="118" t="s">
        <v>194</v>
      </c>
      <c r="G505" s="118">
        <v>0</v>
      </c>
      <c r="H505" s="118" t="s">
        <v>194</v>
      </c>
      <c r="I505" s="378">
        <v>0</v>
      </c>
      <c r="J505" s="117">
        <v>0</v>
      </c>
      <c r="K505" s="117" t="s">
        <v>194</v>
      </c>
      <c r="L505" t="str">
        <f t="shared" si="107"/>
        <v>IB25</v>
      </c>
      <c r="M505" t="str">
        <f t="shared" si="117"/>
        <v/>
      </c>
      <c r="N505" t="str">
        <f t="shared" si="118"/>
        <v/>
      </c>
      <c r="O505" t="str">
        <f t="shared" si="119"/>
        <v/>
      </c>
      <c r="P505" s="113" t="str">
        <f t="shared" si="108"/>
        <v>IB25</v>
      </c>
      <c r="Q505" s="114">
        <f t="shared" si="109"/>
        <v>0</v>
      </c>
      <c r="R505" s="114">
        <f t="shared" si="110"/>
        <v>0</v>
      </c>
      <c r="S505" s="113">
        <f t="shared" si="111"/>
        <v>0</v>
      </c>
      <c r="T505" s="111">
        <f t="shared" ca="1" si="112"/>
        <v>0</v>
      </c>
      <c r="U505" s="111" t="str">
        <f t="shared" si="113"/>
        <v/>
      </c>
      <c r="V505" t="str">
        <f t="array" ref="V505">INDEX(P:P,MAX(U$3:U505))</f>
        <v>IB#2MTR</v>
      </c>
      <c r="W505" t="str">
        <f t="shared" ca="1" si="114"/>
        <v/>
      </c>
      <c r="X505">
        <f t="shared" si="115"/>
        <v>11.4</v>
      </c>
      <c r="Y505">
        <f t="shared" si="116"/>
        <v>0</v>
      </c>
      <c r="Z505" t="str">
        <f t="shared" si="120"/>
        <v>鹿港</v>
      </c>
    </row>
    <row r="506" spans="1:26" x14ac:dyDescent="0.25">
      <c r="A506" s="118" t="s">
        <v>635</v>
      </c>
      <c r="B506" s="119" t="s">
        <v>643</v>
      </c>
      <c r="C506" s="119">
        <v>0</v>
      </c>
      <c r="D506" s="118" t="s">
        <v>194</v>
      </c>
      <c r="E506" s="118">
        <v>0</v>
      </c>
      <c r="F506" s="118" t="s">
        <v>194</v>
      </c>
      <c r="G506" s="118">
        <v>0</v>
      </c>
      <c r="H506" s="118" t="s">
        <v>194</v>
      </c>
      <c r="I506" s="378">
        <v>0</v>
      </c>
      <c r="J506" s="117">
        <v>0</v>
      </c>
      <c r="K506" s="117" t="s">
        <v>194</v>
      </c>
      <c r="L506" t="str">
        <f t="shared" si="107"/>
        <v>IB33</v>
      </c>
      <c r="M506" t="str">
        <f t="shared" si="117"/>
        <v/>
      </c>
      <c r="N506" t="str">
        <f t="shared" si="118"/>
        <v/>
      </c>
      <c r="O506" t="str">
        <f t="shared" si="119"/>
        <v/>
      </c>
      <c r="P506" s="113" t="str">
        <f t="shared" si="108"/>
        <v>IB33</v>
      </c>
      <c r="Q506" s="114">
        <f t="shared" si="109"/>
        <v>0</v>
      </c>
      <c r="R506" s="114">
        <f t="shared" si="110"/>
        <v>0</v>
      </c>
      <c r="S506" s="113">
        <f t="shared" si="111"/>
        <v>0</v>
      </c>
      <c r="T506" s="111">
        <f t="shared" ca="1" si="112"/>
        <v>0</v>
      </c>
      <c r="U506" s="111" t="str">
        <f t="shared" si="113"/>
        <v/>
      </c>
      <c r="V506" t="str">
        <f t="array" ref="V506">INDEX(P:P,MAX(U$3:U506))</f>
        <v>IB#2MTR</v>
      </c>
      <c r="W506" t="str">
        <f t="shared" ca="1" si="114"/>
        <v/>
      </c>
      <c r="X506">
        <f t="shared" si="115"/>
        <v>11.4</v>
      </c>
      <c r="Y506">
        <f t="shared" si="116"/>
        <v>0</v>
      </c>
      <c r="Z506" t="str">
        <f t="shared" si="120"/>
        <v>鹿港</v>
      </c>
    </row>
    <row r="507" spans="1:26" x14ac:dyDescent="0.25">
      <c r="A507" s="118" t="s">
        <v>635</v>
      </c>
      <c r="B507" s="119" t="s">
        <v>644</v>
      </c>
      <c r="C507" s="119">
        <v>0</v>
      </c>
      <c r="D507" s="118" t="s">
        <v>194</v>
      </c>
      <c r="E507" s="118">
        <v>0</v>
      </c>
      <c r="F507" s="118" t="s">
        <v>194</v>
      </c>
      <c r="G507" s="118">
        <v>0</v>
      </c>
      <c r="H507" s="118" t="s">
        <v>194</v>
      </c>
      <c r="I507" s="378">
        <v>0</v>
      </c>
      <c r="J507" s="117">
        <v>0</v>
      </c>
      <c r="K507" s="117" t="s">
        <v>194</v>
      </c>
      <c r="L507" t="str">
        <f t="shared" si="107"/>
        <v>IB27</v>
      </c>
      <c r="M507" t="str">
        <f t="shared" si="117"/>
        <v/>
      </c>
      <c r="N507" t="str">
        <f t="shared" si="118"/>
        <v/>
      </c>
      <c r="O507" t="str">
        <f t="shared" si="119"/>
        <v/>
      </c>
      <c r="P507" s="113" t="str">
        <f t="shared" si="108"/>
        <v>IB27</v>
      </c>
      <c r="Q507" s="114">
        <f t="shared" si="109"/>
        <v>0</v>
      </c>
      <c r="R507" s="114">
        <f t="shared" si="110"/>
        <v>0</v>
      </c>
      <c r="S507" s="113">
        <f t="shared" si="111"/>
        <v>0</v>
      </c>
      <c r="T507" s="111">
        <f t="shared" ca="1" si="112"/>
        <v>0</v>
      </c>
      <c r="U507" s="111" t="str">
        <f t="shared" si="113"/>
        <v/>
      </c>
      <c r="V507" t="str">
        <f t="array" ref="V507">INDEX(P:P,MAX(U$3:U507))</f>
        <v>IB#2MTR</v>
      </c>
      <c r="W507" t="str">
        <f t="shared" ca="1" si="114"/>
        <v/>
      </c>
      <c r="X507">
        <f t="shared" si="115"/>
        <v>11.4</v>
      </c>
      <c r="Y507">
        <f t="shared" si="116"/>
        <v>0</v>
      </c>
      <c r="Z507" t="str">
        <f t="shared" si="120"/>
        <v>鹿港</v>
      </c>
    </row>
    <row r="508" spans="1:26" x14ac:dyDescent="0.25">
      <c r="A508" s="118" t="s">
        <v>635</v>
      </c>
      <c r="B508" s="119" t="s">
        <v>645</v>
      </c>
      <c r="C508" s="119">
        <v>0</v>
      </c>
      <c r="D508" s="118" t="s">
        <v>194</v>
      </c>
      <c r="E508" s="118">
        <v>0</v>
      </c>
      <c r="F508" s="118" t="s">
        <v>194</v>
      </c>
      <c r="G508" s="118">
        <v>0</v>
      </c>
      <c r="H508" s="118" t="s">
        <v>194</v>
      </c>
      <c r="I508" s="378">
        <v>0</v>
      </c>
      <c r="J508" s="117">
        <v>0</v>
      </c>
      <c r="K508" s="117" t="s">
        <v>194</v>
      </c>
      <c r="L508" t="str">
        <f t="shared" si="107"/>
        <v>IB24</v>
      </c>
      <c r="M508" t="str">
        <f t="shared" si="117"/>
        <v/>
      </c>
      <c r="N508" t="str">
        <f t="shared" si="118"/>
        <v/>
      </c>
      <c r="O508" t="str">
        <f t="shared" si="119"/>
        <v/>
      </c>
      <c r="P508" s="113" t="str">
        <f t="shared" si="108"/>
        <v>IB24</v>
      </c>
      <c r="Q508" s="114">
        <f t="shared" si="109"/>
        <v>0</v>
      </c>
      <c r="R508" s="114">
        <f t="shared" si="110"/>
        <v>0</v>
      </c>
      <c r="S508" s="113">
        <f t="shared" si="111"/>
        <v>0</v>
      </c>
      <c r="T508" s="111">
        <f t="shared" ca="1" si="112"/>
        <v>0</v>
      </c>
      <c r="U508" s="111" t="str">
        <f t="shared" si="113"/>
        <v/>
      </c>
      <c r="V508" t="str">
        <f t="array" ref="V508">INDEX(P:P,MAX(U$3:U508))</f>
        <v>IB#2MTR</v>
      </c>
      <c r="W508" t="str">
        <f t="shared" ca="1" si="114"/>
        <v/>
      </c>
      <c r="X508">
        <f t="shared" si="115"/>
        <v>11.4</v>
      </c>
      <c r="Y508">
        <f t="shared" si="116"/>
        <v>0</v>
      </c>
      <c r="Z508" t="str">
        <f t="shared" si="120"/>
        <v>鹿港</v>
      </c>
    </row>
    <row r="509" spans="1:26" x14ac:dyDescent="0.25">
      <c r="A509" s="118" t="s">
        <v>635</v>
      </c>
      <c r="B509" s="119" t="s">
        <v>197</v>
      </c>
      <c r="C509" s="119">
        <v>0</v>
      </c>
      <c r="D509" s="118" t="s">
        <v>194</v>
      </c>
      <c r="E509" s="118">
        <v>0</v>
      </c>
      <c r="F509" s="118" t="s">
        <v>194</v>
      </c>
      <c r="G509" s="118">
        <v>0</v>
      </c>
      <c r="H509" s="118" t="s">
        <v>194</v>
      </c>
      <c r="I509" s="378">
        <v>0</v>
      </c>
      <c r="J509" s="117"/>
      <c r="K509" s="117"/>
      <c r="L509" t="str">
        <f t="shared" si="107"/>
        <v>IB#3MTR</v>
      </c>
      <c r="M509" t="str">
        <f t="shared" si="117"/>
        <v/>
      </c>
      <c r="N509" t="str">
        <f t="shared" si="118"/>
        <v>IB#3MTR</v>
      </c>
      <c r="O509" t="str">
        <f t="shared" si="119"/>
        <v/>
      </c>
      <c r="P509" s="113" t="str">
        <f t="shared" si="108"/>
        <v>IB#3MTR</v>
      </c>
      <c r="Q509" s="114">
        <f t="shared" si="109"/>
        <v>0</v>
      </c>
      <c r="R509" s="114">
        <f t="shared" si="110"/>
        <v>0</v>
      </c>
      <c r="S509" s="113">
        <f t="shared" si="111"/>
        <v>0</v>
      </c>
      <c r="T509" s="111">
        <f t="shared" ca="1" si="112"/>
        <v>0</v>
      </c>
      <c r="U509" s="111">
        <f t="shared" si="113"/>
        <v>509</v>
      </c>
      <c r="V509" t="str">
        <f t="array" ref="V509">INDEX(P:P,MAX(U$3:U509))</f>
        <v>IB#3MTR</v>
      </c>
      <c r="W509">
        <f t="shared" ca="1" si="114"/>
        <v>25</v>
      </c>
      <c r="X509" t="str">
        <f t="shared" si="115"/>
        <v/>
      </c>
      <c r="Y509">
        <f t="shared" si="116"/>
        <v>0</v>
      </c>
      <c r="Z509" t="str">
        <f t="shared" si="120"/>
        <v>鹿港</v>
      </c>
    </row>
    <row r="510" spans="1:26" x14ac:dyDescent="0.25">
      <c r="A510" s="118" t="s">
        <v>635</v>
      </c>
      <c r="B510" s="119" t="s">
        <v>646</v>
      </c>
      <c r="C510" s="119">
        <v>0</v>
      </c>
      <c r="D510" s="118" t="s">
        <v>194</v>
      </c>
      <c r="E510" s="118">
        <v>0</v>
      </c>
      <c r="F510" s="118" t="s">
        <v>194</v>
      </c>
      <c r="G510" s="118">
        <v>0</v>
      </c>
      <c r="H510" s="118" t="s">
        <v>194</v>
      </c>
      <c r="I510" s="378">
        <v>0</v>
      </c>
      <c r="J510" s="117">
        <v>0</v>
      </c>
      <c r="K510" s="117" t="s">
        <v>194</v>
      </c>
      <c r="L510" t="str">
        <f t="shared" si="107"/>
        <v>IB34</v>
      </c>
      <c r="M510" t="str">
        <f t="shared" si="117"/>
        <v/>
      </c>
      <c r="N510" t="str">
        <f t="shared" si="118"/>
        <v/>
      </c>
      <c r="O510" t="str">
        <f t="shared" si="119"/>
        <v/>
      </c>
      <c r="P510" s="113" t="str">
        <f t="shared" si="108"/>
        <v>IB34</v>
      </c>
      <c r="Q510" s="114">
        <f t="shared" si="109"/>
        <v>0</v>
      </c>
      <c r="R510" s="114">
        <f t="shared" si="110"/>
        <v>0</v>
      </c>
      <c r="S510" s="113">
        <f t="shared" si="111"/>
        <v>0</v>
      </c>
      <c r="T510" s="111">
        <f t="shared" ca="1" si="112"/>
        <v>0</v>
      </c>
      <c r="U510" s="111" t="str">
        <f t="shared" si="113"/>
        <v/>
      </c>
      <c r="V510" t="str">
        <f t="array" ref="V510">INDEX(P:P,MAX(U$3:U510))</f>
        <v>IB#3MTR</v>
      </c>
      <c r="W510" t="str">
        <f t="shared" ca="1" si="114"/>
        <v/>
      </c>
      <c r="X510">
        <f t="shared" si="115"/>
        <v>11.4</v>
      </c>
      <c r="Y510">
        <f t="shared" si="116"/>
        <v>0</v>
      </c>
      <c r="Z510" t="str">
        <f t="shared" si="120"/>
        <v>鹿港</v>
      </c>
    </row>
    <row r="511" spans="1:26" x14ac:dyDescent="0.25">
      <c r="A511" s="118" t="s">
        <v>635</v>
      </c>
      <c r="B511" s="119" t="s">
        <v>647</v>
      </c>
      <c r="C511" s="119">
        <v>0</v>
      </c>
      <c r="D511" s="118" t="s">
        <v>194</v>
      </c>
      <c r="E511" s="118">
        <v>0</v>
      </c>
      <c r="F511" s="118" t="s">
        <v>194</v>
      </c>
      <c r="G511" s="118">
        <v>0</v>
      </c>
      <c r="H511" s="118" t="s">
        <v>194</v>
      </c>
      <c r="I511" s="378">
        <v>0</v>
      </c>
      <c r="J511" s="117">
        <v>0</v>
      </c>
      <c r="K511" s="117" t="s">
        <v>194</v>
      </c>
      <c r="L511" t="str">
        <f t="shared" si="107"/>
        <v>IB29</v>
      </c>
      <c r="M511" t="str">
        <f t="shared" si="117"/>
        <v/>
      </c>
      <c r="N511" t="str">
        <f t="shared" si="118"/>
        <v/>
      </c>
      <c r="O511" t="str">
        <f t="shared" si="119"/>
        <v/>
      </c>
      <c r="P511" s="113" t="str">
        <f t="shared" si="108"/>
        <v>IB29</v>
      </c>
      <c r="Q511" s="114">
        <f t="shared" si="109"/>
        <v>0</v>
      </c>
      <c r="R511" s="114">
        <f t="shared" si="110"/>
        <v>0</v>
      </c>
      <c r="S511" s="113">
        <f t="shared" si="111"/>
        <v>0</v>
      </c>
      <c r="T511" s="111">
        <f t="shared" ca="1" si="112"/>
        <v>0</v>
      </c>
      <c r="U511" s="111" t="str">
        <f t="shared" si="113"/>
        <v/>
      </c>
      <c r="V511" t="str">
        <f t="array" ref="V511">INDEX(P:P,MAX(U$3:U511))</f>
        <v>IB#3MTR</v>
      </c>
      <c r="W511" t="str">
        <f t="shared" ca="1" si="114"/>
        <v/>
      </c>
      <c r="X511">
        <f t="shared" si="115"/>
        <v>11.4</v>
      </c>
      <c r="Y511">
        <f t="shared" si="116"/>
        <v>0</v>
      </c>
      <c r="Z511" t="str">
        <f t="shared" si="120"/>
        <v>鹿港</v>
      </c>
    </row>
    <row r="512" spans="1:26" x14ac:dyDescent="0.25">
      <c r="A512" s="118" t="s">
        <v>635</v>
      </c>
      <c r="B512" s="119" t="s">
        <v>648</v>
      </c>
      <c r="C512" s="119">
        <v>0</v>
      </c>
      <c r="D512" s="118" t="s">
        <v>194</v>
      </c>
      <c r="E512" s="118">
        <v>0</v>
      </c>
      <c r="F512" s="118" t="s">
        <v>194</v>
      </c>
      <c r="G512" s="118">
        <v>0</v>
      </c>
      <c r="H512" s="118" t="s">
        <v>194</v>
      </c>
      <c r="I512" s="378">
        <v>0</v>
      </c>
      <c r="J512" s="117">
        <v>0</v>
      </c>
      <c r="K512" s="117" t="s">
        <v>194</v>
      </c>
      <c r="L512" t="str">
        <f t="shared" si="107"/>
        <v>IB32</v>
      </c>
      <c r="M512" t="str">
        <f t="shared" si="117"/>
        <v/>
      </c>
      <c r="N512" t="str">
        <f t="shared" si="118"/>
        <v/>
      </c>
      <c r="O512" t="str">
        <f t="shared" si="119"/>
        <v/>
      </c>
      <c r="P512" s="113" t="str">
        <f t="shared" si="108"/>
        <v>IB32</v>
      </c>
      <c r="Q512" s="114">
        <f t="shared" si="109"/>
        <v>0</v>
      </c>
      <c r="R512" s="114">
        <f t="shared" si="110"/>
        <v>0</v>
      </c>
      <c r="S512" s="113">
        <f t="shared" si="111"/>
        <v>0</v>
      </c>
      <c r="T512" s="111">
        <f t="shared" ca="1" si="112"/>
        <v>0</v>
      </c>
      <c r="U512" s="111" t="str">
        <f t="shared" si="113"/>
        <v/>
      </c>
      <c r="V512" t="str">
        <f t="array" ref="V512">INDEX(P:P,MAX(U$3:U512))</f>
        <v>IB#3MTR</v>
      </c>
      <c r="W512" t="str">
        <f t="shared" ca="1" si="114"/>
        <v/>
      </c>
      <c r="X512">
        <f t="shared" si="115"/>
        <v>11.4</v>
      </c>
      <c r="Y512">
        <f t="shared" si="116"/>
        <v>0</v>
      </c>
      <c r="Z512" t="str">
        <f t="shared" si="120"/>
        <v>鹿港</v>
      </c>
    </row>
    <row r="513" spans="1:26" x14ac:dyDescent="0.25">
      <c r="A513" s="118" t="s">
        <v>635</v>
      </c>
      <c r="B513" s="119" t="s">
        <v>649</v>
      </c>
      <c r="C513" s="119">
        <v>0</v>
      </c>
      <c r="D513" s="118" t="s">
        <v>194</v>
      </c>
      <c r="E513" s="118">
        <v>0</v>
      </c>
      <c r="F513" s="118" t="s">
        <v>194</v>
      </c>
      <c r="G513" s="118">
        <v>0</v>
      </c>
      <c r="H513" s="118" t="s">
        <v>194</v>
      </c>
      <c r="I513" s="378">
        <v>0</v>
      </c>
      <c r="J513" s="117">
        <v>0</v>
      </c>
      <c r="K513" s="117" t="s">
        <v>194</v>
      </c>
      <c r="L513" t="str">
        <f t="shared" si="107"/>
        <v>IB26</v>
      </c>
      <c r="M513" t="str">
        <f t="shared" si="117"/>
        <v/>
      </c>
      <c r="N513" t="str">
        <f t="shared" si="118"/>
        <v/>
      </c>
      <c r="O513" t="str">
        <f t="shared" si="119"/>
        <v/>
      </c>
      <c r="P513" s="113" t="str">
        <f t="shared" si="108"/>
        <v>IB26</v>
      </c>
      <c r="Q513" s="114">
        <f t="shared" si="109"/>
        <v>0</v>
      </c>
      <c r="R513" s="114">
        <f t="shared" si="110"/>
        <v>0</v>
      </c>
      <c r="S513" s="113">
        <f t="shared" si="111"/>
        <v>0</v>
      </c>
      <c r="T513" s="111">
        <f t="shared" ca="1" si="112"/>
        <v>0</v>
      </c>
      <c r="U513" s="111" t="str">
        <f t="shared" si="113"/>
        <v/>
      </c>
      <c r="V513" t="str">
        <f t="array" ref="V513">INDEX(P:P,MAX(U$3:U513))</f>
        <v>IB#3MTR</v>
      </c>
      <c r="W513" t="str">
        <f t="shared" ca="1" si="114"/>
        <v/>
      </c>
      <c r="X513">
        <f t="shared" si="115"/>
        <v>11.4</v>
      </c>
      <c r="Y513">
        <f t="shared" si="116"/>
        <v>0</v>
      </c>
      <c r="Z513" t="str">
        <f t="shared" si="120"/>
        <v>鹿港</v>
      </c>
    </row>
    <row r="514" spans="1:26" x14ac:dyDescent="0.25">
      <c r="A514" s="118" t="s">
        <v>635</v>
      </c>
      <c r="B514" s="119" t="s">
        <v>650</v>
      </c>
      <c r="C514" s="119">
        <v>0</v>
      </c>
      <c r="D514" s="118" t="s">
        <v>194</v>
      </c>
      <c r="E514" s="118">
        <v>0</v>
      </c>
      <c r="F514" s="118" t="s">
        <v>194</v>
      </c>
      <c r="G514" s="118">
        <v>0</v>
      </c>
      <c r="H514" s="118" t="s">
        <v>194</v>
      </c>
      <c r="I514" s="378">
        <v>0</v>
      </c>
      <c r="J514" s="117">
        <v>0</v>
      </c>
      <c r="K514" s="117" t="s">
        <v>194</v>
      </c>
      <c r="L514" t="str">
        <f t="shared" si="107"/>
        <v>IB23</v>
      </c>
      <c r="M514" t="str">
        <f t="shared" si="117"/>
        <v/>
      </c>
      <c r="N514" t="str">
        <f t="shared" si="118"/>
        <v/>
      </c>
      <c r="O514" t="str">
        <f t="shared" si="119"/>
        <v/>
      </c>
      <c r="P514" s="113" t="str">
        <f t="shared" si="108"/>
        <v>IB23</v>
      </c>
      <c r="Q514" s="114">
        <f t="shared" si="109"/>
        <v>0</v>
      </c>
      <c r="R514" s="114">
        <f t="shared" si="110"/>
        <v>0</v>
      </c>
      <c r="S514" s="113">
        <f t="shared" si="111"/>
        <v>0</v>
      </c>
      <c r="T514" s="111">
        <f t="shared" ca="1" si="112"/>
        <v>0</v>
      </c>
      <c r="U514" s="111" t="str">
        <f t="shared" si="113"/>
        <v/>
      </c>
      <c r="V514" t="str">
        <f t="array" ref="V514">INDEX(P:P,MAX(U$3:U514))</f>
        <v>IB#3MTR</v>
      </c>
      <c r="W514" t="str">
        <f t="shared" ca="1" si="114"/>
        <v/>
      </c>
      <c r="X514">
        <f t="shared" si="115"/>
        <v>11.4</v>
      </c>
      <c r="Y514">
        <f t="shared" si="116"/>
        <v>0</v>
      </c>
      <c r="Z514" t="str">
        <f t="shared" si="120"/>
        <v>鹿港</v>
      </c>
    </row>
    <row r="515" spans="1:26" x14ac:dyDescent="0.25">
      <c r="A515" s="118" t="s">
        <v>651</v>
      </c>
      <c r="B515" s="119" t="s">
        <v>175</v>
      </c>
      <c r="C515" s="119">
        <v>798</v>
      </c>
      <c r="D515" s="118" t="s">
        <v>198</v>
      </c>
      <c r="E515" s="118">
        <v>812</v>
      </c>
      <c r="F515" s="118" t="s">
        <v>198</v>
      </c>
      <c r="G515" s="118">
        <v>796</v>
      </c>
      <c r="H515" s="118" t="s">
        <v>198</v>
      </c>
      <c r="I515" s="378">
        <v>812</v>
      </c>
      <c r="J515" s="117"/>
      <c r="K515" s="117"/>
      <c r="L515" t="str">
        <f t="shared" ref="L515:L578" si="121">IF(COUNTIF(B515,"*TR*")&gt;0,SUBSTITUTE(RIGHT(TRIM(A515),2) &amp; B515," ",""),MID(B515,FIND("(",B515)+1,4))</f>
        <v>IT#1MTR</v>
      </c>
      <c r="M515" t="str">
        <f t="shared" si="117"/>
        <v/>
      </c>
      <c r="N515" t="str">
        <f t="shared" si="118"/>
        <v>IT#1MTR</v>
      </c>
      <c r="O515" t="str">
        <f t="shared" si="119"/>
        <v/>
      </c>
      <c r="P515" s="113" t="str">
        <f t="shared" ref="P515:P578" si="122">IF(COUNTIF(B515,"*TR*")&gt;0,SUBSTITUTE(RIGHT(TRIM(A515),2) &amp; B515," ",""),MID(B515,FIND("(",B515)+1,4))</f>
        <v>IT#1MTR</v>
      </c>
      <c r="Q515" s="114">
        <f t="shared" ref="Q515:Q578" si="123">VALUE(I515)</f>
        <v>812</v>
      </c>
      <c r="R515" s="114">
        <f t="shared" ref="R515:R578" si="124">AVERAGE(C515*1,E515*1,G515*1)</f>
        <v>802</v>
      </c>
      <c r="S515" s="113">
        <f t="shared" ref="S515:S578" si="125">MIN(C515*1,E515*1,G515*1)</f>
        <v>796</v>
      </c>
      <c r="T515" s="111">
        <f t="shared" ref="T515:T578" ca="1" si="126">IF(LEFT(TRIM(B515),1)="#",ROUND(OFFSET(X515,1,0,1,1)*Y515*SQRT(3)/1000,2),ROUND(Q515*X515*SQRT(3)/1000,2))</f>
        <v>16.03</v>
      </c>
      <c r="U515" s="111">
        <f t="shared" ref="U515:U578" si="127">IF(ISNUMBER(FIND("#",B515)),ROW(),"")</f>
        <v>515</v>
      </c>
      <c r="V515" t="str">
        <f t="array" ref="V515">INDEX(P:P,MAX(U$3:U515))</f>
        <v>IT#1MTR</v>
      </c>
      <c r="W515">
        <f t="shared" ref="W515:W578" ca="1" si="128">IF(LEFT(TRIM(B515),1)="#",IF(ISNUMBER(FIND("DTR",B515)),IF(MID(OFFSET(P515,1,0,1,1),3,1)*1&lt;5,30,60),25),"")</f>
        <v>25</v>
      </c>
      <c r="X515" t="str">
        <f t="shared" ref="X515:X578" si="129">IF(LEFT(TRIM(B515),1)= "#","",IF(MID(P515,3,1)*1&lt;5,11.4,22.8))</f>
        <v/>
      </c>
      <c r="Y515">
        <f t="shared" ref="Y515:Y578" si="130">SUMIF(L:L,L515,I:I)</f>
        <v>812</v>
      </c>
      <c r="Z515" t="str">
        <f t="shared" si="120"/>
        <v>溝墘</v>
      </c>
    </row>
    <row r="516" spans="1:26" x14ac:dyDescent="0.25">
      <c r="A516" s="118" t="s">
        <v>651</v>
      </c>
      <c r="B516" s="119" t="s">
        <v>652</v>
      </c>
      <c r="C516" s="119">
        <v>53</v>
      </c>
      <c r="D516" s="118" t="s">
        <v>207</v>
      </c>
      <c r="E516" s="118">
        <v>65</v>
      </c>
      <c r="F516" s="118" t="s">
        <v>192</v>
      </c>
      <c r="G516" s="118">
        <v>37</v>
      </c>
      <c r="H516" s="118" t="s">
        <v>198</v>
      </c>
      <c r="I516" s="378">
        <v>65</v>
      </c>
      <c r="J516" s="117">
        <v>35</v>
      </c>
      <c r="K516" s="117" t="s">
        <v>229</v>
      </c>
      <c r="L516" t="str">
        <f t="shared" si="121"/>
        <v>IT29</v>
      </c>
      <c r="M516" t="str">
        <f t="shared" ref="M516:M579" si="131">IF(LEFT(B516,1)="#",IF(LEN(B516)&lt;&gt;5,MID(B516,6,3),""),"")</f>
        <v/>
      </c>
      <c r="N516" t="str">
        <f t="shared" ref="N516:N579" si="132">IF(LEFT(B516,1)="#",IF(LEN(B516)=5,RIGHT(A516,2)&amp;B516,RIGHT(A516,2)&amp;LEFT(B516,2)&amp;"DTR"),"")</f>
        <v/>
      </c>
      <c r="O516" t="str">
        <f t="shared" ref="O516:O579" si="133">IF(LEFT(B516,1)="#",IF(LEN(B516)&lt;&gt;5,IF(LEN(B516)&lt;&gt;7,MID(B516,6,3),"("&amp;MID(B516,3,2)&amp;")"),""),"")</f>
        <v/>
      </c>
      <c r="P516" s="113" t="str">
        <f t="shared" si="122"/>
        <v>IT29</v>
      </c>
      <c r="Q516" s="114">
        <f t="shared" si="123"/>
        <v>65</v>
      </c>
      <c r="R516" s="114">
        <f t="shared" si="124"/>
        <v>51.666666666666664</v>
      </c>
      <c r="S516" s="113">
        <f t="shared" si="125"/>
        <v>37</v>
      </c>
      <c r="T516" s="111">
        <f t="shared" ca="1" si="126"/>
        <v>1.28</v>
      </c>
      <c r="U516" s="111" t="str">
        <f t="shared" si="127"/>
        <v/>
      </c>
      <c r="V516" t="str">
        <f t="array" ref="V516">INDEX(P:P,MAX(U$3:U516))</f>
        <v>IT#1MTR</v>
      </c>
      <c r="W516" t="str">
        <f t="shared" ca="1" si="128"/>
        <v/>
      </c>
      <c r="X516">
        <f t="shared" si="129"/>
        <v>11.4</v>
      </c>
      <c r="Y516">
        <f t="shared" si="130"/>
        <v>65</v>
      </c>
      <c r="Z516" t="str">
        <f t="shared" ref="Z516:Z579" si="134">LEFT(A516,2)</f>
        <v>溝墘</v>
      </c>
    </row>
    <row r="517" spans="1:26" x14ac:dyDescent="0.25">
      <c r="A517" s="118" t="s">
        <v>651</v>
      </c>
      <c r="B517" s="119" t="s">
        <v>653</v>
      </c>
      <c r="C517" s="119">
        <v>240</v>
      </c>
      <c r="D517" s="118" t="s">
        <v>229</v>
      </c>
      <c r="E517" s="118">
        <v>251</v>
      </c>
      <c r="F517" s="118" t="s">
        <v>229</v>
      </c>
      <c r="G517" s="118">
        <v>250</v>
      </c>
      <c r="H517" s="118" t="s">
        <v>229</v>
      </c>
      <c r="I517" s="378">
        <v>251</v>
      </c>
      <c r="J517" s="117">
        <v>43</v>
      </c>
      <c r="K517" s="117" t="s">
        <v>180</v>
      </c>
      <c r="L517" t="str">
        <f t="shared" si="121"/>
        <v>IT22</v>
      </c>
      <c r="M517" t="str">
        <f t="shared" si="131"/>
        <v/>
      </c>
      <c r="N517" t="str">
        <f t="shared" si="132"/>
        <v/>
      </c>
      <c r="O517" t="str">
        <f t="shared" si="133"/>
        <v/>
      </c>
      <c r="P517" s="113" t="str">
        <f t="shared" si="122"/>
        <v>IT22</v>
      </c>
      <c r="Q517" s="114">
        <f t="shared" si="123"/>
        <v>251</v>
      </c>
      <c r="R517" s="114">
        <f t="shared" si="124"/>
        <v>247</v>
      </c>
      <c r="S517" s="113">
        <f t="shared" si="125"/>
        <v>240</v>
      </c>
      <c r="T517" s="111">
        <f t="shared" ca="1" si="126"/>
        <v>4.96</v>
      </c>
      <c r="U517" s="111" t="str">
        <f t="shared" si="127"/>
        <v/>
      </c>
      <c r="V517" t="str">
        <f t="array" ref="V517">INDEX(P:P,MAX(U$3:U517))</f>
        <v>IT#1MTR</v>
      </c>
      <c r="W517" t="str">
        <f t="shared" ca="1" si="128"/>
        <v/>
      </c>
      <c r="X517">
        <f t="shared" si="129"/>
        <v>11.4</v>
      </c>
      <c r="Y517">
        <f t="shared" si="130"/>
        <v>251</v>
      </c>
      <c r="Z517" t="str">
        <f t="shared" si="134"/>
        <v>溝墘</v>
      </c>
    </row>
    <row r="518" spans="1:26" x14ac:dyDescent="0.25">
      <c r="A518" s="118" t="s">
        <v>651</v>
      </c>
      <c r="B518" s="119" t="s">
        <v>654</v>
      </c>
      <c r="C518" s="119">
        <v>274</v>
      </c>
      <c r="D518" s="118" t="s">
        <v>198</v>
      </c>
      <c r="E518" s="118">
        <v>263</v>
      </c>
      <c r="F518" s="118" t="s">
        <v>198</v>
      </c>
      <c r="G518" s="118">
        <v>291</v>
      </c>
      <c r="H518" s="118" t="s">
        <v>179</v>
      </c>
      <c r="I518" s="378">
        <v>291</v>
      </c>
      <c r="J518" s="117">
        <v>58</v>
      </c>
      <c r="K518" s="117" t="s">
        <v>177</v>
      </c>
      <c r="L518" t="str">
        <f t="shared" si="121"/>
        <v>IT34</v>
      </c>
      <c r="M518" t="str">
        <f t="shared" si="131"/>
        <v/>
      </c>
      <c r="N518" t="str">
        <f t="shared" si="132"/>
        <v/>
      </c>
      <c r="O518" t="str">
        <f t="shared" si="133"/>
        <v/>
      </c>
      <c r="P518" s="113" t="str">
        <f t="shared" si="122"/>
        <v>IT34</v>
      </c>
      <c r="Q518" s="114">
        <f t="shared" si="123"/>
        <v>291</v>
      </c>
      <c r="R518" s="114">
        <f t="shared" si="124"/>
        <v>276</v>
      </c>
      <c r="S518" s="113">
        <f t="shared" si="125"/>
        <v>263</v>
      </c>
      <c r="T518" s="111">
        <f t="shared" ca="1" si="126"/>
        <v>5.75</v>
      </c>
      <c r="U518" s="111" t="str">
        <f t="shared" si="127"/>
        <v/>
      </c>
      <c r="V518" t="str">
        <f t="array" ref="V518">INDEX(P:P,MAX(U$3:U518))</f>
        <v>IT#1MTR</v>
      </c>
      <c r="W518" t="str">
        <f t="shared" ca="1" si="128"/>
        <v/>
      </c>
      <c r="X518">
        <f t="shared" si="129"/>
        <v>11.4</v>
      </c>
      <c r="Y518">
        <f t="shared" si="130"/>
        <v>291</v>
      </c>
      <c r="Z518" t="str">
        <f t="shared" si="134"/>
        <v>溝墘</v>
      </c>
    </row>
    <row r="519" spans="1:26" x14ac:dyDescent="0.25">
      <c r="A519" s="118" t="s">
        <v>651</v>
      </c>
      <c r="B519" s="119" t="s">
        <v>655</v>
      </c>
      <c r="C519" s="119">
        <v>186</v>
      </c>
      <c r="D519" s="118" t="s">
        <v>198</v>
      </c>
      <c r="E519" s="118">
        <v>192</v>
      </c>
      <c r="F519" s="118" t="s">
        <v>200</v>
      </c>
      <c r="G519" s="118">
        <v>195</v>
      </c>
      <c r="H519" s="118" t="s">
        <v>198</v>
      </c>
      <c r="I519" s="378">
        <v>195</v>
      </c>
      <c r="J519" s="117">
        <v>38</v>
      </c>
      <c r="K519" s="117" t="s">
        <v>188</v>
      </c>
      <c r="L519" t="str">
        <f t="shared" si="121"/>
        <v>IT23</v>
      </c>
      <c r="M519" t="str">
        <f t="shared" si="131"/>
        <v/>
      </c>
      <c r="N519" t="str">
        <f t="shared" si="132"/>
        <v/>
      </c>
      <c r="O519" t="str">
        <f t="shared" si="133"/>
        <v/>
      </c>
      <c r="P519" s="113" t="str">
        <f t="shared" si="122"/>
        <v>IT23</v>
      </c>
      <c r="Q519" s="114">
        <f t="shared" si="123"/>
        <v>195</v>
      </c>
      <c r="R519" s="114">
        <f t="shared" si="124"/>
        <v>191</v>
      </c>
      <c r="S519" s="113">
        <f t="shared" si="125"/>
        <v>186</v>
      </c>
      <c r="T519" s="111">
        <f t="shared" ca="1" si="126"/>
        <v>3.85</v>
      </c>
      <c r="U519" s="111" t="str">
        <f t="shared" si="127"/>
        <v/>
      </c>
      <c r="V519" t="str">
        <f t="array" ref="V519">INDEX(P:P,MAX(U$3:U519))</f>
        <v>IT#1MTR</v>
      </c>
      <c r="W519" t="str">
        <f t="shared" ca="1" si="128"/>
        <v/>
      </c>
      <c r="X519">
        <f t="shared" si="129"/>
        <v>11.4</v>
      </c>
      <c r="Y519">
        <f t="shared" si="130"/>
        <v>195</v>
      </c>
      <c r="Z519" t="str">
        <f t="shared" si="134"/>
        <v>溝墘</v>
      </c>
    </row>
    <row r="520" spans="1:26" x14ac:dyDescent="0.25">
      <c r="A520" s="118" t="s">
        <v>651</v>
      </c>
      <c r="B520" s="119" t="s">
        <v>656</v>
      </c>
      <c r="C520" s="119">
        <v>135</v>
      </c>
      <c r="D520" s="118" t="s">
        <v>207</v>
      </c>
      <c r="E520" s="118">
        <v>136</v>
      </c>
      <c r="F520" s="118" t="s">
        <v>200</v>
      </c>
      <c r="G520" s="118">
        <v>117</v>
      </c>
      <c r="H520" s="118" t="s">
        <v>200</v>
      </c>
      <c r="I520" s="378">
        <v>136</v>
      </c>
      <c r="J520" s="117">
        <v>43</v>
      </c>
      <c r="K520" s="117" t="s">
        <v>188</v>
      </c>
      <c r="L520" t="str">
        <f t="shared" si="121"/>
        <v>IT25</v>
      </c>
      <c r="M520" t="str">
        <f t="shared" si="131"/>
        <v/>
      </c>
      <c r="N520" t="str">
        <f t="shared" si="132"/>
        <v/>
      </c>
      <c r="O520" t="str">
        <f t="shared" si="133"/>
        <v/>
      </c>
      <c r="P520" s="113" t="str">
        <f t="shared" si="122"/>
        <v>IT25</v>
      </c>
      <c r="Q520" s="114">
        <f t="shared" si="123"/>
        <v>136</v>
      </c>
      <c r="R520" s="114">
        <f t="shared" si="124"/>
        <v>129.33333333333334</v>
      </c>
      <c r="S520" s="113">
        <f t="shared" si="125"/>
        <v>117</v>
      </c>
      <c r="T520" s="111">
        <f t="shared" ca="1" si="126"/>
        <v>2.69</v>
      </c>
      <c r="U520" s="111" t="str">
        <f t="shared" si="127"/>
        <v/>
      </c>
      <c r="V520" t="str">
        <f t="array" ref="V520">INDEX(P:P,MAX(U$3:U520))</f>
        <v>IT#1MTR</v>
      </c>
      <c r="W520" t="str">
        <f t="shared" ca="1" si="128"/>
        <v/>
      </c>
      <c r="X520">
        <f t="shared" si="129"/>
        <v>11.4</v>
      </c>
      <c r="Y520">
        <f t="shared" si="130"/>
        <v>136</v>
      </c>
      <c r="Z520" t="str">
        <f t="shared" si="134"/>
        <v>溝墘</v>
      </c>
    </row>
    <row r="521" spans="1:26" x14ac:dyDescent="0.25">
      <c r="A521" s="118" t="s">
        <v>651</v>
      </c>
      <c r="B521" s="119" t="s">
        <v>187</v>
      </c>
      <c r="C521" s="119">
        <v>740</v>
      </c>
      <c r="D521" s="118" t="s">
        <v>198</v>
      </c>
      <c r="E521" s="118">
        <v>693</v>
      </c>
      <c r="F521" s="118" t="s">
        <v>198</v>
      </c>
      <c r="G521" s="118">
        <v>753</v>
      </c>
      <c r="H521" s="118" t="s">
        <v>198</v>
      </c>
      <c r="I521" s="378">
        <v>753</v>
      </c>
      <c r="J521" s="117"/>
      <c r="K521" s="117"/>
      <c r="L521" t="str">
        <f t="shared" si="121"/>
        <v>IT#2MTR</v>
      </c>
      <c r="M521" t="str">
        <f t="shared" si="131"/>
        <v/>
      </c>
      <c r="N521" t="str">
        <f t="shared" si="132"/>
        <v>IT#2MTR</v>
      </c>
      <c r="O521" t="str">
        <f t="shared" si="133"/>
        <v/>
      </c>
      <c r="P521" s="113" t="str">
        <f t="shared" si="122"/>
        <v>IT#2MTR</v>
      </c>
      <c r="Q521" s="114">
        <f t="shared" si="123"/>
        <v>753</v>
      </c>
      <c r="R521" s="114">
        <f t="shared" si="124"/>
        <v>728.66666666666663</v>
      </c>
      <c r="S521" s="113">
        <f t="shared" si="125"/>
        <v>693</v>
      </c>
      <c r="T521" s="111">
        <f t="shared" ca="1" si="126"/>
        <v>14.87</v>
      </c>
      <c r="U521" s="111">
        <f t="shared" si="127"/>
        <v>521</v>
      </c>
      <c r="V521" t="str">
        <f t="array" ref="V521">INDEX(P:P,MAX(U$3:U521))</f>
        <v>IT#2MTR</v>
      </c>
      <c r="W521">
        <f t="shared" ca="1" si="128"/>
        <v>25</v>
      </c>
      <c r="X521" t="str">
        <f t="shared" si="129"/>
        <v/>
      </c>
      <c r="Y521">
        <f t="shared" si="130"/>
        <v>753</v>
      </c>
      <c r="Z521" t="str">
        <f t="shared" si="134"/>
        <v>溝墘</v>
      </c>
    </row>
    <row r="522" spans="1:26" x14ac:dyDescent="0.25">
      <c r="A522" s="118" t="s">
        <v>651</v>
      </c>
      <c r="B522" s="119" t="s">
        <v>657</v>
      </c>
      <c r="C522" s="119">
        <v>57</v>
      </c>
      <c r="D522" s="118" t="s">
        <v>179</v>
      </c>
      <c r="E522" s="118">
        <v>70</v>
      </c>
      <c r="F522" s="118" t="s">
        <v>177</v>
      </c>
      <c r="G522" s="118">
        <v>88</v>
      </c>
      <c r="H522" s="118" t="s">
        <v>176</v>
      </c>
      <c r="I522" s="378">
        <v>88</v>
      </c>
      <c r="J522" s="117">
        <v>32</v>
      </c>
      <c r="K522" s="117" t="s">
        <v>176</v>
      </c>
      <c r="L522" t="str">
        <f t="shared" si="121"/>
        <v>IT24</v>
      </c>
      <c r="M522" t="str">
        <f t="shared" si="131"/>
        <v/>
      </c>
      <c r="N522" t="str">
        <f t="shared" si="132"/>
        <v/>
      </c>
      <c r="O522" t="str">
        <f t="shared" si="133"/>
        <v/>
      </c>
      <c r="P522" s="113" t="str">
        <f t="shared" si="122"/>
        <v>IT24</v>
      </c>
      <c r="Q522" s="114">
        <f t="shared" si="123"/>
        <v>88</v>
      </c>
      <c r="R522" s="114">
        <f t="shared" si="124"/>
        <v>71.666666666666671</v>
      </c>
      <c r="S522" s="113">
        <f t="shared" si="125"/>
        <v>57</v>
      </c>
      <c r="T522" s="111">
        <f t="shared" ca="1" si="126"/>
        <v>1.74</v>
      </c>
      <c r="U522" s="111" t="str">
        <f t="shared" si="127"/>
        <v/>
      </c>
      <c r="V522" t="str">
        <f t="array" ref="V522">INDEX(P:P,MAX(U$3:U522))</f>
        <v>IT#2MTR</v>
      </c>
      <c r="W522" t="str">
        <f t="shared" ca="1" si="128"/>
        <v/>
      </c>
      <c r="X522">
        <f t="shared" si="129"/>
        <v>11.4</v>
      </c>
      <c r="Y522">
        <f t="shared" si="130"/>
        <v>88</v>
      </c>
      <c r="Z522" t="str">
        <f t="shared" si="134"/>
        <v>溝墘</v>
      </c>
    </row>
    <row r="523" spans="1:26" x14ac:dyDescent="0.25">
      <c r="A523" s="118" t="s">
        <v>651</v>
      </c>
      <c r="B523" s="119" t="s">
        <v>658</v>
      </c>
      <c r="C523" s="119">
        <v>191</v>
      </c>
      <c r="D523" s="118" t="s">
        <v>229</v>
      </c>
      <c r="E523" s="118">
        <v>173</v>
      </c>
      <c r="F523" s="118" t="s">
        <v>229</v>
      </c>
      <c r="G523" s="118">
        <v>197</v>
      </c>
      <c r="H523" s="118" t="s">
        <v>229</v>
      </c>
      <c r="I523" s="378">
        <v>197</v>
      </c>
      <c r="J523" s="117">
        <v>69</v>
      </c>
      <c r="K523" s="117" t="s">
        <v>179</v>
      </c>
      <c r="L523" t="str">
        <f t="shared" si="121"/>
        <v>IT20</v>
      </c>
      <c r="M523" t="str">
        <f t="shared" si="131"/>
        <v/>
      </c>
      <c r="N523" t="str">
        <f t="shared" si="132"/>
        <v/>
      </c>
      <c r="O523" t="str">
        <f t="shared" si="133"/>
        <v/>
      </c>
      <c r="P523" s="113" t="str">
        <f t="shared" si="122"/>
        <v>IT20</v>
      </c>
      <c r="Q523" s="114">
        <f t="shared" si="123"/>
        <v>197</v>
      </c>
      <c r="R523" s="114">
        <f t="shared" si="124"/>
        <v>187</v>
      </c>
      <c r="S523" s="113">
        <f t="shared" si="125"/>
        <v>173</v>
      </c>
      <c r="T523" s="111">
        <f t="shared" ca="1" si="126"/>
        <v>3.89</v>
      </c>
      <c r="U523" s="111" t="str">
        <f t="shared" si="127"/>
        <v/>
      </c>
      <c r="V523" t="str">
        <f t="array" ref="V523">INDEX(P:P,MAX(U$3:U523))</f>
        <v>IT#2MTR</v>
      </c>
      <c r="W523" t="str">
        <f t="shared" ca="1" si="128"/>
        <v/>
      </c>
      <c r="X523">
        <f t="shared" si="129"/>
        <v>11.4</v>
      </c>
      <c r="Y523">
        <f t="shared" si="130"/>
        <v>197</v>
      </c>
      <c r="Z523" t="str">
        <f t="shared" si="134"/>
        <v>溝墘</v>
      </c>
    </row>
    <row r="524" spans="1:26" x14ac:dyDescent="0.25">
      <c r="A524" s="118" t="s">
        <v>651</v>
      </c>
      <c r="B524" s="119" t="s">
        <v>659</v>
      </c>
      <c r="C524" s="119">
        <v>181</v>
      </c>
      <c r="D524" s="118" t="s">
        <v>198</v>
      </c>
      <c r="E524" s="118">
        <v>141</v>
      </c>
      <c r="F524" s="118" t="s">
        <v>198</v>
      </c>
      <c r="G524" s="118">
        <v>139</v>
      </c>
      <c r="H524" s="118" t="s">
        <v>198</v>
      </c>
      <c r="I524" s="378">
        <v>181</v>
      </c>
      <c r="J524" s="117">
        <v>68</v>
      </c>
      <c r="K524" s="117" t="s">
        <v>176</v>
      </c>
      <c r="L524" t="str">
        <f t="shared" si="121"/>
        <v>IT32</v>
      </c>
      <c r="M524" t="str">
        <f t="shared" si="131"/>
        <v/>
      </c>
      <c r="N524" t="str">
        <f t="shared" si="132"/>
        <v/>
      </c>
      <c r="O524" t="str">
        <f t="shared" si="133"/>
        <v/>
      </c>
      <c r="P524" s="113" t="str">
        <f t="shared" si="122"/>
        <v>IT32</v>
      </c>
      <c r="Q524" s="114">
        <f t="shared" si="123"/>
        <v>181</v>
      </c>
      <c r="R524" s="114">
        <f t="shared" si="124"/>
        <v>153.66666666666666</v>
      </c>
      <c r="S524" s="113">
        <f t="shared" si="125"/>
        <v>139</v>
      </c>
      <c r="T524" s="111">
        <f t="shared" ca="1" si="126"/>
        <v>3.57</v>
      </c>
      <c r="U524" s="111" t="str">
        <f t="shared" si="127"/>
        <v/>
      </c>
      <c r="V524" t="str">
        <f t="array" ref="V524">INDEX(P:P,MAX(U$3:U524))</f>
        <v>IT#2MTR</v>
      </c>
      <c r="W524" t="str">
        <f t="shared" ca="1" si="128"/>
        <v/>
      </c>
      <c r="X524">
        <f t="shared" si="129"/>
        <v>11.4</v>
      </c>
      <c r="Y524">
        <f t="shared" si="130"/>
        <v>181</v>
      </c>
      <c r="Z524" t="str">
        <f t="shared" si="134"/>
        <v>溝墘</v>
      </c>
    </row>
    <row r="525" spans="1:26" x14ac:dyDescent="0.25">
      <c r="A525" s="118" t="s">
        <v>651</v>
      </c>
      <c r="B525" s="119" t="s">
        <v>660</v>
      </c>
      <c r="C525" s="119">
        <v>192</v>
      </c>
      <c r="D525" s="118" t="s">
        <v>203</v>
      </c>
      <c r="E525" s="118">
        <v>197</v>
      </c>
      <c r="F525" s="118" t="s">
        <v>207</v>
      </c>
      <c r="G525" s="118">
        <v>218</v>
      </c>
      <c r="H525" s="118" t="s">
        <v>207</v>
      </c>
      <c r="I525" s="378">
        <v>218</v>
      </c>
      <c r="J525" s="117">
        <v>47</v>
      </c>
      <c r="K525" s="117" t="s">
        <v>229</v>
      </c>
      <c r="L525" t="str">
        <f t="shared" si="121"/>
        <v>IT33</v>
      </c>
      <c r="M525" t="str">
        <f t="shared" si="131"/>
        <v/>
      </c>
      <c r="N525" t="str">
        <f t="shared" si="132"/>
        <v/>
      </c>
      <c r="O525" t="str">
        <f t="shared" si="133"/>
        <v/>
      </c>
      <c r="P525" s="113" t="str">
        <f t="shared" si="122"/>
        <v>IT33</v>
      </c>
      <c r="Q525" s="114">
        <f t="shared" si="123"/>
        <v>218</v>
      </c>
      <c r="R525" s="114">
        <f t="shared" si="124"/>
        <v>202.33333333333334</v>
      </c>
      <c r="S525" s="113">
        <f t="shared" si="125"/>
        <v>192</v>
      </c>
      <c r="T525" s="111">
        <f t="shared" ca="1" si="126"/>
        <v>4.3</v>
      </c>
      <c r="U525" s="111" t="str">
        <f t="shared" si="127"/>
        <v/>
      </c>
      <c r="V525" t="str">
        <f t="array" ref="V525">INDEX(P:P,MAX(U$3:U525))</f>
        <v>IT#2MTR</v>
      </c>
      <c r="W525" t="str">
        <f t="shared" ca="1" si="128"/>
        <v/>
      </c>
      <c r="X525">
        <f t="shared" si="129"/>
        <v>11.4</v>
      </c>
      <c r="Y525">
        <f t="shared" si="130"/>
        <v>218</v>
      </c>
      <c r="Z525" t="str">
        <f t="shared" si="134"/>
        <v>溝墘</v>
      </c>
    </row>
    <row r="526" spans="1:26" x14ac:dyDescent="0.25">
      <c r="A526" s="118" t="s">
        <v>651</v>
      </c>
      <c r="B526" s="119" t="s">
        <v>661</v>
      </c>
      <c r="C526" s="119">
        <v>233</v>
      </c>
      <c r="D526" s="118" t="s">
        <v>198</v>
      </c>
      <c r="E526" s="118">
        <v>208</v>
      </c>
      <c r="F526" s="118" t="s">
        <v>198</v>
      </c>
      <c r="G526" s="118">
        <v>231</v>
      </c>
      <c r="H526" s="118" t="s">
        <v>198</v>
      </c>
      <c r="I526" s="378">
        <v>233</v>
      </c>
      <c r="J526" s="117">
        <v>58</v>
      </c>
      <c r="K526" s="117" t="s">
        <v>177</v>
      </c>
      <c r="L526" t="str">
        <f t="shared" si="121"/>
        <v>IT27</v>
      </c>
      <c r="M526" t="str">
        <f t="shared" si="131"/>
        <v/>
      </c>
      <c r="N526" t="str">
        <f t="shared" si="132"/>
        <v/>
      </c>
      <c r="O526" t="str">
        <f t="shared" si="133"/>
        <v/>
      </c>
      <c r="P526" s="113" t="str">
        <f t="shared" si="122"/>
        <v>IT27</v>
      </c>
      <c r="Q526" s="114">
        <f t="shared" si="123"/>
        <v>233</v>
      </c>
      <c r="R526" s="114">
        <f t="shared" si="124"/>
        <v>224</v>
      </c>
      <c r="S526" s="113">
        <f t="shared" si="125"/>
        <v>208</v>
      </c>
      <c r="T526" s="111">
        <f t="shared" ca="1" si="126"/>
        <v>4.5999999999999996</v>
      </c>
      <c r="U526" s="111" t="str">
        <f t="shared" si="127"/>
        <v/>
      </c>
      <c r="V526" t="str">
        <f t="array" ref="V526">INDEX(P:P,MAX(U$3:U526))</f>
        <v>IT#2MTR</v>
      </c>
      <c r="W526" t="str">
        <f t="shared" ca="1" si="128"/>
        <v/>
      </c>
      <c r="X526">
        <f t="shared" si="129"/>
        <v>11.4</v>
      </c>
      <c r="Y526">
        <f t="shared" si="130"/>
        <v>233</v>
      </c>
      <c r="Z526" t="str">
        <f t="shared" si="134"/>
        <v>溝墘</v>
      </c>
    </row>
    <row r="527" spans="1:26" x14ac:dyDescent="0.25">
      <c r="A527" s="118" t="s">
        <v>651</v>
      </c>
      <c r="B527" s="119" t="s">
        <v>197</v>
      </c>
      <c r="C527" s="119">
        <v>639</v>
      </c>
      <c r="D527" s="118" t="s">
        <v>179</v>
      </c>
      <c r="E527" s="118">
        <v>608</v>
      </c>
      <c r="F527" s="118" t="s">
        <v>198</v>
      </c>
      <c r="G527" s="118">
        <v>644</v>
      </c>
      <c r="H527" s="118" t="s">
        <v>198</v>
      </c>
      <c r="I527" s="378">
        <v>644</v>
      </c>
      <c r="J527" s="117"/>
      <c r="K527" s="117"/>
      <c r="L527" t="str">
        <f t="shared" si="121"/>
        <v>IT#3MTR</v>
      </c>
      <c r="M527" t="str">
        <f t="shared" si="131"/>
        <v/>
      </c>
      <c r="N527" t="str">
        <f t="shared" si="132"/>
        <v>IT#3MTR</v>
      </c>
      <c r="O527" t="str">
        <f t="shared" si="133"/>
        <v/>
      </c>
      <c r="P527" s="113" t="str">
        <f t="shared" si="122"/>
        <v>IT#3MTR</v>
      </c>
      <c r="Q527" s="114">
        <f t="shared" si="123"/>
        <v>644</v>
      </c>
      <c r="R527" s="114">
        <f t="shared" si="124"/>
        <v>630.33333333333337</v>
      </c>
      <c r="S527" s="113">
        <f t="shared" si="125"/>
        <v>608</v>
      </c>
      <c r="T527" s="111">
        <f t="shared" ca="1" si="126"/>
        <v>12.72</v>
      </c>
      <c r="U527" s="111">
        <f t="shared" si="127"/>
        <v>527</v>
      </c>
      <c r="V527" t="str">
        <f t="array" ref="V527">INDEX(P:P,MAX(U$3:U527))</f>
        <v>IT#3MTR</v>
      </c>
      <c r="W527">
        <f t="shared" ca="1" si="128"/>
        <v>25</v>
      </c>
      <c r="X527" t="str">
        <f t="shared" si="129"/>
        <v/>
      </c>
      <c r="Y527">
        <f t="shared" si="130"/>
        <v>644</v>
      </c>
      <c r="Z527" t="str">
        <f t="shared" si="134"/>
        <v>溝墘</v>
      </c>
    </row>
    <row r="528" spans="1:26" x14ac:dyDescent="0.25">
      <c r="A528" s="118" t="s">
        <v>651</v>
      </c>
      <c r="B528" s="119" t="s">
        <v>662</v>
      </c>
      <c r="C528" s="119">
        <v>238</v>
      </c>
      <c r="D528" s="118" t="s">
        <v>229</v>
      </c>
      <c r="E528" s="118">
        <v>234</v>
      </c>
      <c r="F528" s="118" t="s">
        <v>229</v>
      </c>
      <c r="G528" s="118">
        <v>237</v>
      </c>
      <c r="H528" s="118" t="s">
        <v>198</v>
      </c>
      <c r="I528" s="378">
        <v>238</v>
      </c>
      <c r="J528" s="117">
        <v>34</v>
      </c>
      <c r="K528" s="117" t="s">
        <v>177</v>
      </c>
      <c r="L528" t="str">
        <f t="shared" si="121"/>
        <v>IT21</v>
      </c>
      <c r="M528" t="str">
        <f t="shared" si="131"/>
        <v/>
      </c>
      <c r="N528" t="str">
        <f t="shared" si="132"/>
        <v/>
      </c>
      <c r="O528" t="str">
        <f t="shared" si="133"/>
        <v/>
      </c>
      <c r="P528" s="113" t="str">
        <f t="shared" si="122"/>
        <v>IT21</v>
      </c>
      <c r="Q528" s="114">
        <f t="shared" si="123"/>
        <v>238</v>
      </c>
      <c r="R528" s="114">
        <f t="shared" si="124"/>
        <v>236.33333333333334</v>
      </c>
      <c r="S528" s="113">
        <f t="shared" si="125"/>
        <v>234</v>
      </c>
      <c r="T528" s="111">
        <f t="shared" ca="1" si="126"/>
        <v>4.7</v>
      </c>
      <c r="U528" s="111" t="str">
        <f t="shared" si="127"/>
        <v/>
      </c>
      <c r="V528" t="str">
        <f t="array" ref="V528">INDEX(P:P,MAX(U$3:U528))</f>
        <v>IT#3MTR</v>
      </c>
      <c r="W528" t="str">
        <f t="shared" ca="1" si="128"/>
        <v/>
      </c>
      <c r="X528">
        <f t="shared" si="129"/>
        <v>11.4</v>
      </c>
      <c r="Y528">
        <f t="shared" si="130"/>
        <v>238</v>
      </c>
      <c r="Z528" t="str">
        <f t="shared" si="134"/>
        <v>溝墘</v>
      </c>
    </row>
    <row r="529" spans="1:26" x14ac:dyDescent="0.25">
      <c r="A529" s="118" t="s">
        <v>651</v>
      </c>
      <c r="B529" s="119" t="s">
        <v>663</v>
      </c>
      <c r="C529" s="119">
        <v>235</v>
      </c>
      <c r="D529" s="118" t="s">
        <v>198</v>
      </c>
      <c r="E529" s="118">
        <v>217</v>
      </c>
      <c r="F529" s="118" t="s">
        <v>198</v>
      </c>
      <c r="G529" s="118">
        <v>220</v>
      </c>
      <c r="H529" s="118" t="s">
        <v>198</v>
      </c>
      <c r="I529" s="378">
        <v>235</v>
      </c>
      <c r="J529" s="117">
        <v>48</v>
      </c>
      <c r="K529" s="117" t="s">
        <v>188</v>
      </c>
      <c r="L529" t="str">
        <f t="shared" si="121"/>
        <v>IT30</v>
      </c>
      <c r="M529" t="str">
        <f t="shared" si="131"/>
        <v/>
      </c>
      <c r="N529" t="str">
        <f t="shared" si="132"/>
        <v/>
      </c>
      <c r="O529" t="str">
        <f t="shared" si="133"/>
        <v/>
      </c>
      <c r="P529" s="113" t="str">
        <f t="shared" si="122"/>
        <v>IT30</v>
      </c>
      <c r="Q529" s="114">
        <f t="shared" si="123"/>
        <v>235</v>
      </c>
      <c r="R529" s="114">
        <f t="shared" si="124"/>
        <v>224</v>
      </c>
      <c r="S529" s="113">
        <f t="shared" si="125"/>
        <v>217</v>
      </c>
      <c r="T529" s="111">
        <f t="shared" ca="1" si="126"/>
        <v>4.6399999999999997</v>
      </c>
      <c r="U529" s="111" t="str">
        <f t="shared" si="127"/>
        <v/>
      </c>
      <c r="V529" t="str">
        <f t="array" ref="V529">INDEX(P:P,MAX(U$3:U529))</f>
        <v>IT#3MTR</v>
      </c>
      <c r="W529" t="str">
        <f t="shared" ca="1" si="128"/>
        <v/>
      </c>
      <c r="X529">
        <f t="shared" si="129"/>
        <v>11.4</v>
      </c>
      <c r="Y529">
        <f t="shared" si="130"/>
        <v>235</v>
      </c>
      <c r="Z529" t="str">
        <f t="shared" si="134"/>
        <v>溝墘</v>
      </c>
    </row>
    <row r="530" spans="1:26" x14ac:dyDescent="0.25">
      <c r="A530" s="118" t="s">
        <v>651</v>
      </c>
      <c r="B530" s="119" t="s">
        <v>664</v>
      </c>
      <c r="C530" s="119">
        <v>52</v>
      </c>
      <c r="D530" s="118" t="s">
        <v>207</v>
      </c>
      <c r="E530" s="118">
        <v>44</v>
      </c>
      <c r="F530" s="118" t="s">
        <v>207</v>
      </c>
      <c r="G530" s="118">
        <v>61</v>
      </c>
      <c r="H530" s="118" t="s">
        <v>207</v>
      </c>
      <c r="I530" s="378">
        <v>61</v>
      </c>
      <c r="J530" s="117">
        <v>30</v>
      </c>
      <c r="K530" s="117" t="s">
        <v>177</v>
      </c>
      <c r="L530" t="str">
        <f t="shared" si="121"/>
        <v>IT26</v>
      </c>
      <c r="M530" t="str">
        <f t="shared" si="131"/>
        <v/>
      </c>
      <c r="N530" t="str">
        <f t="shared" si="132"/>
        <v/>
      </c>
      <c r="O530" t="str">
        <f t="shared" si="133"/>
        <v/>
      </c>
      <c r="P530" s="113" t="str">
        <f t="shared" si="122"/>
        <v>IT26</v>
      </c>
      <c r="Q530" s="114">
        <f t="shared" si="123"/>
        <v>61</v>
      </c>
      <c r="R530" s="114">
        <f t="shared" si="124"/>
        <v>52.333333333333336</v>
      </c>
      <c r="S530" s="113">
        <f t="shared" si="125"/>
        <v>44</v>
      </c>
      <c r="T530" s="111">
        <f t="shared" ca="1" si="126"/>
        <v>1.2</v>
      </c>
      <c r="U530" s="111" t="str">
        <f t="shared" si="127"/>
        <v/>
      </c>
      <c r="V530" t="str">
        <f t="array" ref="V530">INDEX(P:P,MAX(U$3:U530))</f>
        <v>IT#3MTR</v>
      </c>
      <c r="W530" t="str">
        <f t="shared" ca="1" si="128"/>
        <v/>
      </c>
      <c r="X530">
        <f t="shared" si="129"/>
        <v>11.4</v>
      </c>
      <c r="Y530">
        <f t="shared" si="130"/>
        <v>61</v>
      </c>
      <c r="Z530" t="str">
        <f t="shared" si="134"/>
        <v>溝墘</v>
      </c>
    </row>
    <row r="531" spans="1:26" x14ac:dyDescent="0.25">
      <c r="A531" s="118" t="s">
        <v>651</v>
      </c>
      <c r="B531" s="119" t="s">
        <v>665</v>
      </c>
      <c r="C531" s="119">
        <v>82</v>
      </c>
      <c r="D531" s="118" t="s">
        <v>179</v>
      </c>
      <c r="E531" s="118">
        <v>60</v>
      </c>
      <c r="F531" s="118" t="s">
        <v>179</v>
      </c>
      <c r="G531" s="118">
        <v>79</v>
      </c>
      <c r="H531" s="118" t="s">
        <v>179</v>
      </c>
      <c r="I531" s="378">
        <v>82</v>
      </c>
      <c r="J531" s="117">
        <v>55</v>
      </c>
      <c r="K531" s="117" t="s">
        <v>203</v>
      </c>
      <c r="L531" t="str">
        <f t="shared" si="121"/>
        <v>IT31</v>
      </c>
      <c r="M531" t="str">
        <f t="shared" si="131"/>
        <v/>
      </c>
      <c r="N531" t="str">
        <f t="shared" si="132"/>
        <v/>
      </c>
      <c r="O531" t="str">
        <f t="shared" si="133"/>
        <v/>
      </c>
      <c r="P531" s="113" t="str">
        <f t="shared" si="122"/>
        <v>IT31</v>
      </c>
      <c r="Q531" s="114">
        <f t="shared" si="123"/>
        <v>82</v>
      </c>
      <c r="R531" s="114">
        <f t="shared" si="124"/>
        <v>73.666666666666671</v>
      </c>
      <c r="S531" s="113">
        <f t="shared" si="125"/>
        <v>60</v>
      </c>
      <c r="T531" s="111">
        <f t="shared" ca="1" si="126"/>
        <v>1.62</v>
      </c>
      <c r="U531" s="111" t="str">
        <f t="shared" si="127"/>
        <v/>
      </c>
      <c r="V531" t="str">
        <f t="array" ref="V531">INDEX(P:P,MAX(U$3:U531))</f>
        <v>IT#3MTR</v>
      </c>
      <c r="W531" t="str">
        <f t="shared" ca="1" si="128"/>
        <v/>
      </c>
      <c r="X531">
        <f t="shared" si="129"/>
        <v>11.4</v>
      </c>
      <c r="Y531">
        <f t="shared" si="130"/>
        <v>82</v>
      </c>
      <c r="Z531" t="str">
        <f t="shared" si="134"/>
        <v>溝墘</v>
      </c>
    </row>
    <row r="532" spans="1:26" x14ac:dyDescent="0.25">
      <c r="A532" s="118" t="s">
        <v>651</v>
      </c>
      <c r="B532" s="119" t="s">
        <v>666</v>
      </c>
      <c r="C532" s="119">
        <v>112</v>
      </c>
      <c r="D532" s="118" t="s">
        <v>192</v>
      </c>
      <c r="E532" s="118">
        <v>141</v>
      </c>
      <c r="F532" s="118" t="s">
        <v>200</v>
      </c>
      <c r="G532" s="118">
        <v>121</v>
      </c>
      <c r="H532" s="118" t="s">
        <v>192</v>
      </c>
      <c r="I532" s="378">
        <v>141</v>
      </c>
      <c r="J532" s="117">
        <v>59</v>
      </c>
      <c r="K532" s="117" t="s">
        <v>207</v>
      </c>
      <c r="L532" t="str">
        <f t="shared" si="121"/>
        <v>IT28</v>
      </c>
      <c r="M532" t="str">
        <f t="shared" si="131"/>
        <v/>
      </c>
      <c r="N532" t="str">
        <f t="shared" si="132"/>
        <v/>
      </c>
      <c r="O532" t="str">
        <f t="shared" si="133"/>
        <v/>
      </c>
      <c r="P532" s="113" t="str">
        <f t="shared" si="122"/>
        <v>IT28</v>
      </c>
      <c r="Q532" s="114">
        <f t="shared" si="123"/>
        <v>141</v>
      </c>
      <c r="R532" s="114">
        <f t="shared" si="124"/>
        <v>124.66666666666667</v>
      </c>
      <c r="S532" s="113">
        <f t="shared" si="125"/>
        <v>112</v>
      </c>
      <c r="T532" s="111">
        <f t="shared" ca="1" si="126"/>
        <v>2.78</v>
      </c>
      <c r="U532" s="111" t="str">
        <f t="shared" si="127"/>
        <v/>
      </c>
      <c r="V532" t="str">
        <f t="array" ref="V532">INDEX(P:P,MAX(U$3:U532))</f>
        <v>IT#3MTR</v>
      </c>
      <c r="W532" t="str">
        <f t="shared" ca="1" si="128"/>
        <v/>
      </c>
      <c r="X532">
        <f t="shared" si="129"/>
        <v>11.4</v>
      </c>
      <c r="Y532">
        <f t="shared" si="130"/>
        <v>141</v>
      </c>
      <c r="Z532" t="str">
        <f t="shared" si="134"/>
        <v>溝墘</v>
      </c>
    </row>
    <row r="533" spans="1:26" x14ac:dyDescent="0.25">
      <c r="A533" s="118" t="s">
        <v>667</v>
      </c>
      <c r="B533" s="119" t="s">
        <v>175</v>
      </c>
      <c r="C533" s="119">
        <v>159</v>
      </c>
      <c r="D533" s="118" t="s">
        <v>188</v>
      </c>
      <c r="E533" s="118">
        <v>152</v>
      </c>
      <c r="F533" s="118" t="s">
        <v>184</v>
      </c>
      <c r="G533" s="118">
        <v>164</v>
      </c>
      <c r="H533" s="118" t="s">
        <v>188</v>
      </c>
      <c r="I533" s="378">
        <v>164</v>
      </c>
      <c r="J533" s="117"/>
      <c r="K533" s="117"/>
      <c r="L533" t="str">
        <f t="shared" si="121"/>
        <v>IF#1MTR</v>
      </c>
      <c r="M533" t="str">
        <f t="shared" si="131"/>
        <v/>
      </c>
      <c r="N533" t="str">
        <f t="shared" si="132"/>
        <v>IF#1MTR</v>
      </c>
      <c r="O533" t="str">
        <f t="shared" si="133"/>
        <v/>
      </c>
      <c r="P533" s="113" t="str">
        <f t="shared" si="122"/>
        <v>IF#1MTR</v>
      </c>
      <c r="Q533" s="114">
        <f t="shared" si="123"/>
        <v>164</v>
      </c>
      <c r="R533" s="114">
        <f t="shared" si="124"/>
        <v>158.33333333333334</v>
      </c>
      <c r="S533" s="113">
        <f t="shared" si="125"/>
        <v>152</v>
      </c>
      <c r="T533" s="111">
        <f t="shared" ca="1" si="126"/>
        <v>3.24</v>
      </c>
      <c r="U533" s="111">
        <f t="shared" si="127"/>
        <v>533</v>
      </c>
      <c r="V533" t="str">
        <f t="array" ref="V533">INDEX(P:P,MAX(U$3:U533))</f>
        <v>IF#1MTR</v>
      </c>
      <c r="W533">
        <f t="shared" ca="1" si="128"/>
        <v>25</v>
      </c>
      <c r="X533" t="str">
        <f t="shared" si="129"/>
        <v/>
      </c>
      <c r="Y533">
        <f t="shared" si="130"/>
        <v>164</v>
      </c>
      <c r="Z533" t="str">
        <f t="shared" si="134"/>
        <v>溪州</v>
      </c>
    </row>
    <row r="534" spans="1:26" x14ac:dyDescent="0.25">
      <c r="A534" s="118" t="s">
        <v>667</v>
      </c>
      <c r="B534" s="119" t="s">
        <v>668</v>
      </c>
      <c r="C534" s="119">
        <v>0</v>
      </c>
      <c r="D534" s="118" t="s">
        <v>194</v>
      </c>
      <c r="E534" s="118">
        <v>0</v>
      </c>
      <c r="F534" s="118" t="s">
        <v>194</v>
      </c>
      <c r="G534" s="118">
        <v>0</v>
      </c>
      <c r="H534" s="118" t="s">
        <v>194</v>
      </c>
      <c r="I534" s="378">
        <v>0</v>
      </c>
      <c r="J534" s="117">
        <v>0</v>
      </c>
      <c r="K534" s="117" t="s">
        <v>194</v>
      </c>
      <c r="L534" t="str">
        <f t="shared" si="121"/>
        <v>IF40</v>
      </c>
      <c r="M534" t="str">
        <f t="shared" si="131"/>
        <v/>
      </c>
      <c r="N534" t="str">
        <f t="shared" si="132"/>
        <v/>
      </c>
      <c r="O534" t="str">
        <f t="shared" si="133"/>
        <v/>
      </c>
      <c r="P534" s="113" t="str">
        <f t="shared" si="122"/>
        <v>IF40</v>
      </c>
      <c r="Q534" s="114">
        <f t="shared" si="123"/>
        <v>0</v>
      </c>
      <c r="R534" s="114">
        <f t="shared" si="124"/>
        <v>0</v>
      </c>
      <c r="S534" s="113">
        <f t="shared" si="125"/>
        <v>0</v>
      </c>
      <c r="T534" s="111">
        <f t="shared" ca="1" si="126"/>
        <v>0</v>
      </c>
      <c r="U534" s="111" t="str">
        <f t="shared" si="127"/>
        <v/>
      </c>
      <c r="V534" t="str">
        <f t="array" ref="V534">INDEX(P:P,MAX(U$3:U534))</f>
        <v>IF#1MTR</v>
      </c>
      <c r="W534" t="str">
        <f t="shared" ca="1" si="128"/>
        <v/>
      </c>
      <c r="X534">
        <f t="shared" si="129"/>
        <v>11.4</v>
      </c>
      <c r="Y534">
        <f t="shared" si="130"/>
        <v>0</v>
      </c>
      <c r="Z534" t="str">
        <f t="shared" si="134"/>
        <v>溪州</v>
      </c>
    </row>
    <row r="535" spans="1:26" x14ac:dyDescent="0.25">
      <c r="A535" s="118" t="s">
        <v>667</v>
      </c>
      <c r="B535" s="119" t="s">
        <v>669</v>
      </c>
      <c r="C535" s="119">
        <v>0</v>
      </c>
      <c r="D535" s="118" t="s">
        <v>194</v>
      </c>
      <c r="E535" s="118">
        <v>0</v>
      </c>
      <c r="F535" s="118" t="s">
        <v>194</v>
      </c>
      <c r="G535" s="118">
        <v>0</v>
      </c>
      <c r="H535" s="118" t="s">
        <v>194</v>
      </c>
      <c r="I535" s="378">
        <v>0</v>
      </c>
      <c r="J535" s="117">
        <v>0</v>
      </c>
      <c r="K535" s="117" t="s">
        <v>194</v>
      </c>
      <c r="L535" t="str">
        <f t="shared" si="121"/>
        <v>IF21</v>
      </c>
      <c r="M535" t="str">
        <f t="shared" si="131"/>
        <v/>
      </c>
      <c r="N535" t="str">
        <f t="shared" si="132"/>
        <v/>
      </c>
      <c r="O535" t="str">
        <f t="shared" si="133"/>
        <v/>
      </c>
      <c r="P535" s="113" t="str">
        <f t="shared" si="122"/>
        <v>IF21</v>
      </c>
      <c r="Q535" s="114">
        <f t="shared" si="123"/>
        <v>0</v>
      </c>
      <c r="R535" s="114">
        <f t="shared" si="124"/>
        <v>0</v>
      </c>
      <c r="S535" s="113">
        <f t="shared" si="125"/>
        <v>0</v>
      </c>
      <c r="T535" s="111">
        <f t="shared" ca="1" si="126"/>
        <v>0</v>
      </c>
      <c r="U535" s="111" t="str">
        <f t="shared" si="127"/>
        <v/>
      </c>
      <c r="V535" t="str">
        <f t="array" ref="V535">INDEX(P:P,MAX(U$3:U535))</f>
        <v>IF#1MTR</v>
      </c>
      <c r="W535" t="str">
        <f t="shared" ca="1" si="128"/>
        <v/>
      </c>
      <c r="X535">
        <f t="shared" si="129"/>
        <v>11.4</v>
      </c>
      <c r="Y535">
        <f t="shared" si="130"/>
        <v>0</v>
      </c>
      <c r="Z535" t="str">
        <f t="shared" si="134"/>
        <v>溪州</v>
      </c>
    </row>
    <row r="536" spans="1:26" x14ac:dyDescent="0.25">
      <c r="A536" s="118" t="s">
        <v>667</v>
      </c>
      <c r="B536" s="119" t="s">
        <v>670</v>
      </c>
      <c r="C536" s="119">
        <v>157</v>
      </c>
      <c r="D536" s="118" t="s">
        <v>188</v>
      </c>
      <c r="E536" s="118">
        <v>159</v>
      </c>
      <c r="F536" s="118" t="s">
        <v>184</v>
      </c>
      <c r="G536" s="118">
        <v>161</v>
      </c>
      <c r="H536" s="118" t="s">
        <v>188</v>
      </c>
      <c r="I536" s="378">
        <v>161</v>
      </c>
      <c r="J536" s="117">
        <v>42</v>
      </c>
      <c r="K536" s="117" t="s">
        <v>188</v>
      </c>
      <c r="L536" t="str">
        <f t="shared" si="121"/>
        <v>IF25</v>
      </c>
      <c r="M536" t="str">
        <f t="shared" si="131"/>
        <v/>
      </c>
      <c r="N536" t="str">
        <f t="shared" si="132"/>
        <v/>
      </c>
      <c r="O536" t="str">
        <f t="shared" si="133"/>
        <v/>
      </c>
      <c r="P536" s="113" t="str">
        <f t="shared" si="122"/>
        <v>IF25</v>
      </c>
      <c r="Q536" s="114">
        <f t="shared" si="123"/>
        <v>161</v>
      </c>
      <c r="R536" s="114">
        <f t="shared" si="124"/>
        <v>159</v>
      </c>
      <c r="S536" s="113">
        <f t="shared" si="125"/>
        <v>157</v>
      </c>
      <c r="T536" s="111">
        <f t="shared" ca="1" si="126"/>
        <v>3.18</v>
      </c>
      <c r="U536" s="111" t="str">
        <f t="shared" si="127"/>
        <v/>
      </c>
      <c r="V536" t="str">
        <f t="array" ref="V536">INDEX(P:P,MAX(U$3:U536))</f>
        <v>IF#1MTR</v>
      </c>
      <c r="W536" t="str">
        <f t="shared" ca="1" si="128"/>
        <v/>
      </c>
      <c r="X536">
        <f t="shared" si="129"/>
        <v>11.4</v>
      </c>
      <c r="Y536">
        <f t="shared" si="130"/>
        <v>161</v>
      </c>
      <c r="Z536" t="str">
        <f t="shared" si="134"/>
        <v>溪州</v>
      </c>
    </row>
    <row r="537" spans="1:26" x14ac:dyDescent="0.25">
      <c r="A537" s="118" t="s">
        <v>667</v>
      </c>
      <c r="B537" s="119" t="s">
        <v>671</v>
      </c>
      <c r="C537" s="119">
        <v>0</v>
      </c>
      <c r="D537" s="118" t="s">
        <v>194</v>
      </c>
      <c r="E537" s="118">
        <v>0</v>
      </c>
      <c r="F537" s="118" t="s">
        <v>194</v>
      </c>
      <c r="G537" s="118">
        <v>0</v>
      </c>
      <c r="H537" s="118" t="s">
        <v>194</v>
      </c>
      <c r="I537" s="378">
        <v>0</v>
      </c>
      <c r="J537" s="117">
        <v>0</v>
      </c>
      <c r="K537" s="117" t="s">
        <v>194</v>
      </c>
      <c r="L537" t="str">
        <f t="shared" si="121"/>
        <v>IF30</v>
      </c>
      <c r="M537" t="str">
        <f t="shared" si="131"/>
        <v/>
      </c>
      <c r="N537" t="str">
        <f t="shared" si="132"/>
        <v/>
      </c>
      <c r="O537" t="str">
        <f t="shared" si="133"/>
        <v/>
      </c>
      <c r="P537" s="113" t="str">
        <f t="shared" si="122"/>
        <v>IF30</v>
      </c>
      <c r="Q537" s="114">
        <f t="shared" si="123"/>
        <v>0</v>
      </c>
      <c r="R537" s="114">
        <f t="shared" si="124"/>
        <v>0</v>
      </c>
      <c r="S537" s="113">
        <f t="shared" si="125"/>
        <v>0</v>
      </c>
      <c r="T537" s="111">
        <f t="shared" ca="1" si="126"/>
        <v>0</v>
      </c>
      <c r="U537" s="111" t="str">
        <f t="shared" si="127"/>
        <v/>
      </c>
      <c r="V537" t="str">
        <f t="array" ref="V537">INDEX(P:P,MAX(U$3:U537))</f>
        <v>IF#1MTR</v>
      </c>
      <c r="W537" t="str">
        <f t="shared" ca="1" si="128"/>
        <v/>
      </c>
      <c r="X537">
        <f t="shared" si="129"/>
        <v>11.4</v>
      </c>
      <c r="Y537">
        <f t="shared" si="130"/>
        <v>0</v>
      </c>
      <c r="Z537" t="str">
        <f t="shared" si="134"/>
        <v>溪州</v>
      </c>
    </row>
    <row r="538" spans="1:26" x14ac:dyDescent="0.25">
      <c r="A538" s="118" t="s">
        <v>667</v>
      </c>
      <c r="B538" s="119" t="s">
        <v>672</v>
      </c>
      <c r="C538" s="119">
        <v>0</v>
      </c>
      <c r="D538" s="118" t="s">
        <v>194</v>
      </c>
      <c r="E538" s="118">
        <v>0</v>
      </c>
      <c r="F538" s="118" t="s">
        <v>194</v>
      </c>
      <c r="G538" s="118">
        <v>0</v>
      </c>
      <c r="H538" s="118" t="s">
        <v>194</v>
      </c>
      <c r="I538" s="378">
        <v>0</v>
      </c>
      <c r="J538" s="117">
        <v>0</v>
      </c>
      <c r="K538" s="117" t="s">
        <v>194</v>
      </c>
      <c r="L538" t="str">
        <f t="shared" si="121"/>
        <v>IF33</v>
      </c>
      <c r="M538" t="str">
        <f t="shared" si="131"/>
        <v/>
      </c>
      <c r="N538" t="str">
        <f t="shared" si="132"/>
        <v/>
      </c>
      <c r="O538" t="str">
        <f t="shared" si="133"/>
        <v/>
      </c>
      <c r="P538" s="113" t="str">
        <f t="shared" si="122"/>
        <v>IF33</v>
      </c>
      <c r="Q538" s="114">
        <f t="shared" si="123"/>
        <v>0</v>
      </c>
      <c r="R538" s="114">
        <f t="shared" si="124"/>
        <v>0</v>
      </c>
      <c r="S538" s="113">
        <f t="shared" si="125"/>
        <v>0</v>
      </c>
      <c r="T538" s="111">
        <f t="shared" ca="1" si="126"/>
        <v>0</v>
      </c>
      <c r="U538" s="111" t="str">
        <f t="shared" si="127"/>
        <v/>
      </c>
      <c r="V538" t="str">
        <f t="array" ref="V538">INDEX(P:P,MAX(U$3:U538))</f>
        <v>IF#1MTR</v>
      </c>
      <c r="W538" t="str">
        <f t="shared" ca="1" si="128"/>
        <v/>
      </c>
      <c r="X538">
        <f t="shared" si="129"/>
        <v>11.4</v>
      </c>
      <c r="Y538">
        <f t="shared" si="130"/>
        <v>0</v>
      </c>
      <c r="Z538" t="str">
        <f t="shared" si="134"/>
        <v>溪州</v>
      </c>
    </row>
    <row r="539" spans="1:26" x14ac:dyDescent="0.25">
      <c r="A539" s="118" t="s">
        <v>667</v>
      </c>
      <c r="B539" s="119" t="s">
        <v>673</v>
      </c>
      <c r="C539" s="119">
        <v>0</v>
      </c>
      <c r="D539" s="118" t="s">
        <v>194</v>
      </c>
      <c r="E539" s="118">
        <v>0</v>
      </c>
      <c r="F539" s="118" t="s">
        <v>194</v>
      </c>
      <c r="G539" s="118">
        <v>0</v>
      </c>
      <c r="H539" s="118" t="s">
        <v>194</v>
      </c>
      <c r="I539" s="378">
        <v>0</v>
      </c>
      <c r="J539" s="117">
        <v>0</v>
      </c>
      <c r="K539" s="117" t="s">
        <v>194</v>
      </c>
      <c r="L539" t="str">
        <f t="shared" si="121"/>
        <v>IF34</v>
      </c>
      <c r="M539" t="str">
        <f t="shared" si="131"/>
        <v/>
      </c>
      <c r="N539" t="str">
        <f t="shared" si="132"/>
        <v/>
      </c>
      <c r="O539" t="str">
        <f t="shared" si="133"/>
        <v/>
      </c>
      <c r="P539" s="113" t="str">
        <f t="shared" si="122"/>
        <v>IF34</v>
      </c>
      <c r="Q539" s="114">
        <f t="shared" si="123"/>
        <v>0</v>
      </c>
      <c r="R539" s="114">
        <f t="shared" si="124"/>
        <v>0</v>
      </c>
      <c r="S539" s="113">
        <f t="shared" si="125"/>
        <v>0</v>
      </c>
      <c r="T539" s="111">
        <f t="shared" ca="1" si="126"/>
        <v>0</v>
      </c>
      <c r="U539" s="111" t="str">
        <f t="shared" si="127"/>
        <v/>
      </c>
      <c r="V539" t="str">
        <f t="array" ref="V539">INDEX(P:P,MAX(U$3:U539))</f>
        <v>IF#1MTR</v>
      </c>
      <c r="W539" t="str">
        <f t="shared" ca="1" si="128"/>
        <v/>
      </c>
      <c r="X539">
        <f t="shared" si="129"/>
        <v>11.4</v>
      </c>
      <c r="Y539">
        <f t="shared" si="130"/>
        <v>0</v>
      </c>
      <c r="Z539" t="str">
        <f t="shared" si="134"/>
        <v>溪州</v>
      </c>
    </row>
    <row r="540" spans="1:26" x14ac:dyDescent="0.25">
      <c r="A540" s="118" t="s">
        <v>667</v>
      </c>
      <c r="B540" s="119" t="s">
        <v>187</v>
      </c>
      <c r="C540" s="119">
        <v>0</v>
      </c>
      <c r="D540" s="118" t="s">
        <v>194</v>
      </c>
      <c r="E540" s="118">
        <v>0</v>
      </c>
      <c r="F540" s="118" t="s">
        <v>194</v>
      </c>
      <c r="G540" s="118">
        <v>0</v>
      </c>
      <c r="H540" s="118" t="s">
        <v>194</v>
      </c>
      <c r="I540" s="378">
        <v>0</v>
      </c>
      <c r="J540" s="117"/>
      <c r="K540" s="117"/>
      <c r="L540" t="str">
        <f t="shared" si="121"/>
        <v>IF#2MTR</v>
      </c>
      <c r="M540" t="str">
        <f t="shared" si="131"/>
        <v/>
      </c>
      <c r="N540" t="str">
        <f t="shared" si="132"/>
        <v>IF#2MTR</v>
      </c>
      <c r="O540" t="str">
        <f t="shared" si="133"/>
        <v/>
      </c>
      <c r="P540" s="113" t="str">
        <f t="shared" si="122"/>
        <v>IF#2MTR</v>
      </c>
      <c r="Q540" s="114">
        <f t="shared" si="123"/>
        <v>0</v>
      </c>
      <c r="R540" s="114">
        <f t="shared" si="124"/>
        <v>0</v>
      </c>
      <c r="S540" s="113">
        <f t="shared" si="125"/>
        <v>0</v>
      </c>
      <c r="T540" s="111">
        <f t="shared" ca="1" si="126"/>
        <v>0</v>
      </c>
      <c r="U540" s="111">
        <f t="shared" si="127"/>
        <v>540</v>
      </c>
      <c r="V540" t="str">
        <f t="array" ref="V540">INDEX(P:P,MAX(U$3:U540))</f>
        <v>IF#2MTR</v>
      </c>
      <c r="W540">
        <f t="shared" ca="1" si="128"/>
        <v>25</v>
      </c>
      <c r="X540" t="str">
        <f t="shared" si="129"/>
        <v/>
      </c>
      <c r="Y540">
        <f t="shared" si="130"/>
        <v>0</v>
      </c>
      <c r="Z540" t="str">
        <f t="shared" si="134"/>
        <v>溪州</v>
      </c>
    </row>
    <row r="541" spans="1:26" x14ac:dyDescent="0.25">
      <c r="A541" s="118" t="s">
        <v>667</v>
      </c>
      <c r="B541" s="119" t="s">
        <v>674</v>
      </c>
      <c r="C541" s="119">
        <v>0</v>
      </c>
      <c r="D541" s="118" t="s">
        <v>194</v>
      </c>
      <c r="E541" s="118">
        <v>0</v>
      </c>
      <c r="F541" s="118" t="s">
        <v>194</v>
      </c>
      <c r="G541" s="118">
        <v>0</v>
      </c>
      <c r="H541" s="118" t="s">
        <v>194</v>
      </c>
      <c r="I541" s="378">
        <v>0</v>
      </c>
      <c r="J541" s="117">
        <v>0</v>
      </c>
      <c r="K541" s="117" t="s">
        <v>194</v>
      </c>
      <c r="L541" t="str">
        <f t="shared" si="121"/>
        <v>IF41</v>
      </c>
      <c r="M541" t="str">
        <f t="shared" si="131"/>
        <v/>
      </c>
      <c r="N541" t="str">
        <f t="shared" si="132"/>
        <v/>
      </c>
      <c r="O541" t="str">
        <f t="shared" si="133"/>
        <v/>
      </c>
      <c r="P541" s="113" t="str">
        <f t="shared" si="122"/>
        <v>IF41</v>
      </c>
      <c r="Q541" s="114">
        <f t="shared" si="123"/>
        <v>0</v>
      </c>
      <c r="R541" s="114">
        <f t="shared" si="124"/>
        <v>0</v>
      </c>
      <c r="S541" s="113">
        <f t="shared" si="125"/>
        <v>0</v>
      </c>
      <c r="T541" s="111">
        <f t="shared" ca="1" si="126"/>
        <v>0</v>
      </c>
      <c r="U541" s="111" t="str">
        <f t="shared" si="127"/>
        <v/>
      </c>
      <c r="V541" t="str">
        <f t="array" ref="V541">INDEX(P:P,MAX(U$3:U541))</f>
        <v>IF#2MTR</v>
      </c>
      <c r="W541" t="str">
        <f t="shared" ca="1" si="128"/>
        <v/>
      </c>
      <c r="X541">
        <f t="shared" si="129"/>
        <v>11.4</v>
      </c>
      <c r="Y541">
        <f t="shared" si="130"/>
        <v>0</v>
      </c>
      <c r="Z541" t="str">
        <f t="shared" si="134"/>
        <v>溪州</v>
      </c>
    </row>
    <row r="542" spans="1:26" x14ac:dyDescent="0.25">
      <c r="A542" s="118" t="s">
        <v>667</v>
      </c>
      <c r="B542" s="119" t="s">
        <v>675</v>
      </c>
      <c r="C542" s="119">
        <v>0</v>
      </c>
      <c r="D542" s="118" t="s">
        <v>194</v>
      </c>
      <c r="E542" s="118">
        <v>0</v>
      </c>
      <c r="F542" s="118" t="s">
        <v>194</v>
      </c>
      <c r="G542" s="118">
        <v>0</v>
      </c>
      <c r="H542" s="118" t="s">
        <v>194</v>
      </c>
      <c r="I542" s="378">
        <v>0</v>
      </c>
      <c r="J542" s="117">
        <v>0</v>
      </c>
      <c r="K542" s="117" t="s">
        <v>194</v>
      </c>
      <c r="L542" t="str">
        <f t="shared" si="121"/>
        <v>IF31</v>
      </c>
      <c r="M542" t="str">
        <f t="shared" si="131"/>
        <v/>
      </c>
      <c r="N542" t="str">
        <f t="shared" si="132"/>
        <v/>
      </c>
      <c r="O542" t="str">
        <f t="shared" si="133"/>
        <v/>
      </c>
      <c r="P542" s="113" t="str">
        <f t="shared" si="122"/>
        <v>IF31</v>
      </c>
      <c r="Q542" s="114">
        <f t="shared" si="123"/>
        <v>0</v>
      </c>
      <c r="R542" s="114">
        <f t="shared" si="124"/>
        <v>0</v>
      </c>
      <c r="S542" s="113">
        <f t="shared" si="125"/>
        <v>0</v>
      </c>
      <c r="T542" s="111">
        <f t="shared" ca="1" si="126"/>
        <v>0</v>
      </c>
      <c r="U542" s="111" t="str">
        <f t="shared" si="127"/>
        <v/>
      </c>
      <c r="V542" t="str">
        <f t="array" ref="V542">INDEX(P:P,MAX(U$3:U542))</f>
        <v>IF#2MTR</v>
      </c>
      <c r="W542" t="str">
        <f t="shared" ca="1" si="128"/>
        <v/>
      </c>
      <c r="X542">
        <f t="shared" si="129"/>
        <v>11.4</v>
      </c>
      <c r="Y542">
        <f t="shared" si="130"/>
        <v>0</v>
      </c>
      <c r="Z542" t="str">
        <f t="shared" si="134"/>
        <v>溪州</v>
      </c>
    </row>
    <row r="543" spans="1:26" x14ac:dyDescent="0.25">
      <c r="A543" s="118" t="s">
        <v>667</v>
      </c>
      <c r="B543" s="119" t="s">
        <v>676</v>
      </c>
      <c r="C543" s="119">
        <v>0</v>
      </c>
      <c r="D543" s="118" t="s">
        <v>194</v>
      </c>
      <c r="E543" s="118">
        <v>0</v>
      </c>
      <c r="F543" s="118" t="s">
        <v>194</v>
      </c>
      <c r="G543" s="118">
        <v>0</v>
      </c>
      <c r="H543" s="118" t="s">
        <v>194</v>
      </c>
      <c r="I543" s="378">
        <v>0</v>
      </c>
      <c r="J543" s="117">
        <v>0</v>
      </c>
      <c r="K543" s="117" t="s">
        <v>194</v>
      </c>
      <c r="L543" t="str">
        <f t="shared" si="121"/>
        <v>IF24</v>
      </c>
      <c r="M543" t="str">
        <f t="shared" si="131"/>
        <v/>
      </c>
      <c r="N543" t="str">
        <f t="shared" si="132"/>
        <v/>
      </c>
      <c r="O543" t="str">
        <f t="shared" si="133"/>
        <v/>
      </c>
      <c r="P543" s="113" t="str">
        <f t="shared" si="122"/>
        <v>IF24</v>
      </c>
      <c r="Q543" s="114">
        <f t="shared" si="123"/>
        <v>0</v>
      </c>
      <c r="R543" s="114">
        <f t="shared" si="124"/>
        <v>0</v>
      </c>
      <c r="S543" s="113">
        <f t="shared" si="125"/>
        <v>0</v>
      </c>
      <c r="T543" s="111">
        <f t="shared" ca="1" si="126"/>
        <v>0</v>
      </c>
      <c r="U543" s="111" t="str">
        <f t="shared" si="127"/>
        <v/>
      </c>
      <c r="V543" t="str">
        <f t="array" ref="V543">INDEX(P:P,MAX(U$3:U543))</f>
        <v>IF#2MTR</v>
      </c>
      <c r="W543" t="str">
        <f t="shared" ca="1" si="128"/>
        <v/>
      </c>
      <c r="X543">
        <f t="shared" si="129"/>
        <v>11.4</v>
      </c>
      <c r="Y543">
        <f t="shared" si="130"/>
        <v>0</v>
      </c>
      <c r="Z543" t="str">
        <f t="shared" si="134"/>
        <v>溪州</v>
      </c>
    </row>
    <row r="544" spans="1:26" x14ac:dyDescent="0.25">
      <c r="A544" s="118" t="s">
        <v>667</v>
      </c>
      <c r="B544" s="119" t="s">
        <v>677</v>
      </c>
      <c r="C544" s="119">
        <v>0</v>
      </c>
      <c r="D544" s="118" t="s">
        <v>194</v>
      </c>
      <c r="E544" s="118">
        <v>0</v>
      </c>
      <c r="F544" s="118" t="s">
        <v>194</v>
      </c>
      <c r="G544" s="118">
        <v>0</v>
      </c>
      <c r="H544" s="118" t="s">
        <v>194</v>
      </c>
      <c r="I544" s="378">
        <v>0</v>
      </c>
      <c r="J544" s="117">
        <v>0</v>
      </c>
      <c r="K544" s="117" t="s">
        <v>194</v>
      </c>
      <c r="L544" t="str">
        <f t="shared" si="121"/>
        <v>IF22</v>
      </c>
      <c r="M544" t="str">
        <f t="shared" si="131"/>
        <v/>
      </c>
      <c r="N544" t="str">
        <f t="shared" si="132"/>
        <v/>
      </c>
      <c r="O544" t="str">
        <f t="shared" si="133"/>
        <v/>
      </c>
      <c r="P544" s="113" t="str">
        <f t="shared" si="122"/>
        <v>IF22</v>
      </c>
      <c r="Q544" s="114">
        <f t="shared" si="123"/>
        <v>0</v>
      </c>
      <c r="R544" s="114">
        <f t="shared" si="124"/>
        <v>0</v>
      </c>
      <c r="S544" s="113">
        <f t="shared" si="125"/>
        <v>0</v>
      </c>
      <c r="T544" s="111">
        <f t="shared" ca="1" si="126"/>
        <v>0</v>
      </c>
      <c r="U544" s="111" t="str">
        <f t="shared" si="127"/>
        <v/>
      </c>
      <c r="V544" t="str">
        <f t="array" ref="V544">INDEX(P:P,MAX(U$3:U544))</f>
        <v>IF#2MTR</v>
      </c>
      <c r="W544" t="str">
        <f t="shared" ca="1" si="128"/>
        <v/>
      </c>
      <c r="X544">
        <f t="shared" si="129"/>
        <v>11.4</v>
      </c>
      <c r="Y544">
        <f t="shared" si="130"/>
        <v>0</v>
      </c>
      <c r="Z544" t="str">
        <f t="shared" si="134"/>
        <v>溪州</v>
      </c>
    </row>
    <row r="545" spans="1:26" x14ac:dyDescent="0.25">
      <c r="A545" s="118" t="s">
        <v>667</v>
      </c>
      <c r="B545" s="119" t="s">
        <v>678</v>
      </c>
      <c r="C545" s="119">
        <v>0</v>
      </c>
      <c r="D545" s="118" t="s">
        <v>194</v>
      </c>
      <c r="E545" s="118">
        <v>0</v>
      </c>
      <c r="F545" s="118" t="s">
        <v>194</v>
      </c>
      <c r="G545" s="118">
        <v>0</v>
      </c>
      <c r="H545" s="118" t="s">
        <v>194</v>
      </c>
      <c r="I545" s="378">
        <v>0</v>
      </c>
      <c r="J545" s="117">
        <v>0</v>
      </c>
      <c r="K545" s="117" t="s">
        <v>194</v>
      </c>
      <c r="L545" t="str">
        <f t="shared" si="121"/>
        <v>IF23</v>
      </c>
      <c r="M545" t="str">
        <f t="shared" si="131"/>
        <v/>
      </c>
      <c r="N545" t="str">
        <f t="shared" si="132"/>
        <v/>
      </c>
      <c r="O545" t="str">
        <f t="shared" si="133"/>
        <v/>
      </c>
      <c r="P545" s="113" t="str">
        <f t="shared" si="122"/>
        <v>IF23</v>
      </c>
      <c r="Q545" s="114">
        <f t="shared" si="123"/>
        <v>0</v>
      </c>
      <c r="R545" s="114">
        <f t="shared" si="124"/>
        <v>0</v>
      </c>
      <c r="S545" s="113">
        <f t="shared" si="125"/>
        <v>0</v>
      </c>
      <c r="T545" s="111">
        <f t="shared" ca="1" si="126"/>
        <v>0</v>
      </c>
      <c r="U545" s="111" t="str">
        <f t="shared" si="127"/>
        <v/>
      </c>
      <c r="V545" t="str">
        <f t="array" ref="V545">INDEX(P:P,MAX(U$3:U545))</f>
        <v>IF#2MTR</v>
      </c>
      <c r="W545" t="str">
        <f t="shared" ca="1" si="128"/>
        <v/>
      </c>
      <c r="X545">
        <f t="shared" si="129"/>
        <v>11.4</v>
      </c>
      <c r="Y545">
        <f t="shared" si="130"/>
        <v>0</v>
      </c>
      <c r="Z545" t="str">
        <f t="shared" si="134"/>
        <v>溪州</v>
      </c>
    </row>
    <row r="546" spans="1:26" x14ac:dyDescent="0.25">
      <c r="A546" s="118" t="s">
        <v>667</v>
      </c>
      <c r="B546" s="119" t="s">
        <v>679</v>
      </c>
      <c r="C546" s="119">
        <v>0</v>
      </c>
      <c r="D546" s="118" t="s">
        <v>194</v>
      </c>
      <c r="E546" s="118">
        <v>0</v>
      </c>
      <c r="F546" s="118" t="s">
        <v>194</v>
      </c>
      <c r="G546" s="118">
        <v>0</v>
      </c>
      <c r="H546" s="118" t="s">
        <v>194</v>
      </c>
      <c r="I546" s="378">
        <v>0</v>
      </c>
      <c r="J546" s="117">
        <v>0</v>
      </c>
      <c r="K546" s="117" t="s">
        <v>194</v>
      </c>
      <c r="L546" t="str">
        <f t="shared" si="121"/>
        <v>IF26</v>
      </c>
      <c r="M546" t="str">
        <f t="shared" si="131"/>
        <v/>
      </c>
      <c r="N546" t="str">
        <f t="shared" si="132"/>
        <v/>
      </c>
      <c r="O546" t="str">
        <f t="shared" si="133"/>
        <v/>
      </c>
      <c r="P546" s="113" t="str">
        <f t="shared" si="122"/>
        <v>IF26</v>
      </c>
      <c r="Q546" s="114">
        <f t="shared" si="123"/>
        <v>0</v>
      </c>
      <c r="R546" s="114">
        <f t="shared" si="124"/>
        <v>0</v>
      </c>
      <c r="S546" s="113">
        <f t="shared" si="125"/>
        <v>0</v>
      </c>
      <c r="T546" s="111">
        <f t="shared" ca="1" si="126"/>
        <v>0</v>
      </c>
      <c r="U546" s="111" t="str">
        <f t="shared" si="127"/>
        <v/>
      </c>
      <c r="V546" t="str">
        <f t="array" ref="V546">INDEX(P:P,MAX(U$3:U546))</f>
        <v>IF#2MTR</v>
      </c>
      <c r="W546" t="str">
        <f t="shared" ca="1" si="128"/>
        <v/>
      </c>
      <c r="X546">
        <f t="shared" si="129"/>
        <v>11.4</v>
      </c>
      <c r="Y546">
        <f t="shared" si="130"/>
        <v>0</v>
      </c>
      <c r="Z546" t="str">
        <f t="shared" si="134"/>
        <v>溪州</v>
      </c>
    </row>
    <row r="547" spans="1:26" x14ac:dyDescent="0.25">
      <c r="A547" s="118" t="s">
        <v>667</v>
      </c>
      <c r="B547" s="119" t="s">
        <v>197</v>
      </c>
      <c r="C547" s="119">
        <v>785</v>
      </c>
      <c r="D547" s="118" t="s">
        <v>177</v>
      </c>
      <c r="E547" s="118">
        <v>746</v>
      </c>
      <c r="F547" s="118" t="s">
        <v>179</v>
      </c>
      <c r="G547" s="118">
        <v>803</v>
      </c>
      <c r="H547" s="118" t="s">
        <v>177</v>
      </c>
      <c r="I547" s="378">
        <v>803</v>
      </c>
      <c r="J547" s="117"/>
      <c r="K547" s="117"/>
      <c r="L547" t="str">
        <f t="shared" si="121"/>
        <v>IF#3MTR</v>
      </c>
      <c r="M547" t="str">
        <f t="shared" si="131"/>
        <v/>
      </c>
      <c r="N547" t="str">
        <f t="shared" si="132"/>
        <v>IF#3MTR</v>
      </c>
      <c r="O547" t="str">
        <f t="shared" si="133"/>
        <v/>
      </c>
      <c r="P547" s="113" t="str">
        <f t="shared" si="122"/>
        <v>IF#3MTR</v>
      </c>
      <c r="Q547" s="114">
        <f t="shared" si="123"/>
        <v>803</v>
      </c>
      <c r="R547" s="114">
        <f t="shared" si="124"/>
        <v>778</v>
      </c>
      <c r="S547" s="113">
        <f t="shared" si="125"/>
        <v>746</v>
      </c>
      <c r="T547" s="111">
        <f t="shared" ca="1" si="126"/>
        <v>15.86</v>
      </c>
      <c r="U547" s="111">
        <f t="shared" si="127"/>
        <v>547</v>
      </c>
      <c r="V547" t="str">
        <f t="array" ref="V547">INDEX(P:P,MAX(U$3:U547))</f>
        <v>IF#3MTR</v>
      </c>
      <c r="W547">
        <f t="shared" ca="1" si="128"/>
        <v>25</v>
      </c>
      <c r="X547" t="str">
        <f t="shared" si="129"/>
        <v/>
      </c>
      <c r="Y547">
        <f t="shared" si="130"/>
        <v>803</v>
      </c>
      <c r="Z547" t="str">
        <f t="shared" si="134"/>
        <v>溪州</v>
      </c>
    </row>
    <row r="548" spans="1:26" x14ac:dyDescent="0.25">
      <c r="A548" s="118" t="s">
        <v>667</v>
      </c>
      <c r="B548" s="119" t="s">
        <v>680</v>
      </c>
      <c r="C548" s="119">
        <v>17</v>
      </c>
      <c r="D548" s="118" t="s">
        <v>229</v>
      </c>
      <c r="E548" s="118">
        <v>25</v>
      </c>
      <c r="F548" s="118" t="s">
        <v>188</v>
      </c>
      <c r="G548" s="118">
        <v>20</v>
      </c>
      <c r="H548" s="118" t="s">
        <v>180</v>
      </c>
      <c r="I548" s="378">
        <v>25</v>
      </c>
      <c r="J548" s="117">
        <v>17</v>
      </c>
      <c r="K548" s="117" t="s">
        <v>188</v>
      </c>
      <c r="L548" t="str">
        <f t="shared" si="121"/>
        <v>IF35</v>
      </c>
      <c r="M548" t="str">
        <f t="shared" si="131"/>
        <v/>
      </c>
      <c r="N548" t="str">
        <f t="shared" si="132"/>
        <v/>
      </c>
      <c r="O548" t="str">
        <f t="shared" si="133"/>
        <v/>
      </c>
      <c r="P548" s="113" t="str">
        <f t="shared" si="122"/>
        <v>IF35</v>
      </c>
      <c r="Q548" s="114">
        <f t="shared" si="123"/>
        <v>25</v>
      </c>
      <c r="R548" s="114">
        <f t="shared" si="124"/>
        <v>20.666666666666668</v>
      </c>
      <c r="S548" s="113">
        <f t="shared" si="125"/>
        <v>17</v>
      </c>
      <c r="T548" s="111">
        <f t="shared" ca="1" si="126"/>
        <v>0.49</v>
      </c>
      <c r="U548" s="111" t="str">
        <f t="shared" si="127"/>
        <v/>
      </c>
      <c r="V548" t="str">
        <f t="array" ref="V548">INDEX(P:P,MAX(U$3:U548))</f>
        <v>IF#3MTR</v>
      </c>
      <c r="W548" t="str">
        <f t="shared" ca="1" si="128"/>
        <v/>
      </c>
      <c r="X548">
        <f t="shared" si="129"/>
        <v>11.4</v>
      </c>
      <c r="Y548">
        <f t="shared" si="130"/>
        <v>25</v>
      </c>
      <c r="Z548" t="str">
        <f t="shared" si="134"/>
        <v>溪州</v>
      </c>
    </row>
    <row r="549" spans="1:26" x14ac:dyDescent="0.25">
      <c r="A549" s="118" t="s">
        <v>667</v>
      </c>
      <c r="B549" s="119" t="s">
        <v>681</v>
      </c>
      <c r="C549" s="119">
        <v>235</v>
      </c>
      <c r="D549" s="118" t="s">
        <v>177</v>
      </c>
      <c r="E549" s="118">
        <v>221</v>
      </c>
      <c r="F549" s="118" t="s">
        <v>177</v>
      </c>
      <c r="G549" s="118">
        <v>221</v>
      </c>
      <c r="H549" s="118" t="s">
        <v>179</v>
      </c>
      <c r="I549" s="378">
        <v>235</v>
      </c>
      <c r="J549" s="117">
        <v>35</v>
      </c>
      <c r="K549" s="117" t="s">
        <v>229</v>
      </c>
      <c r="L549" t="str">
        <f t="shared" si="121"/>
        <v>IF38</v>
      </c>
      <c r="M549" t="str">
        <f t="shared" si="131"/>
        <v/>
      </c>
      <c r="N549" t="str">
        <f t="shared" si="132"/>
        <v/>
      </c>
      <c r="O549" t="str">
        <f t="shared" si="133"/>
        <v/>
      </c>
      <c r="P549" s="113" t="str">
        <f t="shared" si="122"/>
        <v>IF38</v>
      </c>
      <c r="Q549" s="114">
        <f t="shared" si="123"/>
        <v>235</v>
      </c>
      <c r="R549" s="114">
        <f t="shared" si="124"/>
        <v>225.66666666666666</v>
      </c>
      <c r="S549" s="113">
        <f t="shared" si="125"/>
        <v>221</v>
      </c>
      <c r="T549" s="111">
        <f t="shared" ca="1" si="126"/>
        <v>4.6399999999999997</v>
      </c>
      <c r="U549" s="111" t="str">
        <f t="shared" si="127"/>
        <v/>
      </c>
      <c r="V549" t="str">
        <f t="array" ref="V549">INDEX(P:P,MAX(U$3:U549))</f>
        <v>IF#3MTR</v>
      </c>
      <c r="W549" t="str">
        <f t="shared" ca="1" si="128"/>
        <v/>
      </c>
      <c r="X549">
        <f t="shared" si="129"/>
        <v>11.4</v>
      </c>
      <c r="Y549">
        <f t="shared" si="130"/>
        <v>235</v>
      </c>
      <c r="Z549" t="str">
        <f t="shared" si="134"/>
        <v>溪州</v>
      </c>
    </row>
    <row r="550" spans="1:26" x14ac:dyDescent="0.25">
      <c r="A550" s="118" t="s">
        <v>667</v>
      </c>
      <c r="B550" s="119" t="s">
        <v>682</v>
      </c>
      <c r="C550" s="119">
        <v>158</v>
      </c>
      <c r="D550" s="118" t="s">
        <v>176</v>
      </c>
      <c r="E550" s="118">
        <v>93</v>
      </c>
      <c r="F550" s="118" t="s">
        <v>196</v>
      </c>
      <c r="G550" s="118">
        <v>103</v>
      </c>
      <c r="H550" s="118" t="s">
        <v>177</v>
      </c>
      <c r="I550" s="378">
        <v>158</v>
      </c>
      <c r="J550" s="117">
        <v>68</v>
      </c>
      <c r="K550" s="117" t="s">
        <v>188</v>
      </c>
      <c r="L550" t="str">
        <f t="shared" si="121"/>
        <v>IF36</v>
      </c>
      <c r="M550" t="str">
        <f t="shared" si="131"/>
        <v/>
      </c>
      <c r="N550" t="str">
        <f t="shared" si="132"/>
        <v/>
      </c>
      <c r="O550" t="str">
        <f t="shared" si="133"/>
        <v/>
      </c>
      <c r="P550" s="113" t="str">
        <f t="shared" si="122"/>
        <v>IF36</v>
      </c>
      <c r="Q550" s="114">
        <f t="shared" si="123"/>
        <v>158</v>
      </c>
      <c r="R550" s="114">
        <f t="shared" si="124"/>
        <v>118</v>
      </c>
      <c r="S550" s="113">
        <f t="shared" si="125"/>
        <v>93</v>
      </c>
      <c r="T550" s="111">
        <f t="shared" ca="1" si="126"/>
        <v>3.12</v>
      </c>
      <c r="U550" s="111" t="str">
        <f t="shared" si="127"/>
        <v/>
      </c>
      <c r="V550" t="str">
        <f t="array" ref="V550">INDEX(P:P,MAX(U$3:U550))</f>
        <v>IF#3MTR</v>
      </c>
      <c r="W550" t="str">
        <f t="shared" ca="1" si="128"/>
        <v/>
      </c>
      <c r="X550">
        <f t="shared" si="129"/>
        <v>11.4</v>
      </c>
      <c r="Y550">
        <f t="shared" si="130"/>
        <v>158</v>
      </c>
      <c r="Z550" t="str">
        <f t="shared" si="134"/>
        <v>溪州</v>
      </c>
    </row>
    <row r="551" spans="1:26" x14ac:dyDescent="0.25">
      <c r="A551" s="118" t="s">
        <v>667</v>
      </c>
      <c r="B551" s="119" t="s">
        <v>683</v>
      </c>
      <c r="C551" s="119">
        <v>303</v>
      </c>
      <c r="D551" s="118" t="s">
        <v>179</v>
      </c>
      <c r="E551" s="118">
        <v>301</v>
      </c>
      <c r="F551" s="118" t="s">
        <v>179</v>
      </c>
      <c r="G551" s="118">
        <v>343</v>
      </c>
      <c r="H551" s="118" t="s">
        <v>179</v>
      </c>
      <c r="I551" s="378">
        <v>343</v>
      </c>
      <c r="J551" s="117">
        <v>94</v>
      </c>
      <c r="K551" s="117" t="s">
        <v>176</v>
      </c>
      <c r="L551" t="str">
        <f t="shared" si="121"/>
        <v>IF37</v>
      </c>
      <c r="M551" t="str">
        <f t="shared" si="131"/>
        <v/>
      </c>
      <c r="N551" t="str">
        <f t="shared" si="132"/>
        <v/>
      </c>
      <c r="O551" t="str">
        <f t="shared" si="133"/>
        <v/>
      </c>
      <c r="P551" s="113" t="str">
        <f t="shared" si="122"/>
        <v>IF37</v>
      </c>
      <c r="Q551" s="114">
        <f t="shared" si="123"/>
        <v>343</v>
      </c>
      <c r="R551" s="114">
        <f t="shared" si="124"/>
        <v>315.66666666666669</v>
      </c>
      <c r="S551" s="113">
        <f t="shared" si="125"/>
        <v>301</v>
      </c>
      <c r="T551" s="111">
        <f t="shared" ca="1" si="126"/>
        <v>6.77</v>
      </c>
      <c r="U551" s="111" t="str">
        <f t="shared" si="127"/>
        <v/>
      </c>
      <c r="V551" t="str">
        <f t="array" ref="V551">INDEX(P:P,MAX(U$3:U551))</f>
        <v>IF#3MTR</v>
      </c>
      <c r="W551" t="str">
        <f t="shared" ca="1" si="128"/>
        <v/>
      </c>
      <c r="X551">
        <f t="shared" si="129"/>
        <v>11.4</v>
      </c>
      <c r="Y551">
        <f t="shared" si="130"/>
        <v>343</v>
      </c>
      <c r="Z551" t="str">
        <f t="shared" si="134"/>
        <v>溪州</v>
      </c>
    </row>
    <row r="552" spans="1:26" x14ac:dyDescent="0.25">
      <c r="A552" s="118" t="s">
        <v>667</v>
      </c>
      <c r="B552" s="119" t="s">
        <v>684</v>
      </c>
      <c r="C552" s="119">
        <v>237</v>
      </c>
      <c r="D552" s="118" t="s">
        <v>183</v>
      </c>
      <c r="E552" s="118">
        <v>200</v>
      </c>
      <c r="F552" s="118" t="s">
        <v>183</v>
      </c>
      <c r="G552" s="118">
        <v>205</v>
      </c>
      <c r="H552" s="118" t="s">
        <v>183</v>
      </c>
      <c r="I552" s="378">
        <v>237</v>
      </c>
      <c r="J552" s="117">
        <v>44</v>
      </c>
      <c r="K552" s="117" t="s">
        <v>188</v>
      </c>
      <c r="L552" t="str">
        <f t="shared" si="121"/>
        <v>IF39</v>
      </c>
      <c r="M552" t="str">
        <f t="shared" si="131"/>
        <v/>
      </c>
      <c r="N552" t="str">
        <f t="shared" si="132"/>
        <v/>
      </c>
      <c r="O552" t="str">
        <f t="shared" si="133"/>
        <v/>
      </c>
      <c r="P552" s="113" t="str">
        <f t="shared" si="122"/>
        <v>IF39</v>
      </c>
      <c r="Q552" s="114">
        <f t="shared" si="123"/>
        <v>237</v>
      </c>
      <c r="R552" s="114">
        <f t="shared" si="124"/>
        <v>214</v>
      </c>
      <c r="S552" s="113">
        <f t="shared" si="125"/>
        <v>200</v>
      </c>
      <c r="T552" s="111">
        <f t="shared" ca="1" si="126"/>
        <v>4.68</v>
      </c>
      <c r="U552" s="111" t="str">
        <f t="shared" si="127"/>
        <v/>
      </c>
      <c r="V552" t="str">
        <f t="array" ref="V552">INDEX(P:P,MAX(U$3:U552))</f>
        <v>IF#3MTR</v>
      </c>
      <c r="W552" t="str">
        <f t="shared" ca="1" si="128"/>
        <v/>
      </c>
      <c r="X552">
        <f t="shared" si="129"/>
        <v>11.4</v>
      </c>
      <c r="Y552">
        <f t="shared" si="130"/>
        <v>237</v>
      </c>
      <c r="Z552" t="str">
        <f t="shared" si="134"/>
        <v>溪州</v>
      </c>
    </row>
    <row r="553" spans="1:26" x14ac:dyDescent="0.25">
      <c r="A553" s="118" t="s">
        <v>667</v>
      </c>
      <c r="B553" s="119" t="s">
        <v>427</v>
      </c>
      <c r="C553" s="119">
        <v>835</v>
      </c>
      <c r="D553" s="118" t="s">
        <v>176</v>
      </c>
      <c r="E553" s="118">
        <v>809</v>
      </c>
      <c r="F553" s="118" t="s">
        <v>176</v>
      </c>
      <c r="G553" s="118">
        <v>870</v>
      </c>
      <c r="H553" s="118" t="s">
        <v>176</v>
      </c>
      <c r="I553" s="378">
        <v>870</v>
      </c>
      <c r="J553" s="117"/>
      <c r="K553" s="117"/>
      <c r="L553" t="str">
        <f t="shared" si="121"/>
        <v>IF#4MTR</v>
      </c>
      <c r="M553" t="str">
        <f t="shared" si="131"/>
        <v/>
      </c>
      <c r="N553" t="str">
        <f t="shared" si="132"/>
        <v>IF#4MTR</v>
      </c>
      <c r="O553" t="str">
        <f t="shared" si="133"/>
        <v/>
      </c>
      <c r="P553" s="113" t="str">
        <f t="shared" si="122"/>
        <v>IF#4MTR</v>
      </c>
      <c r="Q553" s="114">
        <f t="shared" si="123"/>
        <v>870</v>
      </c>
      <c r="R553" s="114">
        <f t="shared" si="124"/>
        <v>838</v>
      </c>
      <c r="S553" s="113">
        <f t="shared" si="125"/>
        <v>809</v>
      </c>
      <c r="T553" s="111">
        <f t="shared" ca="1" si="126"/>
        <v>17.18</v>
      </c>
      <c r="U553" s="111">
        <f t="shared" si="127"/>
        <v>553</v>
      </c>
      <c r="V553" t="str">
        <f t="array" ref="V553">INDEX(P:P,MAX(U$3:U553))</f>
        <v>IF#4MTR</v>
      </c>
      <c r="W553">
        <f t="shared" ca="1" si="128"/>
        <v>25</v>
      </c>
      <c r="X553" t="str">
        <f t="shared" si="129"/>
        <v/>
      </c>
      <c r="Y553">
        <f t="shared" si="130"/>
        <v>870</v>
      </c>
      <c r="Z553" t="str">
        <f t="shared" si="134"/>
        <v>溪州</v>
      </c>
    </row>
    <row r="554" spans="1:26" x14ac:dyDescent="0.25">
      <c r="A554" s="118" t="s">
        <v>667</v>
      </c>
      <c r="B554" s="119" t="s">
        <v>685</v>
      </c>
      <c r="C554" s="119">
        <v>286</v>
      </c>
      <c r="D554" s="118" t="s">
        <v>196</v>
      </c>
      <c r="E554" s="118">
        <v>319</v>
      </c>
      <c r="F554" s="118" t="s">
        <v>196</v>
      </c>
      <c r="G554" s="118">
        <v>311</v>
      </c>
      <c r="H554" s="118" t="s">
        <v>196</v>
      </c>
      <c r="I554" s="378">
        <v>319</v>
      </c>
      <c r="J554" s="117">
        <v>55</v>
      </c>
      <c r="K554" s="117" t="s">
        <v>229</v>
      </c>
      <c r="L554" t="str">
        <f t="shared" si="121"/>
        <v>IF27</v>
      </c>
      <c r="M554" t="str">
        <f t="shared" si="131"/>
        <v/>
      </c>
      <c r="N554" t="str">
        <f t="shared" si="132"/>
        <v/>
      </c>
      <c r="O554" t="str">
        <f t="shared" si="133"/>
        <v/>
      </c>
      <c r="P554" s="113" t="str">
        <f t="shared" si="122"/>
        <v>IF27</v>
      </c>
      <c r="Q554" s="114">
        <f t="shared" si="123"/>
        <v>319</v>
      </c>
      <c r="R554" s="114">
        <f t="shared" si="124"/>
        <v>305.33333333333331</v>
      </c>
      <c r="S554" s="113">
        <f t="shared" si="125"/>
        <v>286</v>
      </c>
      <c r="T554" s="111">
        <f t="shared" ca="1" si="126"/>
        <v>6.3</v>
      </c>
      <c r="U554" s="111" t="str">
        <f t="shared" si="127"/>
        <v/>
      </c>
      <c r="V554" t="str">
        <f t="array" ref="V554">INDEX(P:P,MAX(U$3:U554))</f>
        <v>IF#4MTR</v>
      </c>
      <c r="W554" t="str">
        <f t="shared" ca="1" si="128"/>
        <v/>
      </c>
      <c r="X554">
        <f t="shared" si="129"/>
        <v>11.4</v>
      </c>
      <c r="Y554">
        <f t="shared" si="130"/>
        <v>319</v>
      </c>
      <c r="Z554" t="str">
        <f t="shared" si="134"/>
        <v>溪州</v>
      </c>
    </row>
    <row r="555" spans="1:26" x14ac:dyDescent="0.25">
      <c r="A555" s="118" t="s">
        <v>667</v>
      </c>
      <c r="B555" s="119" t="s">
        <v>686</v>
      </c>
      <c r="C555" s="119">
        <v>184</v>
      </c>
      <c r="D555" s="118" t="s">
        <v>176</v>
      </c>
      <c r="E555" s="118">
        <v>166</v>
      </c>
      <c r="F555" s="118" t="s">
        <v>176</v>
      </c>
      <c r="G555" s="118">
        <v>199</v>
      </c>
      <c r="H555" s="118" t="s">
        <v>188</v>
      </c>
      <c r="I555" s="378">
        <v>199</v>
      </c>
      <c r="J555" s="117">
        <v>45</v>
      </c>
      <c r="K555" s="117" t="s">
        <v>211</v>
      </c>
      <c r="L555" t="str">
        <f t="shared" si="121"/>
        <v>IF20</v>
      </c>
      <c r="M555" t="str">
        <f t="shared" si="131"/>
        <v/>
      </c>
      <c r="N555" t="str">
        <f t="shared" si="132"/>
        <v/>
      </c>
      <c r="O555" t="str">
        <f t="shared" si="133"/>
        <v/>
      </c>
      <c r="P555" s="113" t="str">
        <f t="shared" si="122"/>
        <v>IF20</v>
      </c>
      <c r="Q555" s="114">
        <f t="shared" si="123"/>
        <v>199</v>
      </c>
      <c r="R555" s="114">
        <f t="shared" si="124"/>
        <v>183</v>
      </c>
      <c r="S555" s="113">
        <f t="shared" si="125"/>
        <v>166</v>
      </c>
      <c r="T555" s="111">
        <f t="shared" ca="1" si="126"/>
        <v>3.93</v>
      </c>
      <c r="U555" s="111" t="str">
        <f t="shared" si="127"/>
        <v/>
      </c>
      <c r="V555" t="str">
        <f t="array" ref="V555">INDEX(P:P,MAX(U$3:U555))</f>
        <v>IF#4MTR</v>
      </c>
      <c r="W555" t="str">
        <f t="shared" ca="1" si="128"/>
        <v/>
      </c>
      <c r="X555">
        <f t="shared" si="129"/>
        <v>11.4</v>
      </c>
      <c r="Y555">
        <f t="shared" si="130"/>
        <v>199</v>
      </c>
      <c r="Z555" t="str">
        <f t="shared" si="134"/>
        <v>溪州</v>
      </c>
    </row>
    <row r="556" spans="1:26" x14ac:dyDescent="0.25">
      <c r="A556" s="118" t="s">
        <v>667</v>
      </c>
      <c r="B556" s="119" t="s">
        <v>687</v>
      </c>
      <c r="C556" s="119">
        <v>135</v>
      </c>
      <c r="D556" s="118" t="s">
        <v>176</v>
      </c>
      <c r="E556" s="118">
        <v>120</v>
      </c>
      <c r="F556" s="118" t="s">
        <v>179</v>
      </c>
      <c r="G556" s="118">
        <v>119</v>
      </c>
      <c r="H556" s="118" t="s">
        <v>176</v>
      </c>
      <c r="I556" s="378">
        <v>135</v>
      </c>
      <c r="J556" s="117">
        <v>45</v>
      </c>
      <c r="K556" s="117" t="s">
        <v>180</v>
      </c>
      <c r="L556" t="str">
        <f t="shared" si="121"/>
        <v>IF28</v>
      </c>
      <c r="M556" t="str">
        <f t="shared" si="131"/>
        <v/>
      </c>
      <c r="N556" t="str">
        <f t="shared" si="132"/>
        <v/>
      </c>
      <c r="O556" t="str">
        <f t="shared" si="133"/>
        <v/>
      </c>
      <c r="P556" s="113" t="str">
        <f t="shared" si="122"/>
        <v>IF28</v>
      </c>
      <c r="Q556" s="114">
        <f t="shared" si="123"/>
        <v>135</v>
      </c>
      <c r="R556" s="114">
        <f t="shared" si="124"/>
        <v>124.66666666666667</v>
      </c>
      <c r="S556" s="113">
        <f t="shared" si="125"/>
        <v>119</v>
      </c>
      <c r="T556" s="111">
        <f t="shared" ca="1" si="126"/>
        <v>2.67</v>
      </c>
      <c r="U556" s="111" t="str">
        <f t="shared" si="127"/>
        <v/>
      </c>
      <c r="V556" t="str">
        <f t="array" ref="V556">INDEX(P:P,MAX(U$3:U556))</f>
        <v>IF#4MTR</v>
      </c>
      <c r="W556" t="str">
        <f t="shared" ca="1" si="128"/>
        <v/>
      </c>
      <c r="X556">
        <f t="shared" si="129"/>
        <v>11.4</v>
      </c>
      <c r="Y556">
        <f t="shared" si="130"/>
        <v>135</v>
      </c>
      <c r="Z556" t="str">
        <f t="shared" si="134"/>
        <v>溪州</v>
      </c>
    </row>
    <row r="557" spans="1:26" x14ac:dyDescent="0.25">
      <c r="A557" s="118" t="s">
        <v>667</v>
      </c>
      <c r="B557" s="119" t="s">
        <v>688</v>
      </c>
      <c r="C557" s="119">
        <v>149</v>
      </c>
      <c r="D557" s="118" t="s">
        <v>188</v>
      </c>
      <c r="E557" s="118">
        <v>136</v>
      </c>
      <c r="F557" s="118" t="s">
        <v>176</v>
      </c>
      <c r="G557" s="118">
        <v>154</v>
      </c>
      <c r="H557" s="118" t="s">
        <v>188</v>
      </c>
      <c r="I557" s="378">
        <v>154</v>
      </c>
      <c r="J557" s="117">
        <v>36</v>
      </c>
      <c r="K557" s="117" t="s">
        <v>203</v>
      </c>
      <c r="L557" t="str">
        <f t="shared" si="121"/>
        <v>IF32</v>
      </c>
      <c r="M557" t="str">
        <f t="shared" si="131"/>
        <v/>
      </c>
      <c r="N557" t="str">
        <f t="shared" si="132"/>
        <v/>
      </c>
      <c r="O557" t="str">
        <f t="shared" si="133"/>
        <v/>
      </c>
      <c r="P557" s="113" t="str">
        <f t="shared" si="122"/>
        <v>IF32</v>
      </c>
      <c r="Q557" s="114">
        <f t="shared" si="123"/>
        <v>154</v>
      </c>
      <c r="R557" s="114">
        <f t="shared" si="124"/>
        <v>146.33333333333334</v>
      </c>
      <c r="S557" s="113">
        <f t="shared" si="125"/>
        <v>136</v>
      </c>
      <c r="T557" s="111">
        <f t="shared" ca="1" si="126"/>
        <v>3.04</v>
      </c>
      <c r="U557" s="111" t="str">
        <f t="shared" si="127"/>
        <v/>
      </c>
      <c r="V557" t="str">
        <f t="array" ref="V557">INDEX(P:P,MAX(U$3:U557))</f>
        <v>IF#4MTR</v>
      </c>
      <c r="W557" t="str">
        <f t="shared" ca="1" si="128"/>
        <v/>
      </c>
      <c r="X557">
        <f t="shared" si="129"/>
        <v>11.4</v>
      </c>
      <c r="Y557">
        <f t="shared" si="130"/>
        <v>154</v>
      </c>
      <c r="Z557" t="str">
        <f t="shared" si="134"/>
        <v>溪州</v>
      </c>
    </row>
    <row r="558" spans="1:26" x14ac:dyDescent="0.25">
      <c r="A558" s="118" t="s">
        <v>667</v>
      </c>
      <c r="B558" s="119" t="s">
        <v>689</v>
      </c>
      <c r="C558" s="119">
        <v>128</v>
      </c>
      <c r="D558" s="118" t="s">
        <v>179</v>
      </c>
      <c r="E558" s="118">
        <v>129</v>
      </c>
      <c r="F558" s="118" t="s">
        <v>179</v>
      </c>
      <c r="G558" s="118">
        <v>136</v>
      </c>
      <c r="H558" s="118" t="s">
        <v>179</v>
      </c>
      <c r="I558" s="378">
        <v>136</v>
      </c>
      <c r="J558" s="117">
        <v>25</v>
      </c>
      <c r="K558" s="117" t="s">
        <v>184</v>
      </c>
      <c r="L558" t="str">
        <f t="shared" si="121"/>
        <v>IF29</v>
      </c>
      <c r="M558" t="str">
        <f t="shared" si="131"/>
        <v/>
      </c>
      <c r="N558" t="str">
        <f t="shared" si="132"/>
        <v/>
      </c>
      <c r="O558" t="str">
        <f t="shared" si="133"/>
        <v/>
      </c>
      <c r="P558" s="113" t="str">
        <f t="shared" si="122"/>
        <v>IF29</v>
      </c>
      <c r="Q558" s="114">
        <f t="shared" si="123"/>
        <v>136</v>
      </c>
      <c r="R558" s="114">
        <f t="shared" si="124"/>
        <v>131</v>
      </c>
      <c r="S558" s="113">
        <f t="shared" si="125"/>
        <v>128</v>
      </c>
      <c r="T558" s="111">
        <f t="shared" ca="1" si="126"/>
        <v>2.69</v>
      </c>
      <c r="U558" s="111" t="str">
        <f t="shared" si="127"/>
        <v/>
      </c>
      <c r="V558" t="str">
        <f t="array" ref="V558">INDEX(P:P,MAX(U$3:U558))</f>
        <v>IF#4MTR</v>
      </c>
      <c r="W558" t="str">
        <f t="shared" ca="1" si="128"/>
        <v/>
      </c>
      <c r="X558">
        <f t="shared" si="129"/>
        <v>11.4</v>
      </c>
      <c r="Y558">
        <f t="shared" si="130"/>
        <v>136</v>
      </c>
      <c r="Z558" t="str">
        <f t="shared" si="134"/>
        <v>溪州</v>
      </c>
    </row>
    <row r="559" spans="1:26" x14ac:dyDescent="0.25">
      <c r="A559" s="118" t="s">
        <v>690</v>
      </c>
      <c r="B559" s="119" t="s">
        <v>175</v>
      </c>
      <c r="C559" s="119">
        <v>897</v>
      </c>
      <c r="D559" s="118" t="s">
        <v>177</v>
      </c>
      <c r="E559" s="118">
        <v>811</v>
      </c>
      <c r="F559" s="118" t="s">
        <v>177</v>
      </c>
      <c r="G559" s="118">
        <v>870</v>
      </c>
      <c r="H559" s="118" t="s">
        <v>177</v>
      </c>
      <c r="I559" s="378">
        <v>897</v>
      </c>
      <c r="J559" s="117"/>
      <c r="K559" s="117"/>
      <c r="L559" t="str">
        <f t="shared" si="121"/>
        <v>ID#1MTR</v>
      </c>
      <c r="M559" t="str">
        <f t="shared" si="131"/>
        <v/>
      </c>
      <c r="N559" t="str">
        <f t="shared" si="132"/>
        <v>ID#1MTR</v>
      </c>
      <c r="O559" t="str">
        <f t="shared" si="133"/>
        <v/>
      </c>
      <c r="P559" s="113" t="str">
        <f t="shared" si="122"/>
        <v>ID#1MTR</v>
      </c>
      <c r="Q559" s="114">
        <f t="shared" si="123"/>
        <v>897</v>
      </c>
      <c r="R559" s="114">
        <f t="shared" si="124"/>
        <v>859.33333333333337</v>
      </c>
      <c r="S559" s="113">
        <f t="shared" si="125"/>
        <v>811</v>
      </c>
      <c r="T559" s="111">
        <f t="shared" ca="1" si="126"/>
        <v>17.71</v>
      </c>
      <c r="U559" s="111">
        <f t="shared" si="127"/>
        <v>559</v>
      </c>
      <c r="V559" t="str">
        <f t="array" ref="V559">INDEX(P:P,MAX(U$3:U559))</f>
        <v>ID#1MTR</v>
      </c>
      <c r="W559">
        <f t="shared" ca="1" si="128"/>
        <v>25</v>
      </c>
      <c r="X559" t="str">
        <f t="shared" si="129"/>
        <v/>
      </c>
      <c r="Y559">
        <f t="shared" si="130"/>
        <v>897</v>
      </c>
      <c r="Z559" t="str">
        <f t="shared" si="134"/>
        <v>溪湖</v>
      </c>
    </row>
    <row r="560" spans="1:26" x14ac:dyDescent="0.25">
      <c r="A560" s="118" t="s">
        <v>690</v>
      </c>
      <c r="B560" s="119" t="s">
        <v>691</v>
      </c>
      <c r="C560" s="119">
        <v>317</v>
      </c>
      <c r="D560" s="118" t="s">
        <v>177</v>
      </c>
      <c r="E560" s="118">
        <v>268</v>
      </c>
      <c r="F560" s="118" t="s">
        <v>176</v>
      </c>
      <c r="G560" s="118">
        <v>287</v>
      </c>
      <c r="H560" s="118" t="s">
        <v>176</v>
      </c>
      <c r="I560" s="378">
        <v>317</v>
      </c>
      <c r="J560" s="117">
        <v>105</v>
      </c>
      <c r="K560" s="117" t="s">
        <v>198</v>
      </c>
      <c r="L560" t="str">
        <f t="shared" si="121"/>
        <v>ID31</v>
      </c>
      <c r="M560" t="str">
        <f t="shared" si="131"/>
        <v/>
      </c>
      <c r="N560" t="str">
        <f t="shared" si="132"/>
        <v/>
      </c>
      <c r="O560" t="str">
        <f t="shared" si="133"/>
        <v/>
      </c>
      <c r="P560" s="113" t="str">
        <f t="shared" si="122"/>
        <v>ID31</v>
      </c>
      <c r="Q560" s="114">
        <f t="shared" si="123"/>
        <v>317</v>
      </c>
      <c r="R560" s="114">
        <f t="shared" si="124"/>
        <v>290.66666666666669</v>
      </c>
      <c r="S560" s="113">
        <f t="shared" si="125"/>
        <v>268</v>
      </c>
      <c r="T560" s="111">
        <f t="shared" ca="1" si="126"/>
        <v>6.26</v>
      </c>
      <c r="U560" s="111" t="str">
        <f t="shared" si="127"/>
        <v/>
      </c>
      <c r="V560" t="str">
        <f t="array" ref="V560">INDEX(P:P,MAX(U$3:U560))</f>
        <v>ID#1MTR</v>
      </c>
      <c r="W560" t="str">
        <f t="shared" ca="1" si="128"/>
        <v/>
      </c>
      <c r="X560">
        <f t="shared" si="129"/>
        <v>11.4</v>
      </c>
      <c r="Y560">
        <f t="shared" si="130"/>
        <v>317</v>
      </c>
      <c r="Z560" t="str">
        <f t="shared" si="134"/>
        <v>溪湖</v>
      </c>
    </row>
    <row r="561" spans="1:26" x14ac:dyDescent="0.25">
      <c r="A561" s="118" t="s">
        <v>690</v>
      </c>
      <c r="B561" s="119" t="s">
        <v>692</v>
      </c>
      <c r="C561" s="119">
        <v>214</v>
      </c>
      <c r="D561" s="118" t="s">
        <v>203</v>
      </c>
      <c r="E561" s="118">
        <v>181</v>
      </c>
      <c r="F561" s="118" t="s">
        <v>203</v>
      </c>
      <c r="G561" s="118">
        <v>152</v>
      </c>
      <c r="H561" s="118" t="s">
        <v>229</v>
      </c>
      <c r="I561" s="378">
        <v>214</v>
      </c>
      <c r="J561" s="117">
        <v>71</v>
      </c>
      <c r="K561" s="117" t="s">
        <v>198</v>
      </c>
      <c r="L561" t="str">
        <f t="shared" si="121"/>
        <v>ID26</v>
      </c>
      <c r="M561" t="str">
        <f t="shared" si="131"/>
        <v/>
      </c>
      <c r="N561" t="str">
        <f t="shared" si="132"/>
        <v/>
      </c>
      <c r="O561" t="str">
        <f t="shared" si="133"/>
        <v/>
      </c>
      <c r="P561" s="113" t="str">
        <f t="shared" si="122"/>
        <v>ID26</v>
      </c>
      <c r="Q561" s="114">
        <f t="shared" si="123"/>
        <v>214</v>
      </c>
      <c r="R561" s="114">
        <f t="shared" si="124"/>
        <v>182.33333333333334</v>
      </c>
      <c r="S561" s="113">
        <f t="shared" si="125"/>
        <v>152</v>
      </c>
      <c r="T561" s="111">
        <f t="shared" ca="1" si="126"/>
        <v>4.2300000000000004</v>
      </c>
      <c r="U561" s="111" t="str">
        <f t="shared" si="127"/>
        <v/>
      </c>
      <c r="V561" t="str">
        <f t="array" ref="V561">INDEX(P:P,MAX(U$3:U561))</f>
        <v>ID#1MTR</v>
      </c>
      <c r="W561" t="str">
        <f t="shared" ca="1" si="128"/>
        <v/>
      </c>
      <c r="X561">
        <f t="shared" si="129"/>
        <v>11.4</v>
      </c>
      <c r="Y561">
        <f t="shared" si="130"/>
        <v>214</v>
      </c>
      <c r="Z561" t="str">
        <f t="shared" si="134"/>
        <v>溪湖</v>
      </c>
    </row>
    <row r="562" spans="1:26" x14ac:dyDescent="0.25">
      <c r="A562" s="118" t="s">
        <v>690</v>
      </c>
      <c r="B562" s="119" t="s">
        <v>693</v>
      </c>
      <c r="C562" s="119">
        <v>125</v>
      </c>
      <c r="D562" s="118" t="s">
        <v>177</v>
      </c>
      <c r="E562" s="118">
        <v>99</v>
      </c>
      <c r="F562" s="118" t="s">
        <v>177</v>
      </c>
      <c r="G562" s="118">
        <v>119</v>
      </c>
      <c r="H562" s="118" t="s">
        <v>177</v>
      </c>
      <c r="I562" s="378">
        <v>125</v>
      </c>
      <c r="J562" s="117">
        <v>35</v>
      </c>
      <c r="K562" s="117" t="s">
        <v>176</v>
      </c>
      <c r="L562" t="str">
        <f t="shared" si="121"/>
        <v>ID28</v>
      </c>
      <c r="M562" t="str">
        <f t="shared" si="131"/>
        <v/>
      </c>
      <c r="N562" t="str">
        <f t="shared" si="132"/>
        <v/>
      </c>
      <c r="O562" t="str">
        <f t="shared" si="133"/>
        <v/>
      </c>
      <c r="P562" s="113" t="str">
        <f t="shared" si="122"/>
        <v>ID28</v>
      </c>
      <c r="Q562" s="114">
        <f t="shared" si="123"/>
        <v>125</v>
      </c>
      <c r="R562" s="114">
        <f t="shared" si="124"/>
        <v>114.33333333333333</v>
      </c>
      <c r="S562" s="113">
        <f t="shared" si="125"/>
        <v>99</v>
      </c>
      <c r="T562" s="111">
        <f t="shared" ca="1" si="126"/>
        <v>2.4700000000000002</v>
      </c>
      <c r="U562" s="111" t="str">
        <f t="shared" si="127"/>
        <v/>
      </c>
      <c r="V562" t="str">
        <f t="array" ref="V562">INDEX(P:P,MAX(U$3:U562))</f>
        <v>ID#1MTR</v>
      </c>
      <c r="W562" t="str">
        <f t="shared" ca="1" si="128"/>
        <v/>
      </c>
      <c r="X562">
        <f t="shared" si="129"/>
        <v>11.4</v>
      </c>
      <c r="Y562">
        <f t="shared" si="130"/>
        <v>125</v>
      </c>
      <c r="Z562" t="str">
        <f t="shared" si="134"/>
        <v>溪湖</v>
      </c>
    </row>
    <row r="563" spans="1:26" x14ac:dyDescent="0.25">
      <c r="A563" s="118" t="s">
        <v>690</v>
      </c>
      <c r="B563" s="119" t="s">
        <v>694</v>
      </c>
      <c r="C563" s="119">
        <v>227</v>
      </c>
      <c r="D563" s="118" t="s">
        <v>203</v>
      </c>
      <c r="E563" s="118">
        <v>244</v>
      </c>
      <c r="F563" s="118" t="s">
        <v>203</v>
      </c>
      <c r="G563" s="118">
        <v>241</v>
      </c>
      <c r="H563" s="118" t="s">
        <v>203</v>
      </c>
      <c r="I563" s="378">
        <v>244</v>
      </c>
      <c r="J563" s="117">
        <v>45</v>
      </c>
      <c r="K563" s="117" t="s">
        <v>179</v>
      </c>
      <c r="L563" t="str">
        <f t="shared" si="121"/>
        <v>ID23</v>
      </c>
      <c r="M563" t="str">
        <f t="shared" si="131"/>
        <v/>
      </c>
      <c r="N563" t="str">
        <f t="shared" si="132"/>
        <v/>
      </c>
      <c r="O563" t="str">
        <f t="shared" si="133"/>
        <v/>
      </c>
      <c r="P563" s="113" t="str">
        <f t="shared" si="122"/>
        <v>ID23</v>
      </c>
      <c r="Q563" s="114">
        <f t="shared" si="123"/>
        <v>244</v>
      </c>
      <c r="R563" s="114">
        <f t="shared" si="124"/>
        <v>237.33333333333334</v>
      </c>
      <c r="S563" s="113">
        <f t="shared" si="125"/>
        <v>227</v>
      </c>
      <c r="T563" s="111">
        <f t="shared" ca="1" si="126"/>
        <v>4.82</v>
      </c>
      <c r="U563" s="111" t="str">
        <f t="shared" si="127"/>
        <v/>
      </c>
      <c r="V563" t="str">
        <f t="array" ref="V563">INDEX(P:P,MAX(U$3:U563))</f>
        <v>ID#1MTR</v>
      </c>
      <c r="W563" t="str">
        <f t="shared" ca="1" si="128"/>
        <v/>
      </c>
      <c r="X563">
        <f t="shared" si="129"/>
        <v>11.4</v>
      </c>
      <c r="Y563">
        <f t="shared" si="130"/>
        <v>244</v>
      </c>
      <c r="Z563" t="str">
        <f t="shared" si="134"/>
        <v>溪湖</v>
      </c>
    </row>
    <row r="564" spans="1:26" x14ac:dyDescent="0.25">
      <c r="A564" s="118" t="s">
        <v>690</v>
      </c>
      <c r="B564" s="119" t="s">
        <v>695</v>
      </c>
      <c r="C564" s="119">
        <v>175</v>
      </c>
      <c r="D564" s="118" t="s">
        <v>177</v>
      </c>
      <c r="E564" s="118">
        <v>205</v>
      </c>
      <c r="F564" s="118" t="s">
        <v>176</v>
      </c>
      <c r="G564" s="118">
        <v>228</v>
      </c>
      <c r="H564" s="118" t="s">
        <v>177</v>
      </c>
      <c r="I564" s="378">
        <v>228</v>
      </c>
      <c r="J564" s="117">
        <v>92</v>
      </c>
      <c r="K564" s="117" t="s">
        <v>179</v>
      </c>
      <c r="L564" t="str">
        <f t="shared" si="121"/>
        <v>ID20</v>
      </c>
      <c r="M564" t="str">
        <f t="shared" si="131"/>
        <v/>
      </c>
      <c r="N564" t="str">
        <f t="shared" si="132"/>
        <v/>
      </c>
      <c r="O564" t="str">
        <f t="shared" si="133"/>
        <v/>
      </c>
      <c r="P564" s="113" t="str">
        <f t="shared" si="122"/>
        <v>ID20</v>
      </c>
      <c r="Q564" s="114">
        <f t="shared" si="123"/>
        <v>228</v>
      </c>
      <c r="R564" s="114">
        <f t="shared" si="124"/>
        <v>202.66666666666666</v>
      </c>
      <c r="S564" s="113">
        <f t="shared" si="125"/>
        <v>175</v>
      </c>
      <c r="T564" s="111">
        <f t="shared" ca="1" si="126"/>
        <v>4.5</v>
      </c>
      <c r="U564" s="111" t="str">
        <f t="shared" si="127"/>
        <v/>
      </c>
      <c r="V564" t="str">
        <f t="array" ref="V564">INDEX(P:P,MAX(U$3:U564))</f>
        <v>ID#1MTR</v>
      </c>
      <c r="W564" t="str">
        <f t="shared" ca="1" si="128"/>
        <v/>
      </c>
      <c r="X564">
        <f t="shared" si="129"/>
        <v>11.4</v>
      </c>
      <c r="Y564">
        <f t="shared" si="130"/>
        <v>228</v>
      </c>
      <c r="Z564" t="str">
        <f t="shared" si="134"/>
        <v>溪湖</v>
      </c>
    </row>
    <row r="565" spans="1:26" x14ac:dyDescent="0.25">
      <c r="A565" s="118" t="s">
        <v>690</v>
      </c>
      <c r="B565" s="119" t="s">
        <v>187</v>
      </c>
      <c r="C565" s="119">
        <v>853</v>
      </c>
      <c r="D565" s="118" t="s">
        <v>188</v>
      </c>
      <c r="E565" s="118">
        <v>822</v>
      </c>
      <c r="F565" s="118" t="s">
        <v>188</v>
      </c>
      <c r="G565" s="118">
        <v>884</v>
      </c>
      <c r="H565" s="118" t="s">
        <v>188</v>
      </c>
      <c r="I565" s="378">
        <v>884</v>
      </c>
      <c r="J565" s="117"/>
      <c r="K565" s="117"/>
      <c r="L565" t="str">
        <f t="shared" si="121"/>
        <v>ID#2MTR</v>
      </c>
      <c r="M565" t="str">
        <f t="shared" si="131"/>
        <v/>
      </c>
      <c r="N565" t="str">
        <f t="shared" si="132"/>
        <v>ID#2MTR</v>
      </c>
      <c r="O565" t="str">
        <f t="shared" si="133"/>
        <v/>
      </c>
      <c r="P565" s="113" t="str">
        <f t="shared" si="122"/>
        <v>ID#2MTR</v>
      </c>
      <c r="Q565" s="114">
        <f t="shared" si="123"/>
        <v>884</v>
      </c>
      <c r="R565" s="114">
        <f t="shared" si="124"/>
        <v>853</v>
      </c>
      <c r="S565" s="113">
        <f t="shared" si="125"/>
        <v>822</v>
      </c>
      <c r="T565" s="111">
        <f t="shared" ca="1" si="126"/>
        <v>17.45</v>
      </c>
      <c r="U565" s="111">
        <f t="shared" si="127"/>
        <v>565</v>
      </c>
      <c r="V565" t="str">
        <f t="array" ref="V565">INDEX(P:P,MAX(U$3:U565))</f>
        <v>ID#2MTR</v>
      </c>
      <c r="W565">
        <f t="shared" ca="1" si="128"/>
        <v>25</v>
      </c>
      <c r="X565" t="str">
        <f t="shared" si="129"/>
        <v/>
      </c>
      <c r="Y565">
        <f t="shared" si="130"/>
        <v>884</v>
      </c>
      <c r="Z565" t="str">
        <f t="shared" si="134"/>
        <v>溪湖</v>
      </c>
    </row>
    <row r="566" spans="1:26" x14ac:dyDescent="0.25">
      <c r="A566" s="118" t="s">
        <v>690</v>
      </c>
      <c r="B566" s="119" t="s">
        <v>696</v>
      </c>
      <c r="C566" s="119">
        <v>242</v>
      </c>
      <c r="D566" s="118" t="s">
        <v>184</v>
      </c>
      <c r="E566" s="118">
        <v>251</v>
      </c>
      <c r="F566" s="118" t="s">
        <v>179</v>
      </c>
      <c r="G566" s="118">
        <v>224</v>
      </c>
      <c r="H566" s="118" t="s">
        <v>176</v>
      </c>
      <c r="I566" s="378">
        <v>251</v>
      </c>
      <c r="J566" s="117">
        <v>64</v>
      </c>
      <c r="K566" s="117" t="s">
        <v>207</v>
      </c>
      <c r="L566" t="str">
        <f t="shared" si="121"/>
        <v>ID25</v>
      </c>
      <c r="M566" t="str">
        <f t="shared" si="131"/>
        <v/>
      </c>
      <c r="N566" t="str">
        <f t="shared" si="132"/>
        <v/>
      </c>
      <c r="O566" t="str">
        <f t="shared" si="133"/>
        <v/>
      </c>
      <c r="P566" s="113" t="str">
        <f t="shared" si="122"/>
        <v>ID25</v>
      </c>
      <c r="Q566" s="114">
        <f t="shared" si="123"/>
        <v>251</v>
      </c>
      <c r="R566" s="114">
        <f t="shared" si="124"/>
        <v>239</v>
      </c>
      <c r="S566" s="113">
        <f t="shared" si="125"/>
        <v>224</v>
      </c>
      <c r="T566" s="111">
        <f t="shared" ca="1" si="126"/>
        <v>4.96</v>
      </c>
      <c r="U566" s="111" t="str">
        <f t="shared" si="127"/>
        <v/>
      </c>
      <c r="V566" t="str">
        <f t="array" ref="V566">INDEX(P:P,MAX(U$3:U566))</f>
        <v>ID#2MTR</v>
      </c>
      <c r="W566" t="str">
        <f t="shared" ca="1" si="128"/>
        <v/>
      </c>
      <c r="X566">
        <f t="shared" si="129"/>
        <v>11.4</v>
      </c>
      <c r="Y566">
        <f t="shared" si="130"/>
        <v>251</v>
      </c>
      <c r="Z566" t="str">
        <f t="shared" si="134"/>
        <v>溪湖</v>
      </c>
    </row>
    <row r="567" spans="1:26" x14ac:dyDescent="0.25">
      <c r="A567" s="118" t="s">
        <v>690</v>
      </c>
      <c r="B567" s="119" t="s">
        <v>697</v>
      </c>
      <c r="C567" s="119">
        <v>193</v>
      </c>
      <c r="D567" s="118" t="s">
        <v>177</v>
      </c>
      <c r="E567" s="118">
        <v>176</v>
      </c>
      <c r="F567" s="118" t="s">
        <v>188</v>
      </c>
      <c r="G567" s="118">
        <v>242</v>
      </c>
      <c r="H567" s="118" t="s">
        <v>177</v>
      </c>
      <c r="I567" s="378">
        <v>242</v>
      </c>
      <c r="J567" s="117">
        <v>97</v>
      </c>
      <c r="K567" s="117" t="s">
        <v>184</v>
      </c>
      <c r="L567" t="str">
        <f t="shared" si="121"/>
        <v>ID29</v>
      </c>
      <c r="M567" t="str">
        <f t="shared" si="131"/>
        <v/>
      </c>
      <c r="N567" t="str">
        <f t="shared" si="132"/>
        <v/>
      </c>
      <c r="O567" t="str">
        <f t="shared" si="133"/>
        <v/>
      </c>
      <c r="P567" s="113" t="str">
        <f t="shared" si="122"/>
        <v>ID29</v>
      </c>
      <c r="Q567" s="114">
        <f t="shared" si="123"/>
        <v>242</v>
      </c>
      <c r="R567" s="114">
        <f t="shared" si="124"/>
        <v>203.66666666666666</v>
      </c>
      <c r="S567" s="113">
        <f t="shared" si="125"/>
        <v>176</v>
      </c>
      <c r="T567" s="111">
        <f t="shared" ca="1" si="126"/>
        <v>4.78</v>
      </c>
      <c r="U567" s="111" t="str">
        <f t="shared" si="127"/>
        <v/>
      </c>
      <c r="V567" t="str">
        <f t="array" ref="V567">INDEX(P:P,MAX(U$3:U567))</f>
        <v>ID#2MTR</v>
      </c>
      <c r="W567" t="str">
        <f t="shared" ca="1" si="128"/>
        <v/>
      </c>
      <c r="X567">
        <f t="shared" si="129"/>
        <v>11.4</v>
      </c>
      <c r="Y567">
        <f t="shared" si="130"/>
        <v>242</v>
      </c>
      <c r="Z567" t="str">
        <f t="shared" si="134"/>
        <v>溪湖</v>
      </c>
    </row>
    <row r="568" spans="1:26" x14ac:dyDescent="0.25">
      <c r="A568" s="118" t="s">
        <v>690</v>
      </c>
      <c r="B568" s="119" t="s">
        <v>698</v>
      </c>
      <c r="C568" s="119">
        <v>251</v>
      </c>
      <c r="D568" s="118" t="s">
        <v>179</v>
      </c>
      <c r="E568" s="118">
        <v>223</v>
      </c>
      <c r="F568" s="118" t="s">
        <v>179</v>
      </c>
      <c r="G568" s="118">
        <v>249</v>
      </c>
      <c r="H568" s="118" t="s">
        <v>177</v>
      </c>
      <c r="I568" s="378">
        <v>251</v>
      </c>
      <c r="J568" s="117">
        <v>50</v>
      </c>
      <c r="K568" s="117" t="s">
        <v>198</v>
      </c>
      <c r="L568" t="str">
        <f t="shared" si="121"/>
        <v>ID21</v>
      </c>
      <c r="M568" t="str">
        <f t="shared" si="131"/>
        <v/>
      </c>
      <c r="N568" t="str">
        <f t="shared" si="132"/>
        <v/>
      </c>
      <c r="O568" t="str">
        <f t="shared" si="133"/>
        <v/>
      </c>
      <c r="P568" s="113" t="str">
        <f t="shared" si="122"/>
        <v>ID21</v>
      </c>
      <c r="Q568" s="114">
        <f t="shared" si="123"/>
        <v>251</v>
      </c>
      <c r="R568" s="114">
        <f t="shared" si="124"/>
        <v>241</v>
      </c>
      <c r="S568" s="113">
        <f t="shared" si="125"/>
        <v>223</v>
      </c>
      <c r="T568" s="111">
        <f t="shared" ca="1" si="126"/>
        <v>4.96</v>
      </c>
      <c r="U568" s="111" t="str">
        <f t="shared" si="127"/>
        <v/>
      </c>
      <c r="V568" t="str">
        <f t="array" ref="V568">INDEX(P:P,MAX(U$3:U568))</f>
        <v>ID#2MTR</v>
      </c>
      <c r="W568" t="str">
        <f t="shared" ca="1" si="128"/>
        <v/>
      </c>
      <c r="X568">
        <f t="shared" si="129"/>
        <v>11.4</v>
      </c>
      <c r="Y568">
        <f t="shared" si="130"/>
        <v>251</v>
      </c>
      <c r="Z568" t="str">
        <f t="shared" si="134"/>
        <v>溪湖</v>
      </c>
    </row>
    <row r="569" spans="1:26" x14ac:dyDescent="0.25">
      <c r="A569" s="118" t="s">
        <v>690</v>
      </c>
      <c r="B569" s="119" t="s">
        <v>699</v>
      </c>
      <c r="C569" s="119">
        <v>164</v>
      </c>
      <c r="D569" s="118" t="s">
        <v>188</v>
      </c>
      <c r="E569" s="118">
        <v>150</v>
      </c>
      <c r="F569" s="118" t="s">
        <v>188</v>
      </c>
      <c r="G569" s="118">
        <v>147</v>
      </c>
      <c r="H569" s="118" t="s">
        <v>196</v>
      </c>
      <c r="I569" s="378">
        <v>164</v>
      </c>
      <c r="J569" s="117">
        <v>25</v>
      </c>
      <c r="K569" s="117" t="s">
        <v>180</v>
      </c>
      <c r="L569" t="str">
        <f t="shared" si="121"/>
        <v>ID24</v>
      </c>
      <c r="M569" t="str">
        <f t="shared" si="131"/>
        <v/>
      </c>
      <c r="N569" t="str">
        <f t="shared" si="132"/>
        <v/>
      </c>
      <c r="O569" t="str">
        <f t="shared" si="133"/>
        <v/>
      </c>
      <c r="P569" s="113" t="str">
        <f t="shared" si="122"/>
        <v>ID24</v>
      </c>
      <c r="Q569" s="114">
        <f t="shared" si="123"/>
        <v>164</v>
      </c>
      <c r="R569" s="114">
        <f t="shared" si="124"/>
        <v>153.66666666666666</v>
      </c>
      <c r="S569" s="113">
        <f t="shared" si="125"/>
        <v>147</v>
      </c>
      <c r="T569" s="111">
        <f t="shared" ca="1" si="126"/>
        <v>3.24</v>
      </c>
      <c r="U569" s="111" t="str">
        <f t="shared" si="127"/>
        <v/>
      </c>
      <c r="V569" t="str">
        <f t="array" ref="V569">INDEX(P:P,MAX(U$3:U569))</f>
        <v>ID#2MTR</v>
      </c>
      <c r="W569" t="str">
        <f t="shared" ca="1" si="128"/>
        <v/>
      </c>
      <c r="X569">
        <f t="shared" si="129"/>
        <v>11.4</v>
      </c>
      <c r="Y569">
        <f t="shared" si="130"/>
        <v>164</v>
      </c>
      <c r="Z569" t="str">
        <f t="shared" si="134"/>
        <v>溪湖</v>
      </c>
    </row>
    <row r="570" spans="1:26" x14ac:dyDescent="0.25">
      <c r="A570" s="118" t="s">
        <v>690</v>
      </c>
      <c r="B570" s="119" t="s">
        <v>700</v>
      </c>
      <c r="C570" s="119">
        <v>121</v>
      </c>
      <c r="D570" s="118" t="s">
        <v>179</v>
      </c>
      <c r="E570" s="118">
        <v>113</v>
      </c>
      <c r="F570" s="118" t="s">
        <v>184</v>
      </c>
      <c r="G570" s="118">
        <v>115</v>
      </c>
      <c r="H570" s="118" t="s">
        <v>179</v>
      </c>
      <c r="I570" s="378">
        <v>121</v>
      </c>
      <c r="J570" s="117">
        <v>48</v>
      </c>
      <c r="K570" s="117" t="s">
        <v>229</v>
      </c>
      <c r="L570" t="str">
        <f t="shared" si="121"/>
        <v>ID30</v>
      </c>
      <c r="M570" t="str">
        <f t="shared" si="131"/>
        <v/>
      </c>
      <c r="N570" t="str">
        <f t="shared" si="132"/>
        <v/>
      </c>
      <c r="O570" t="str">
        <f t="shared" si="133"/>
        <v/>
      </c>
      <c r="P570" s="113" t="str">
        <f t="shared" si="122"/>
        <v>ID30</v>
      </c>
      <c r="Q570" s="114">
        <f t="shared" si="123"/>
        <v>121</v>
      </c>
      <c r="R570" s="114">
        <f t="shared" si="124"/>
        <v>116.33333333333333</v>
      </c>
      <c r="S570" s="113">
        <f t="shared" si="125"/>
        <v>113</v>
      </c>
      <c r="T570" s="111">
        <f t="shared" ca="1" si="126"/>
        <v>2.39</v>
      </c>
      <c r="U570" s="111" t="str">
        <f t="shared" si="127"/>
        <v/>
      </c>
      <c r="V570" t="str">
        <f t="array" ref="V570">INDEX(P:P,MAX(U$3:U570))</f>
        <v>ID#2MTR</v>
      </c>
      <c r="W570" t="str">
        <f t="shared" ca="1" si="128"/>
        <v/>
      </c>
      <c r="X570">
        <f t="shared" si="129"/>
        <v>11.4</v>
      </c>
      <c r="Y570">
        <f t="shared" si="130"/>
        <v>121</v>
      </c>
      <c r="Z570" t="str">
        <f t="shared" si="134"/>
        <v>溪湖</v>
      </c>
    </row>
    <row r="571" spans="1:26" x14ac:dyDescent="0.25">
      <c r="A571" s="118" t="s">
        <v>690</v>
      </c>
      <c r="B571" s="119" t="s">
        <v>197</v>
      </c>
      <c r="C571" s="119">
        <v>0</v>
      </c>
      <c r="D571" s="118" t="s">
        <v>194</v>
      </c>
      <c r="E571" s="118">
        <v>0</v>
      </c>
      <c r="F571" s="118" t="s">
        <v>194</v>
      </c>
      <c r="G571" s="118">
        <v>0</v>
      </c>
      <c r="H571" s="118" t="s">
        <v>194</v>
      </c>
      <c r="I571" s="378">
        <v>0</v>
      </c>
      <c r="J571" s="117"/>
      <c r="K571" s="117"/>
      <c r="L571" t="str">
        <f t="shared" si="121"/>
        <v>ID#3MTR</v>
      </c>
      <c r="M571" t="str">
        <f t="shared" si="131"/>
        <v/>
      </c>
      <c r="N571" t="str">
        <f t="shared" si="132"/>
        <v>ID#3MTR</v>
      </c>
      <c r="O571" t="str">
        <f t="shared" si="133"/>
        <v/>
      </c>
      <c r="P571" s="113" t="str">
        <f t="shared" si="122"/>
        <v>ID#3MTR</v>
      </c>
      <c r="Q571" s="114">
        <f t="shared" si="123"/>
        <v>0</v>
      </c>
      <c r="R571" s="114">
        <f t="shared" si="124"/>
        <v>0</v>
      </c>
      <c r="S571" s="113">
        <f t="shared" si="125"/>
        <v>0</v>
      </c>
      <c r="T571" s="111">
        <f t="shared" ca="1" si="126"/>
        <v>0</v>
      </c>
      <c r="U571" s="111">
        <f t="shared" si="127"/>
        <v>571</v>
      </c>
      <c r="V571" t="str">
        <f t="array" ref="V571">INDEX(P:P,MAX(U$3:U571))</f>
        <v>ID#3MTR</v>
      </c>
      <c r="W571">
        <f t="shared" ca="1" si="128"/>
        <v>25</v>
      </c>
      <c r="X571" t="str">
        <f t="shared" si="129"/>
        <v/>
      </c>
      <c r="Y571">
        <f t="shared" si="130"/>
        <v>0</v>
      </c>
      <c r="Z571" t="str">
        <f t="shared" si="134"/>
        <v>溪湖</v>
      </c>
    </row>
    <row r="572" spans="1:26" x14ac:dyDescent="0.25">
      <c r="A572" s="118" t="s">
        <v>690</v>
      </c>
      <c r="B572" s="119" t="s">
        <v>534</v>
      </c>
      <c r="C572" s="119">
        <v>0</v>
      </c>
      <c r="D572" s="118" t="s">
        <v>194</v>
      </c>
      <c r="E572" s="118">
        <v>0</v>
      </c>
      <c r="F572" s="118" t="s">
        <v>194</v>
      </c>
      <c r="G572" s="118">
        <v>0</v>
      </c>
      <c r="H572" s="118" t="s">
        <v>194</v>
      </c>
      <c r="I572" s="378">
        <v>0</v>
      </c>
      <c r="J572" s="117">
        <v>0</v>
      </c>
      <c r="K572" s="117" t="s">
        <v>194</v>
      </c>
      <c r="L572" t="str">
        <f t="shared" si="121"/>
        <v>F15)</v>
      </c>
      <c r="M572" t="str">
        <f t="shared" si="131"/>
        <v/>
      </c>
      <c r="N572" t="str">
        <f t="shared" si="132"/>
        <v/>
      </c>
      <c r="O572" t="str">
        <f t="shared" si="133"/>
        <v/>
      </c>
      <c r="P572" s="113" t="str">
        <f t="shared" si="122"/>
        <v>F15)</v>
      </c>
      <c r="Q572" s="114">
        <f t="shared" si="123"/>
        <v>0</v>
      </c>
      <c r="R572" s="114">
        <f t="shared" si="124"/>
        <v>0</v>
      </c>
      <c r="S572" s="113">
        <f t="shared" si="125"/>
        <v>0</v>
      </c>
      <c r="T572" s="111">
        <f t="shared" ca="1" si="126"/>
        <v>0</v>
      </c>
      <c r="U572" s="111" t="str">
        <f t="shared" si="127"/>
        <v/>
      </c>
      <c r="V572" t="str">
        <f t="array" ref="V572">INDEX(P:P,MAX(U$3:U572))</f>
        <v>ID#3MTR</v>
      </c>
      <c r="W572" t="str">
        <f t="shared" ca="1" si="128"/>
        <v/>
      </c>
      <c r="X572">
        <f t="shared" si="129"/>
        <v>22.8</v>
      </c>
      <c r="Y572">
        <f t="shared" si="130"/>
        <v>0</v>
      </c>
      <c r="Z572" t="str">
        <f t="shared" si="134"/>
        <v>溪湖</v>
      </c>
    </row>
    <row r="573" spans="1:26" x14ac:dyDescent="0.25">
      <c r="A573" s="118" t="s">
        <v>690</v>
      </c>
      <c r="B573" s="119" t="s">
        <v>701</v>
      </c>
      <c r="C573" s="119">
        <v>0</v>
      </c>
      <c r="D573" s="118" t="s">
        <v>194</v>
      </c>
      <c r="E573" s="118">
        <v>0</v>
      </c>
      <c r="F573" s="118" t="s">
        <v>194</v>
      </c>
      <c r="G573" s="118">
        <v>0</v>
      </c>
      <c r="H573" s="118" t="s">
        <v>194</v>
      </c>
      <c r="I573" s="378">
        <v>0</v>
      </c>
      <c r="J573" s="117">
        <v>0</v>
      </c>
      <c r="K573" s="117" t="s">
        <v>194</v>
      </c>
      <c r="L573" t="str">
        <f t="shared" si="121"/>
        <v>ID27</v>
      </c>
      <c r="M573" t="str">
        <f t="shared" si="131"/>
        <v/>
      </c>
      <c r="N573" t="str">
        <f t="shared" si="132"/>
        <v/>
      </c>
      <c r="O573" t="str">
        <f t="shared" si="133"/>
        <v/>
      </c>
      <c r="P573" s="113" t="str">
        <f t="shared" si="122"/>
        <v>ID27</v>
      </c>
      <c r="Q573" s="114">
        <f t="shared" si="123"/>
        <v>0</v>
      </c>
      <c r="R573" s="114">
        <f t="shared" si="124"/>
        <v>0</v>
      </c>
      <c r="S573" s="113">
        <f t="shared" si="125"/>
        <v>0</v>
      </c>
      <c r="T573" s="111">
        <f t="shared" ca="1" si="126"/>
        <v>0</v>
      </c>
      <c r="U573" s="111" t="str">
        <f t="shared" si="127"/>
        <v/>
      </c>
      <c r="V573" t="str">
        <f t="array" ref="V573">INDEX(P:P,MAX(U$3:U573))</f>
        <v>ID#3MTR</v>
      </c>
      <c r="W573" t="str">
        <f t="shared" ca="1" si="128"/>
        <v/>
      </c>
      <c r="X573">
        <f t="shared" si="129"/>
        <v>11.4</v>
      </c>
      <c r="Y573">
        <f t="shared" si="130"/>
        <v>0</v>
      </c>
      <c r="Z573" t="str">
        <f t="shared" si="134"/>
        <v>溪湖</v>
      </c>
    </row>
    <row r="574" spans="1:26" x14ac:dyDescent="0.25">
      <c r="A574" s="118" t="s">
        <v>690</v>
      </c>
      <c r="B574" s="119" t="s">
        <v>535</v>
      </c>
      <c r="C574" s="119">
        <v>0</v>
      </c>
      <c r="D574" s="118" t="s">
        <v>194</v>
      </c>
      <c r="E574" s="118">
        <v>0</v>
      </c>
      <c r="F574" s="118" t="s">
        <v>194</v>
      </c>
      <c r="G574" s="118">
        <v>0</v>
      </c>
      <c r="H574" s="118" t="s">
        <v>194</v>
      </c>
      <c r="I574" s="378">
        <v>0</v>
      </c>
      <c r="J574" s="117">
        <v>0</v>
      </c>
      <c r="K574" s="117" t="s">
        <v>194</v>
      </c>
      <c r="L574" t="str">
        <f t="shared" si="121"/>
        <v>F14)</v>
      </c>
      <c r="M574" t="str">
        <f t="shared" si="131"/>
        <v/>
      </c>
      <c r="N574" t="str">
        <f t="shared" si="132"/>
        <v/>
      </c>
      <c r="O574" t="str">
        <f t="shared" si="133"/>
        <v/>
      </c>
      <c r="P574" s="113" t="str">
        <f t="shared" si="122"/>
        <v>F14)</v>
      </c>
      <c r="Q574" s="114">
        <f t="shared" si="123"/>
        <v>0</v>
      </c>
      <c r="R574" s="114">
        <f t="shared" si="124"/>
        <v>0</v>
      </c>
      <c r="S574" s="113">
        <f t="shared" si="125"/>
        <v>0</v>
      </c>
      <c r="T574" s="111">
        <f t="shared" ca="1" si="126"/>
        <v>0</v>
      </c>
      <c r="U574" s="111" t="str">
        <f t="shared" si="127"/>
        <v/>
      </c>
      <c r="V574" t="str">
        <f t="array" ref="V574">INDEX(P:P,MAX(U$3:U574))</f>
        <v>ID#3MTR</v>
      </c>
      <c r="W574" t="str">
        <f t="shared" ca="1" si="128"/>
        <v/>
      </c>
      <c r="X574">
        <f t="shared" si="129"/>
        <v>11.4</v>
      </c>
      <c r="Y574">
        <f t="shared" si="130"/>
        <v>0</v>
      </c>
      <c r="Z574" t="str">
        <f t="shared" si="134"/>
        <v>溪湖</v>
      </c>
    </row>
    <row r="575" spans="1:26" x14ac:dyDescent="0.25">
      <c r="A575" s="118" t="s">
        <v>690</v>
      </c>
      <c r="B575" s="119" t="s">
        <v>702</v>
      </c>
      <c r="C575" s="119">
        <v>0</v>
      </c>
      <c r="D575" s="118" t="s">
        <v>194</v>
      </c>
      <c r="E575" s="118">
        <v>0</v>
      </c>
      <c r="F575" s="118" t="s">
        <v>194</v>
      </c>
      <c r="G575" s="118">
        <v>0</v>
      </c>
      <c r="H575" s="118" t="s">
        <v>194</v>
      </c>
      <c r="I575" s="378">
        <v>0</v>
      </c>
      <c r="J575" s="117">
        <v>0</v>
      </c>
      <c r="K575" s="117" t="s">
        <v>194</v>
      </c>
      <c r="L575" t="str">
        <f t="shared" si="121"/>
        <v>ID32</v>
      </c>
      <c r="M575" t="str">
        <f t="shared" si="131"/>
        <v/>
      </c>
      <c r="N575" t="str">
        <f t="shared" si="132"/>
        <v/>
      </c>
      <c r="O575" t="str">
        <f t="shared" si="133"/>
        <v/>
      </c>
      <c r="P575" s="113" t="str">
        <f t="shared" si="122"/>
        <v>ID32</v>
      </c>
      <c r="Q575" s="114">
        <f t="shared" si="123"/>
        <v>0</v>
      </c>
      <c r="R575" s="114">
        <f t="shared" si="124"/>
        <v>0</v>
      </c>
      <c r="S575" s="113">
        <f t="shared" si="125"/>
        <v>0</v>
      </c>
      <c r="T575" s="111">
        <f t="shared" ca="1" si="126"/>
        <v>0</v>
      </c>
      <c r="U575" s="111" t="str">
        <f t="shared" si="127"/>
        <v/>
      </c>
      <c r="V575" t="str">
        <f t="array" ref="V575">INDEX(P:P,MAX(U$3:U575))</f>
        <v>ID#3MTR</v>
      </c>
      <c r="W575" t="str">
        <f t="shared" ca="1" si="128"/>
        <v/>
      </c>
      <c r="X575">
        <f t="shared" si="129"/>
        <v>11.4</v>
      </c>
      <c r="Y575">
        <f t="shared" si="130"/>
        <v>0</v>
      </c>
      <c r="Z575" t="str">
        <f t="shared" si="134"/>
        <v>溪湖</v>
      </c>
    </row>
    <row r="576" spans="1:26" x14ac:dyDescent="0.25">
      <c r="A576" s="118" t="s">
        <v>690</v>
      </c>
      <c r="B576" s="119" t="s">
        <v>703</v>
      </c>
      <c r="C576" s="119">
        <v>0</v>
      </c>
      <c r="D576" s="118" t="s">
        <v>194</v>
      </c>
      <c r="E576" s="118">
        <v>0</v>
      </c>
      <c r="F576" s="118" t="s">
        <v>194</v>
      </c>
      <c r="G576" s="118">
        <v>0</v>
      </c>
      <c r="H576" s="118" t="s">
        <v>194</v>
      </c>
      <c r="I576" s="378">
        <v>0</v>
      </c>
      <c r="J576" s="117">
        <v>0</v>
      </c>
      <c r="K576" s="117" t="s">
        <v>194</v>
      </c>
      <c r="L576" t="str">
        <f t="shared" si="121"/>
        <v>ID22</v>
      </c>
      <c r="M576" t="str">
        <f t="shared" si="131"/>
        <v/>
      </c>
      <c r="N576" t="str">
        <f t="shared" si="132"/>
        <v/>
      </c>
      <c r="O576" t="str">
        <f t="shared" si="133"/>
        <v/>
      </c>
      <c r="P576" s="113" t="str">
        <f t="shared" si="122"/>
        <v>ID22</v>
      </c>
      <c r="Q576" s="114">
        <f t="shared" si="123"/>
        <v>0</v>
      </c>
      <c r="R576" s="114">
        <f t="shared" si="124"/>
        <v>0</v>
      </c>
      <c r="S576" s="113">
        <f t="shared" si="125"/>
        <v>0</v>
      </c>
      <c r="T576" s="111">
        <f t="shared" ca="1" si="126"/>
        <v>0</v>
      </c>
      <c r="U576" s="111" t="str">
        <f t="shared" si="127"/>
        <v/>
      </c>
      <c r="V576" t="str">
        <f t="array" ref="V576">INDEX(P:P,MAX(U$3:U576))</f>
        <v>ID#3MTR</v>
      </c>
      <c r="W576" t="str">
        <f t="shared" ca="1" si="128"/>
        <v/>
      </c>
      <c r="X576">
        <f t="shared" si="129"/>
        <v>11.4</v>
      </c>
      <c r="Y576">
        <f t="shared" si="130"/>
        <v>0</v>
      </c>
      <c r="Z576" t="str">
        <f t="shared" si="134"/>
        <v>溪湖</v>
      </c>
    </row>
    <row r="577" spans="1:26" x14ac:dyDescent="0.25">
      <c r="A577" s="118" t="s">
        <v>704</v>
      </c>
      <c r="B577" s="119" t="s">
        <v>254</v>
      </c>
      <c r="C577" s="119">
        <v>533</v>
      </c>
      <c r="D577" s="118" t="s">
        <v>200</v>
      </c>
      <c r="E577" s="118">
        <v>567</v>
      </c>
      <c r="F577" s="118" t="s">
        <v>207</v>
      </c>
      <c r="G577" s="118">
        <v>521</v>
      </c>
      <c r="H577" s="118" t="s">
        <v>200</v>
      </c>
      <c r="I577" s="378">
        <v>567</v>
      </c>
      <c r="J577" s="117"/>
      <c r="K577" s="117"/>
      <c r="L577" t="str">
        <f t="shared" si="121"/>
        <v>IK#1DTR(A)</v>
      </c>
      <c r="M577" t="str">
        <f t="shared" si="131"/>
        <v>(A)</v>
      </c>
      <c r="N577" t="str">
        <f t="shared" si="132"/>
        <v>IK#1DTR</v>
      </c>
      <c r="O577" t="str">
        <f t="shared" si="133"/>
        <v>(A)</v>
      </c>
      <c r="P577" s="113" t="str">
        <f t="shared" si="122"/>
        <v>IK#1DTR(A)</v>
      </c>
      <c r="Q577" s="114">
        <f t="shared" si="123"/>
        <v>567</v>
      </c>
      <c r="R577" s="114">
        <f t="shared" si="124"/>
        <v>540.33333333333337</v>
      </c>
      <c r="S577" s="113">
        <f t="shared" si="125"/>
        <v>521</v>
      </c>
      <c r="T577" s="111">
        <f t="shared" ca="1" si="126"/>
        <v>11.2</v>
      </c>
      <c r="U577" s="111">
        <f t="shared" si="127"/>
        <v>577</v>
      </c>
      <c r="V577" t="str">
        <f t="array" ref="V577">INDEX(P:P,MAX(U$3:U577))</f>
        <v>IK#1DTR(A)</v>
      </c>
      <c r="W577">
        <f t="shared" ca="1" si="128"/>
        <v>30</v>
      </c>
      <c r="X577" t="str">
        <f t="shared" si="129"/>
        <v/>
      </c>
      <c r="Y577">
        <f t="shared" si="130"/>
        <v>567</v>
      </c>
      <c r="Z577" t="str">
        <f t="shared" si="134"/>
        <v>彰化</v>
      </c>
    </row>
    <row r="578" spans="1:26" x14ac:dyDescent="0.25">
      <c r="A578" s="118" t="s">
        <v>704</v>
      </c>
      <c r="B578" s="119" t="s">
        <v>705</v>
      </c>
      <c r="C578" s="119">
        <v>186</v>
      </c>
      <c r="D578" s="118" t="s">
        <v>207</v>
      </c>
      <c r="E578" s="118">
        <v>215</v>
      </c>
      <c r="F578" s="118" t="s">
        <v>200</v>
      </c>
      <c r="G578" s="118">
        <v>192</v>
      </c>
      <c r="H578" s="118" t="s">
        <v>207</v>
      </c>
      <c r="I578" s="378">
        <v>215</v>
      </c>
      <c r="J578" s="117">
        <v>64</v>
      </c>
      <c r="K578" s="117" t="s">
        <v>177</v>
      </c>
      <c r="L578" t="str">
        <f t="shared" si="121"/>
        <v>IK30</v>
      </c>
      <c r="M578" t="str">
        <f t="shared" si="131"/>
        <v/>
      </c>
      <c r="N578" t="str">
        <f t="shared" si="132"/>
        <v/>
      </c>
      <c r="O578" t="str">
        <f t="shared" si="133"/>
        <v/>
      </c>
      <c r="P578" s="113" t="str">
        <f t="shared" si="122"/>
        <v>IK30</v>
      </c>
      <c r="Q578" s="114">
        <f t="shared" si="123"/>
        <v>215</v>
      </c>
      <c r="R578" s="114">
        <f t="shared" si="124"/>
        <v>197.66666666666666</v>
      </c>
      <c r="S578" s="113">
        <f t="shared" si="125"/>
        <v>186</v>
      </c>
      <c r="T578" s="111">
        <f t="shared" ca="1" si="126"/>
        <v>4.25</v>
      </c>
      <c r="U578" s="111" t="str">
        <f t="shared" si="127"/>
        <v/>
      </c>
      <c r="V578" t="str">
        <f t="array" ref="V578">INDEX(P:P,MAX(U$3:U578))</f>
        <v>IK#1DTR(A)</v>
      </c>
      <c r="W578" t="str">
        <f t="shared" ca="1" si="128"/>
        <v/>
      </c>
      <c r="X578">
        <f t="shared" si="129"/>
        <v>11.4</v>
      </c>
      <c r="Y578">
        <f t="shared" si="130"/>
        <v>215</v>
      </c>
      <c r="Z578" t="str">
        <f t="shared" si="134"/>
        <v>彰化</v>
      </c>
    </row>
    <row r="579" spans="1:26" x14ac:dyDescent="0.25">
      <c r="A579" s="118" t="s">
        <v>704</v>
      </c>
      <c r="B579" s="119" t="s">
        <v>706</v>
      </c>
      <c r="C579" s="119">
        <v>104</v>
      </c>
      <c r="D579" s="118" t="s">
        <v>203</v>
      </c>
      <c r="E579" s="118">
        <v>112</v>
      </c>
      <c r="F579" s="118" t="s">
        <v>203</v>
      </c>
      <c r="G579" s="118">
        <v>104</v>
      </c>
      <c r="H579" s="118" t="s">
        <v>203</v>
      </c>
      <c r="I579" s="378">
        <v>112</v>
      </c>
      <c r="J579" s="117">
        <v>12</v>
      </c>
      <c r="K579" s="117" t="s">
        <v>180</v>
      </c>
      <c r="L579" t="str">
        <f t="shared" ref="L579:L642" si="135">IF(COUNTIF(B579,"*TR*")&gt;0,SUBSTITUTE(RIGHT(TRIM(A579),2) &amp; B579," ",""),MID(B579,FIND("(",B579)+1,4))</f>
        <v>IK31</v>
      </c>
      <c r="M579" t="str">
        <f t="shared" si="131"/>
        <v/>
      </c>
      <c r="N579" t="str">
        <f t="shared" si="132"/>
        <v/>
      </c>
      <c r="O579" t="str">
        <f t="shared" si="133"/>
        <v/>
      </c>
      <c r="P579" s="113" t="str">
        <f t="shared" ref="P579:P642" si="136">IF(COUNTIF(B579,"*TR*")&gt;0,SUBSTITUTE(RIGHT(TRIM(A579),2) &amp; B579," ",""),MID(B579,FIND("(",B579)+1,4))</f>
        <v>IK31</v>
      </c>
      <c r="Q579" s="114">
        <f t="shared" ref="Q579:Q642" si="137">VALUE(I579)</f>
        <v>112</v>
      </c>
      <c r="R579" s="114">
        <f t="shared" ref="R579:R642" si="138">AVERAGE(C579*1,E579*1,G579*1)</f>
        <v>106.66666666666667</v>
      </c>
      <c r="S579" s="113">
        <f t="shared" ref="S579:S642" si="139">MIN(C579*1,E579*1,G579*1)</f>
        <v>104</v>
      </c>
      <c r="T579" s="111">
        <f t="shared" ref="T579:T642" ca="1" si="140">IF(LEFT(TRIM(B579),1)="#",ROUND(OFFSET(X579,1,0,1,1)*Y579*SQRT(3)/1000,2),ROUND(Q579*X579*SQRT(3)/1000,2))</f>
        <v>2.21</v>
      </c>
      <c r="U579" s="111" t="str">
        <f t="shared" ref="U579:U642" si="141">IF(ISNUMBER(FIND("#",B579)),ROW(),"")</f>
        <v/>
      </c>
      <c r="V579" t="str">
        <f t="array" ref="V579">INDEX(P:P,MAX(U$3:U579))</f>
        <v>IK#1DTR(A)</v>
      </c>
      <c r="W579" t="str">
        <f t="shared" ref="W579:W642" ca="1" si="142">IF(LEFT(TRIM(B579),1)="#",IF(ISNUMBER(FIND("DTR",B579)),IF(MID(OFFSET(P579,1,0,1,1),3,1)*1&lt;5,30,60),25),"")</f>
        <v/>
      </c>
      <c r="X579">
        <f t="shared" ref="X579:X642" si="143">IF(LEFT(TRIM(B579),1)= "#","",IF(MID(P579,3,1)*1&lt;5,11.4,22.8))</f>
        <v>11.4</v>
      </c>
      <c r="Y579">
        <f t="shared" ref="Y579:Y642" si="144">SUMIF(L:L,L579,I:I)</f>
        <v>112</v>
      </c>
      <c r="Z579" t="str">
        <f t="shared" si="134"/>
        <v>彰化</v>
      </c>
    </row>
    <row r="580" spans="1:26" x14ac:dyDescent="0.25">
      <c r="A580" s="118" t="s">
        <v>704</v>
      </c>
      <c r="B580" s="119" t="s">
        <v>707</v>
      </c>
      <c r="C580" s="119">
        <v>77</v>
      </c>
      <c r="D580" s="118" t="s">
        <v>229</v>
      </c>
      <c r="E580" s="118">
        <v>70</v>
      </c>
      <c r="F580" s="118" t="s">
        <v>207</v>
      </c>
      <c r="G580" s="118">
        <v>60</v>
      </c>
      <c r="H580" s="118" t="s">
        <v>229</v>
      </c>
      <c r="I580" s="378">
        <v>77</v>
      </c>
      <c r="J580" s="117">
        <v>41</v>
      </c>
      <c r="K580" s="117" t="s">
        <v>179</v>
      </c>
      <c r="L580" t="str">
        <f t="shared" si="135"/>
        <v>IK32</v>
      </c>
      <c r="M580" t="str">
        <f t="shared" ref="M580:M643" si="145">IF(LEFT(B580,1)="#",IF(LEN(B580)&lt;&gt;5,MID(B580,6,3),""),"")</f>
        <v/>
      </c>
      <c r="N580" t="str">
        <f t="shared" ref="N580:N643" si="146">IF(LEFT(B580,1)="#",IF(LEN(B580)=5,RIGHT(A580,2)&amp;B580,RIGHT(A580,2)&amp;LEFT(B580,2)&amp;"DTR"),"")</f>
        <v/>
      </c>
      <c r="O580" t="str">
        <f t="shared" ref="O580:O643" si="147">IF(LEFT(B580,1)="#",IF(LEN(B580)&lt;&gt;5,IF(LEN(B580)&lt;&gt;7,MID(B580,6,3),"("&amp;MID(B580,3,2)&amp;")"),""),"")</f>
        <v/>
      </c>
      <c r="P580" s="113" t="str">
        <f t="shared" si="136"/>
        <v>IK32</v>
      </c>
      <c r="Q580" s="114">
        <f t="shared" si="137"/>
        <v>77</v>
      </c>
      <c r="R580" s="114">
        <f t="shared" si="138"/>
        <v>69</v>
      </c>
      <c r="S580" s="113">
        <f t="shared" si="139"/>
        <v>60</v>
      </c>
      <c r="T580" s="111">
        <f t="shared" ca="1" si="140"/>
        <v>1.52</v>
      </c>
      <c r="U580" s="111" t="str">
        <f t="shared" si="141"/>
        <v/>
      </c>
      <c r="V580" t="str">
        <f t="array" ref="V580">INDEX(P:P,MAX(U$3:U580))</f>
        <v>IK#1DTR(A)</v>
      </c>
      <c r="W580" t="str">
        <f t="shared" ca="1" si="142"/>
        <v/>
      </c>
      <c r="X580">
        <f t="shared" si="143"/>
        <v>11.4</v>
      </c>
      <c r="Y580">
        <f t="shared" si="144"/>
        <v>77</v>
      </c>
      <c r="Z580" t="str">
        <f t="shared" ref="Z580:Z643" si="148">LEFT(A580,2)</f>
        <v>彰化</v>
      </c>
    </row>
    <row r="581" spans="1:26" x14ac:dyDescent="0.25">
      <c r="A581" s="118" t="s">
        <v>704</v>
      </c>
      <c r="B581" s="119" t="s">
        <v>708</v>
      </c>
      <c r="C581" s="119">
        <v>219</v>
      </c>
      <c r="D581" s="118" t="s">
        <v>179</v>
      </c>
      <c r="E581" s="118">
        <v>216</v>
      </c>
      <c r="F581" s="118" t="s">
        <v>179</v>
      </c>
      <c r="G581" s="118">
        <v>210</v>
      </c>
      <c r="H581" s="118" t="s">
        <v>198</v>
      </c>
      <c r="I581" s="378">
        <v>219</v>
      </c>
      <c r="J581" s="117">
        <v>47</v>
      </c>
      <c r="K581" s="117" t="s">
        <v>194</v>
      </c>
      <c r="L581" t="str">
        <f t="shared" si="135"/>
        <v>IK33</v>
      </c>
      <c r="M581" t="str">
        <f t="shared" si="145"/>
        <v/>
      </c>
      <c r="N581" t="str">
        <f t="shared" si="146"/>
        <v/>
      </c>
      <c r="O581" t="str">
        <f t="shared" si="147"/>
        <v/>
      </c>
      <c r="P581" s="113" t="str">
        <f t="shared" si="136"/>
        <v>IK33</v>
      </c>
      <c r="Q581" s="114">
        <f t="shared" si="137"/>
        <v>219</v>
      </c>
      <c r="R581" s="114">
        <f t="shared" si="138"/>
        <v>215</v>
      </c>
      <c r="S581" s="113">
        <f t="shared" si="139"/>
        <v>210</v>
      </c>
      <c r="T581" s="111">
        <f t="shared" ca="1" si="140"/>
        <v>4.32</v>
      </c>
      <c r="U581" s="111" t="str">
        <f t="shared" si="141"/>
        <v/>
      </c>
      <c r="V581" t="str">
        <f t="array" ref="V581">INDEX(P:P,MAX(U$3:U581))</f>
        <v>IK#1DTR(A)</v>
      </c>
      <c r="W581" t="str">
        <f t="shared" ca="1" si="142"/>
        <v/>
      </c>
      <c r="X581">
        <f t="shared" si="143"/>
        <v>11.4</v>
      </c>
      <c r="Y581">
        <f t="shared" si="144"/>
        <v>219</v>
      </c>
      <c r="Z581" t="str">
        <f t="shared" si="148"/>
        <v>彰化</v>
      </c>
    </row>
    <row r="582" spans="1:26" x14ac:dyDescent="0.25">
      <c r="A582" s="118" t="s">
        <v>704</v>
      </c>
      <c r="B582" s="119" t="s">
        <v>709</v>
      </c>
      <c r="C582" s="119">
        <v>16</v>
      </c>
      <c r="D582" s="118" t="s">
        <v>179</v>
      </c>
      <c r="E582" s="118">
        <v>8</v>
      </c>
      <c r="F582" s="118" t="s">
        <v>207</v>
      </c>
      <c r="G582" s="118">
        <v>19</v>
      </c>
      <c r="H582" s="118" t="s">
        <v>176</v>
      </c>
      <c r="I582" s="378">
        <v>19</v>
      </c>
      <c r="J582" s="117">
        <v>14</v>
      </c>
      <c r="K582" s="117" t="s">
        <v>176</v>
      </c>
      <c r="L582" t="str">
        <f t="shared" si="135"/>
        <v>IK34</v>
      </c>
      <c r="M582" t="str">
        <f t="shared" si="145"/>
        <v/>
      </c>
      <c r="N582" t="str">
        <f t="shared" si="146"/>
        <v/>
      </c>
      <c r="O582" t="str">
        <f t="shared" si="147"/>
        <v/>
      </c>
      <c r="P582" s="113" t="str">
        <f t="shared" si="136"/>
        <v>IK34</v>
      </c>
      <c r="Q582" s="114">
        <f t="shared" si="137"/>
        <v>19</v>
      </c>
      <c r="R582" s="114">
        <f t="shared" si="138"/>
        <v>14.333333333333334</v>
      </c>
      <c r="S582" s="113">
        <f t="shared" si="139"/>
        <v>8</v>
      </c>
      <c r="T582" s="111">
        <f t="shared" ca="1" si="140"/>
        <v>0.38</v>
      </c>
      <c r="U582" s="111" t="str">
        <f t="shared" si="141"/>
        <v/>
      </c>
      <c r="V582" t="str">
        <f t="array" ref="V582">INDEX(P:P,MAX(U$3:U582))</f>
        <v>IK#1DTR(A)</v>
      </c>
      <c r="W582" t="str">
        <f t="shared" ca="1" si="142"/>
        <v/>
      </c>
      <c r="X582">
        <f t="shared" si="143"/>
        <v>11.4</v>
      </c>
      <c r="Y582">
        <f t="shared" si="144"/>
        <v>19</v>
      </c>
      <c r="Z582" t="str">
        <f t="shared" si="148"/>
        <v>彰化</v>
      </c>
    </row>
    <row r="583" spans="1:26" x14ac:dyDescent="0.25">
      <c r="A583" s="118" t="s">
        <v>704</v>
      </c>
      <c r="B583" s="119" t="s">
        <v>710</v>
      </c>
      <c r="C583" s="119">
        <v>0</v>
      </c>
      <c r="D583" s="118" t="s">
        <v>194</v>
      </c>
      <c r="E583" s="118">
        <v>0</v>
      </c>
      <c r="F583" s="118" t="s">
        <v>194</v>
      </c>
      <c r="G583" s="118">
        <v>0</v>
      </c>
      <c r="H583" s="118" t="s">
        <v>194</v>
      </c>
      <c r="I583" s="378">
        <v>0</v>
      </c>
      <c r="J583" s="117">
        <v>0</v>
      </c>
      <c r="K583" s="117" t="s">
        <v>194</v>
      </c>
      <c r="L583" t="str">
        <f t="shared" si="135"/>
        <v>IK35</v>
      </c>
      <c r="M583" t="str">
        <f t="shared" si="145"/>
        <v/>
      </c>
      <c r="N583" t="str">
        <f t="shared" si="146"/>
        <v/>
      </c>
      <c r="O583" t="str">
        <f t="shared" si="147"/>
        <v/>
      </c>
      <c r="P583" s="113" t="str">
        <f t="shared" si="136"/>
        <v>IK35</v>
      </c>
      <c r="Q583" s="114">
        <f t="shared" si="137"/>
        <v>0</v>
      </c>
      <c r="R583" s="114">
        <f t="shared" si="138"/>
        <v>0</v>
      </c>
      <c r="S583" s="113">
        <f t="shared" si="139"/>
        <v>0</v>
      </c>
      <c r="T583" s="111">
        <f t="shared" ca="1" si="140"/>
        <v>0</v>
      </c>
      <c r="U583" s="111" t="str">
        <f t="shared" si="141"/>
        <v/>
      </c>
      <c r="V583" t="str">
        <f t="array" ref="V583">INDEX(P:P,MAX(U$3:U583))</f>
        <v>IK#1DTR(A)</v>
      </c>
      <c r="W583" t="str">
        <f t="shared" ca="1" si="142"/>
        <v/>
      </c>
      <c r="X583">
        <f t="shared" si="143"/>
        <v>11.4</v>
      </c>
      <c r="Y583">
        <f t="shared" si="144"/>
        <v>0</v>
      </c>
      <c r="Z583" t="str">
        <f t="shared" si="148"/>
        <v>彰化</v>
      </c>
    </row>
    <row r="584" spans="1:26" x14ac:dyDescent="0.25">
      <c r="A584" s="118" t="s">
        <v>704</v>
      </c>
      <c r="B584" s="119" t="s">
        <v>295</v>
      </c>
      <c r="C584" s="119">
        <v>462</v>
      </c>
      <c r="D584" s="118" t="s">
        <v>198</v>
      </c>
      <c r="E584" s="118">
        <v>419</v>
      </c>
      <c r="F584" s="118" t="s">
        <v>198</v>
      </c>
      <c r="G584" s="118">
        <v>459</v>
      </c>
      <c r="H584" s="118" t="s">
        <v>198</v>
      </c>
      <c r="I584" s="378">
        <v>462</v>
      </c>
      <c r="J584" s="117"/>
      <c r="K584" s="117"/>
      <c r="L584" t="str">
        <f t="shared" si="135"/>
        <v>IK#1DTR(B)</v>
      </c>
      <c r="M584" t="str">
        <f t="shared" si="145"/>
        <v>(B)</v>
      </c>
      <c r="N584" t="str">
        <f t="shared" si="146"/>
        <v>IK#1DTR</v>
      </c>
      <c r="O584" t="str">
        <f t="shared" si="147"/>
        <v>(B)</v>
      </c>
      <c r="P584" s="113" t="str">
        <f t="shared" si="136"/>
        <v>IK#1DTR(B)</v>
      </c>
      <c r="Q584" s="114">
        <f t="shared" si="137"/>
        <v>462</v>
      </c>
      <c r="R584" s="114">
        <f t="shared" si="138"/>
        <v>446.66666666666669</v>
      </c>
      <c r="S584" s="113">
        <f t="shared" si="139"/>
        <v>419</v>
      </c>
      <c r="T584" s="111">
        <f t="shared" ca="1" si="140"/>
        <v>9.1199999999999992</v>
      </c>
      <c r="U584" s="111">
        <f t="shared" si="141"/>
        <v>584</v>
      </c>
      <c r="V584" t="str">
        <f t="array" ref="V584">INDEX(P:P,MAX(U$3:U584))</f>
        <v>IK#1DTR(B)</v>
      </c>
      <c r="W584">
        <f t="shared" ca="1" si="142"/>
        <v>30</v>
      </c>
      <c r="X584" t="str">
        <f t="shared" si="143"/>
        <v/>
      </c>
      <c r="Y584">
        <f t="shared" si="144"/>
        <v>462</v>
      </c>
      <c r="Z584" t="str">
        <f t="shared" si="148"/>
        <v>彰化</v>
      </c>
    </row>
    <row r="585" spans="1:26" x14ac:dyDescent="0.25">
      <c r="A585" s="118" t="s">
        <v>704</v>
      </c>
      <c r="B585" s="119" t="s">
        <v>711</v>
      </c>
      <c r="C585" s="119">
        <v>205</v>
      </c>
      <c r="D585" s="118" t="s">
        <v>203</v>
      </c>
      <c r="E585" s="118">
        <v>217</v>
      </c>
      <c r="F585" s="118" t="s">
        <v>198</v>
      </c>
      <c r="G585" s="118">
        <v>198</v>
      </c>
      <c r="H585" s="118" t="s">
        <v>198</v>
      </c>
      <c r="I585" s="378">
        <v>217</v>
      </c>
      <c r="J585" s="117">
        <v>49</v>
      </c>
      <c r="K585" s="117" t="s">
        <v>200</v>
      </c>
      <c r="L585" t="str">
        <f t="shared" si="135"/>
        <v>IK49</v>
      </c>
      <c r="M585" t="str">
        <f t="shared" si="145"/>
        <v/>
      </c>
      <c r="N585" t="str">
        <f t="shared" si="146"/>
        <v/>
      </c>
      <c r="O585" t="str">
        <f t="shared" si="147"/>
        <v/>
      </c>
      <c r="P585" s="113" t="str">
        <f t="shared" si="136"/>
        <v>IK49</v>
      </c>
      <c r="Q585" s="114">
        <f t="shared" si="137"/>
        <v>217</v>
      </c>
      <c r="R585" s="114">
        <f t="shared" si="138"/>
        <v>206.66666666666666</v>
      </c>
      <c r="S585" s="113">
        <f t="shared" si="139"/>
        <v>198</v>
      </c>
      <c r="T585" s="111">
        <f t="shared" ca="1" si="140"/>
        <v>4.28</v>
      </c>
      <c r="U585" s="111" t="str">
        <f t="shared" si="141"/>
        <v/>
      </c>
      <c r="V585" t="str">
        <f t="array" ref="V585">INDEX(P:P,MAX(U$3:U585))</f>
        <v>IK#1DTR(B)</v>
      </c>
      <c r="W585" t="str">
        <f t="shared" ca="1" si="142"/>
        <v/>
      </c>
      <c r="X585">
        <f t="shared" si="143"/>
        <v>11.4</v>
      </c>
      <c r="Y585">
        <f t="shared" si="144"/>
        <v>217</v>
      </c>
      <c r="Z585" t="str">
        <f t="shared" si="148"/>
        <v>彰化</v>
      </c>
    </row>
    <row r="586" spans="1:26" x14ac:dyDescent="0.25">
      <c r="A586" s="118" t="s">
        <v>704</v>
      </c>
      <c r="B586" s="119" t="s">
        <v>712</v>
      </c>
      <c r="C586" s="119">
        <v>147</v>
      </c>
      <c r="D586" s="118" t="s">
        <v>203</v>
      </c>
      <c r="E586" s="118">
        <v>102</v>
      </c>
      <c r="F586" s="118" t="s">
        <v>203</v>
      </c>
      <c r="G586" s="118">
        <v>136</v>
      </c>
      <c r="H586" s="118" t="s">
        <v>198</v>
      </c>
      <c r="I586" s="378">
        <v>147</v>
      </c>
      <c r="J586" s="117">
        <v>81</v>
      </c>
      <c r="K586" s="117" t="s">
        <v>198</v>
      </c>
      <c r="L586" t="str">
        <f t="shared" si="135"/>
        <v>IK48</v>
      </c>
      <c r="M586" t="str">
        <f t="shared" si="145"/>
        <v/>
      </c>
      <c r="N586" t="str">
        <f t="shared" si="146"/>
        <v/>
      </c>
      <c r="O586" t="str">
        <f t="shared" si="147"/>
        <v/>
      </c>
      <c r="P586" s="113" t="str">
        <f t="shared" si="136"/>
        <v>IK48</v>
      </c>
      <c r="Q586" s="114">
        <f t="shared" si="137"/>
        <v>147</v>
      </c>
      <c r="R586" s="114">
        <f t="shared" si="138"/>
        <v>128.33333333333334</v>
      </c>
      <c r="S586" s="113">
        <f t="shared" si="139"/>
        <v>102</v>
      </c>
      <c r="T586" s="111">
        <f t="shared" ca="1" si="140"/>
        <v>2.9</v>
      </c>
      <c r="U586" s="111" t="str">
        <f t="shared" si="141"/>
        <v/>
      </c>
      <c r="V586" t="str">
        <f t="array" ref="V586">INDEX(P:P,MAX(U$3:U586))</f>
        <v>IK#1DTR(B)</v>
      </c>
      <c r="W586" t="str">
        <f t="shared" ca="1" si="142"/>
        <v/>
      </c>
      <c r="X586">
        <f t="shared" si="143"/>
        <v>11.4</v>
      </c>
      <c r="Y586">
        <f t="shared" si="144"/>
        <v>147</v>
      </c>
      <c r="Z586" t="str">
        <f t="shared" si="148"/>
        <v>彰化</v>
      </c>
    </row>
    <row r="587" spans="1:26" x14ac:dyDescent="0.25">
      <c r="A587" s="118" t="s">
        <v>704</v>
      </c>
      <c r="B587" s="119" t="s">
        <v>713</v>
      </c>
      <c r="C587" s="119">
        <v>135</v>
      </c>
      <c r="D587" s="118" t="s">
        <v>188</v>
      </c>
      <c r="E587" s="118">
        <v>129</v>
      </c>
      <c r="F587" s="118" t="s">
        <v>177</v>
      </c>
      <c r="G587" s="118">
        <v>129</v>
      </c>
      <c r="H587" s="118" t="s">
        <v>207</v>
      </c>
      <c r="I587" s="378">
        <v>135</v>
      </c>
      <c r="J587" s="117">
        <v>53</v>
      </c>
      <c r="K587" s="117" t="s">
        <v>200</v>
      </c>
      <c r="L587" t="str">
        <f t="shared" si="135"/>
        <v>IK47</v>
      </c>
      <c r="M587" t="str">
        <f t="shared" si="145"/>
        <v/>
      </c>
      <c r="N587" t="str">
        <f t="shared" si="146"/>
        <v/>
      </c>
      <c r="O587" t="str">
        <f t="shared" si="147"/>
        <v/>
      </c>
      <c r="P587" s="113" t="str">
        <f t="shared" si="136"/>
        <v>IK47</v>
      </c>
      <c r="Q587" s="114">
        <f t="shared" si="137"/>
        <v>135</v>
      </c>
      <c r="R587" s="114">
        <f t="shared" si="138"/>
        <v>131</v>
      </c>
      <c r="S587" s="113">
        <f t="shared" si="139"/>
        <v>129</v>
      </c>
      <c r="T587" s="111">
        <f t="shared" ca="1" si="140"/>
        <v>2.67</v>
      </c>
      <c r="U587" s="111" t="str">
        <f t="shared" si="141"/>
        <v/>
      </c>
      <c r="V587" t="str">
        <f t="array" ref="V587">INDEX(P:P,MAX(U$3:U587))</f>
        <v>IK#1DTR(B)</v>
      </c>
      <c r="W587" t="str">
        <f t="shared" ca="1" si="142"/>
        <v/>
      </c>
      <c r="X587">
        <f t="shared" si="143"/>
        <v>11.4</v>
      </c>
      <c r="Y587">
        <f t="shared" si="144"/>
        <v>135</v>
      </c>
      <c r="Z587" t="str">
        <f t="shared" si="148"/>
        <v>彰化</v>
      </c>
    </row>
    <row r="588" spans="1:26" x14ac:dyDescent="0.25">
      <c r="A588" s="118" t="s">
        <v>704</v>
      </c>
      <c r="B588" s="119" t="s">
        <v>714</v>
      </c>
      <c r="C588" s="119">
        <v>0</v>
      </c>
      <c r="D588" s="118" t="s">
        <v>194</v>
      </c>
      <c r="E588" s="118">
        <v>1</v>
      </c>
      <c r="F588" s="118" t="s">
        <v>184</v>
      </c>
      <c r="G588" s="118">
        <v>0</v>
      </c>
      <c r="H588" s="118" t="s">
        <v>194</v>
      </c>
      <c r="I588" s="378">
        <v>1</v>
      </c>
      <c r="J588" s="117">
        <v>0</v>
      </c>
      <c r="K588" s="117" t="s">
        <v>194</v>
      </c>
      <c r="L588" t="str">
        <f t="shared" si="135"/>
        <v>IK46</v>
      </c>
      <c r="M588" t="str">
        <f t="shared" si="145"/>
        <v/>
      </c>
      <c r="N588" t="str">
        <f t="shared" si="146"/>
        <v/>
      </c>
      <c r="O588" t="str">
        <f t="shared" si="147"/>
        <v/>
      </c>
      <c r="P588" s="113" t="str">
        <f t="shared" si="136"/>
        <v>IK46</v>
      </c>
      <c r="Q588" s="114">
        <f t="shared" si="137"/>
        <v>1</v>
      </c>
      <c r="R588" s="114">
        <f t="shared" si="138"/>
        <v>0.33333333333333331</v>
      </c>
      <c r="S588" s="113">
        <f t="shared" si="139"/>
        <v>0</v>
      </c>
      <c r="T588" s="111">
        <f t="shared" ca="1" si="140"/>
        <v>0.02</v>
      </c>
      <c r="U588" s="111" t="str">
        <f t="shared" si="141"/>
        <v/>
      </c>
      <c r="V588" t="str">
        <f t="array" ref="V588">INDEX(P:P,MAX(U$3:U588))</f>
        <v>IK#1DTR(B)</v>
      </c>
      <c r="W588" t="str">
        <f t="shared" ca="1" si="142"/>
        <v/>
      </c>
      <c r="X588">
        <f t="shared" si="143"/>
        <v>11.4</v>
      </c>
      <c r="Y588">
        <f t="shared" si="144"/>
        <v>1</v>
      </c>
      <c r="Z588" t="str">
        <f t="shared" si="148"/>
        <v>彰化</v>
      </c>
    </row>
    <row r="589" spans="1:26" x14ac:dyDescent="0.25">
      <c r="A589" s="118" t="s">
        <v>704</v>
      </c>
      <c r="B589" s="119" t="s">
        <v>301</v>
      </c>
      <c r="C589" s="119">
        <v>569</v>
      </c>
      <c r="D589" s="118" t="s">
        <v>198</v>
      </c>
      <c r="E589" s="118">
        <v>513</v>
      </c>
      <c r="F589" s="118" t="s">
        <v>229</v>
      </c>
      <c r="G589" s="118">
        <v>524</v>
      </c>
      <c r="H589" s="118" t="s">
        <v>229</v>
      </c>
      <c r="I589" s="378">
        <v>569</v>
      </c>
      <c r="J589" s="117"/>
      <c r="K589" s="117"/>
      <c r="L589" t="str">
        <f t="shared" si="135"/>
        <v>IK#2DTR(A)</v>
      </c>
      <c r="M589" t="str">
        <f t="shared" si="145"/>
        <v>(A)</v>
      </c>
      <c r="N589" t="str">
        <f t="shared" si="146"/>
        <v>IK#2DTR</v>
      </c>
      <c r="O589" t="str">
        <f t="shared" si="147"/>
        <v>(A)</v>
      </c>
      <c r="P589" s="113" t="str">
        <f t="shared" si="136"/>
        <v>IK#2DTR(A)</v>
      </c>
      <c r="Q589" s="114">
        <f t="shared" si="137"/>
        <v>569</v>
      </c>
      <c r="R589" s="114">
        <f t="shared" si="138"/>
        <v>535.33333333333337</v>
      </c>
      <c r="S589" s="113">
        <f t="shared" si="139"/>
        <v>513</v>
      </c>
      <c r="T589" s="111">
        <f t="shared" ca="1" si="140"/>
        <v>11.24</v>
      </c>
      <c r="U589" s="111">
        <f t="shared" si="141"/>
        <v>589</v>
      </c>
      <c r="V589" t="str">
        <f t="array" ref="V589">INDEX(P:P,MAX(U$3:U589))</f>
        <v>IK#2DTR(A)</v>
      </c>
      <c r="W589">
        <f t="shared" ca="1" si="142"/>
        <v>30</v>
      </c>
      <c r="X589" t="str">
        <f t="shared" si="143"/>
        <v/>
      </c>
      <c r="Y589">
        <f t="shared" si="144"/>
        <v>569</v>
      </c>
      <c r="Z589" t="str">
        <f t="shared" si="148"/>
        <v>彰化</v>
      </c>
    </row>
    <row r="590" spans="1:26" x14ac:dyDescent="0.25">
      <c r="A590" s="118" t="s">
        <v>704</v>
      </c>
      <c r="B590" s="119" t="s">
        <v>715</v>
      </c>
      <c r="C590" s="119">
        <v>96</v>
      </c>
      <c r="D590" s="118" t="s">
        <v>229</v>
      </c>
      <c r="E590" s="118">
        <v>86</v>
      </c>
      <c r="F590" s="118" t="s">
        <v>229</v>
      </c>
      <c r="G590" s="118">
        <v>80</v>
      </c>
      <c r="H590" s="118" t="s">
        <v>196</v>
      </c>
      <c r="I590" s="378">
        <v>96</v>
      </c>
      <c r="J590" s="117">
        <v>33</v>
      </c>
      <c r="K590" s="117" t="s">
        <v>203</v>
      </c>
      <c r="L590" t="str">
        <f t="shared" si="135"/>
        <v>IK36</v>
      </c>
      <c r="M590" t="str">
        <f t="shared" si="145"/>
        <v/>
      </c>
      <c r="N590" t="str">
        <f t="shared" si="146"/>
        <v/>
      </c>
      <c r="O590" t="str">
        <f t="shared" si="147"/>
        <v/>
      </c>
      <c r="P590" s="113" t="str">
        <f t="shared" si="136"/>
        <v>IK36</v>
      </c>
      <c r="Q590" s="114">
        <f t="shared" si="137"/>
        <v>96</v>
      </c>
      <c r="R590" s="114">
        <f t="shared" si="138"/>
        <v>87.333333333333329</v>
      </c>
      <c r="S590" s="113">
        <f t="shared" si="139"/>
        <v>80</v>
      </c>
      <c r="T590" s="111">
        <f t="shared" ca="1" si="140"/>
        <v>1.9</v>
      </c>
      <c r="U590" s="111" t="str">
        <f t="shared" si="141"/>
        <v/>
      </c>
      <c r="V590" t="str">
        <f t="array" ref="V590">INDEX(P:P,MAX(U$3:U590))</f>
        <v>IK#2DTR(A)</v>
      </c>
      <c r="W590" t="str">
        <f t="shared" ca="1" si="142"/>
        <v/>
      </c>
      <c r="X590">
        <f t="shared" si="143"/>
        <v>11.4</v>
      </c>
      <c r="Y590">
        <f t="shared" si="144"/>
        <v>96</v>
      </c>
      <c r="Z590" t="str">
        <f t="shared" si="148"/>
        <v>彰化</v>
      </c>
    </row>
    <row r="591" spans="1:26" x14ac:dyDescent="0.25">
      <c r="A591" s="118" t="s">
        <v>704</v>
      </c>
      <c r="B591" s="119" t="s">
        <v>716</v>
      </c>
      <c r="C591" s="119">
        <v>194</v>
      </c>
      <c r="D591" s="118" t="s">
        <v>192</v>
      </c>
      <c r="E591" s="118">
        <v>192</v>
      </c>
      <c r="F591" s="118" t="s">
        <v>192</v>
      </c>
      <c r="G591" s="118">
        <v>162</v>
      </c>
      <c r="H591" s="118" t="s">
        <v>192</v>
      </c>
      <c r="I591" s="378">
        <v>194</v>
      </c>
      <c r="J591" s="117">
        <v>57</v>
      </c>
      <c r="K591" s="117" t="s">
        <v>200</v>
      </c>
      <c r="L591" t="str">
        <f t="shared" si="135"/>
        <v>IK37</v>
      </c>
      <c r="M591" t="str">
        <f t="shared" si="145"/>
        <v/>
      </c>
      <c r="N591" t="str">
        <f t="shared" si="146"/>
        <v/>
      </c>
      <c r="O591" t="str">
        <f t="shared" si="147"/>
        <v/>
      </c>
      <c r="P591" s="113" t="str">
        <f t="shared" si="136"/>
        <v>IK37</v>
      </c>
      <c r="Q591" s="114">
        <f t="shared" si="137"/>
        <v>194</v>
      </c>
      <c r="R591" s="114">
        <f t="shared" si="138"/>
        <v>182.66666666666666</v>
      </c>
      <c r="S591" s="113">
        <f t="shared" si="139"/>
        <v>162</v>
      </c>
      <c r="T591" s="111">
        <f t="shared" ca="1" si="140"/>
        <v>3.83</v>
      </c>
      <c r="U591" s="111" t="str">
        <f t="shared" si="141"/>
        <v/>
      </c>
      <c r="V591" t="str">
        <f t="array" ref="V591">INDEX(P:P,MAX(U$3:U591))</f>
        <v>IK#2DTR(A)</v>
      </c>
      <c r="W591" t="str">
        <f t="shared" ca="1" si="142"/>
        <v/>
      </c>
      <c r="X591">
        <f t="shared" si="143"/>
        <v>11.4</v>
      </c>
      <c r="Y591">
        <f t="shared" si="144"/>
        <v>194</v>
      </c>
      <c r="Z591" t="str">
        <f t="shared" si="148"/>
        <v>彰化</v>
      </c>
    </row>
    <row r="592" spans="1:26" x14ac:dyDescent="0.25">
      <c r="A592" s="118" t="s">
        <v>704</v>
      </c>
      <c r="B592" s="119" t="s">
        <v>717</v>
      </c>
      <c r="C592" s="119">
        <v>186</v>
      </c>
      <c r="D592" s="118" t="s">
        <v>198</v>
      </c>
      <c r="E592" s="118">
        <v>150</v>
      </c>
      <c r="F592" s="118" t="s">
        <v>192</v>
      </c>
      <c r="G592" s="118">
        <v>163</v>
      </c>
      <c r="H592" s="118" t="s">
        <v>198</v>
      </c>
      <c r="I592" s="378">
        <v>186</v>
      </c>
      <c r="J592" s="117">
        <v>62</v>
      </c>
      <c r="K592" s="117" t="s">
        <v>198</v>
      </c>
      <c r="L592" t="str">
        <f t="shared" si="135"/>
        <v>IK38</v>
      </c>
      <c r="M592" t="str">
        <f t="shared" si="145"/>
        <v/>
      </c>
      <c r="N592" t="str">
        <f t="shared" si="146"/>
        <v/>
      </c>
      <c r="O592" t="str">
        <f t="shared" si="147"/>
        <v/>
      </c>
      <c r="P592" s="113" t="str">
        <f t="shared" si="136"/>
        <v>IK38</v>
      </c>
      <c r="Q592" s="114">
        <f t="shared" si="137"/>
        <v>186</v>
      </c>
      <c r="R592" s="114">
        <f t="shared" si="138"/>
        <v>166.33333333333334</v>
      </c>
      <c r="S592" s="113">
        <f t="shared" si="139"/>
        <v>150</v>
      </c>
      <c r="T592" s="111">
        <f t="shared" ca="1" si="140"/>
        <v>3.67</v>
      </c>
      <c r="U592" s="111" t="str">
        <f t="shared" si="141"/>
        <v/>
      </c>
      <c r="V592" t="str">
        <f t="array" ref="V592">INDEX(P:P,MAX(U$3:U592))</f>
        <v>IK#2DTR(A)</v>
      </c>
      <c r="W592" t="str">
        <f t="shared" ca="1" si="142"/>
        <v/>
      </c>
      <c r="X592">
        <f t="shared" si="143"/>
        <v>11.4</v>
      </c>
      <c r="Y592">
        <f t="shared" si="144"/>
        <v>186</v>
      </c>
      <c r="Z592" t="str">
        <f t="shared" si="148"/>
        <v>彰化</v>
      </c>
    </row>
    <row r="593" spans="1:26" x14ac:dyDescent="0.25">
      <c r="A593" s="118" t="s">
        <v>704</v>
      </c>
      <c r="B593" s="119" t="s">
        <v>718</v>
      </c>
      <c r="C593" s="119">
        <v>129</v>
      </c>
      <c r="D593" s="118" t="s">
        <v>198</v>
      </c>
      <c r="E593" s="118">
        <v>104</v>
      </c>
      <c r="F593" s="118" t="s">
        <v>198</v>
      </c>
      <c r="G593" s="118">
        <v>120</v>
      </c>
      <c r="H593" s="118" t="s">
        <v>198</v>
      </c>
      <c r="I593" s="378">
        <v>129</v>
      </c>
      <c r="J593" s="117">
        <v>54</v>
      </c>
      <c r="K593" s="117" t="s">
        <v>203</v>
      </c>
      <c r="L593" t="str">
        <f t="shared" si="135"/>
        <v>IK39</v>
      </c>
      <c r="M593" t="str">
        <f t="shared" si="145"/>
        <v/>
      </c>
      <c r="N593" t="str">
        <f t="shared" si="146"/>
        <v/>
      </c>
      <c r="O593" t="str">
        <f t="shared" si="147"/>
        <v/>
      </c>
      <c r="P593" s="113" t="str">
        <f t="shared" si="136"/>
        <v>IK39</v>
      </c>
      <c r="Q593" s="114">
        <f t="shared" si="137"/>
        <v>129</v>
      </c>
      <c r="R593" s="114">
        <f t="shared" si="138"/>
        <v>117.66666666666667</v>
      </c>
      <c r="S593" s="113">
        <f t="shared" si="139"/>
        <v>104</v>
      </c>
      <c r="T593" s="111">
        <f t="shared" ca="1" si="140"/>
        <v>2.5499999999999998</v>
      </c>
      <c r="U593" s="111" t="str">
        <f t="shared" si="141"/>
        <v/>
      </c>
      <c r="V593" t="str">
        <f t="array" ref="V593">INDEX(P:P,MAX(U$3:U593))</f>
        <v>IK#2DTR(A)</v>
      </c>
      <c r="W593" t="str">
        <f t="shared" ca="1" si="142"/>
        <v/>
      </c>
      <c r="X593">
        <f t="shared" si="143"/>
        <v>11.4</v>
      </c>
      <c r="Y593">
        <f t="shared" si="144"/>
        <v>129</v>
      </c>
      <c r="Z593" t="str">
        <f t="shared" si="148"/>
        <v>彰化</v>
      </c>
    </row>
    <row r="594" spans="1:26" x14ac:dyDescent="0.25">
      <c r="A594" s="118" t="s">
        <v>704</v>
      </c>
      <c r="B594" s="119" t="s">
        <v>283</v>
      </c>
      <c r="C594" s="119">
        <v>645</v>
      </c>
      <c r="D594" s="118" t="s">
        <v>177</v>
      </c>
      <c r="E594" s="118">
        <v>654</v>
      </c>
      <c r="F594" s="118" t="s">
        <v>177</v>
      </c>
      <c r="G594" s="118">
        <v>630</v>
      </c>
      <c r="H594" s="118" t="s">
        <v>177</v>
      </c>
      <c r="I594" s="378">
        <v>654</v>
      </c>
      <c r="J594" s="117"/>
      <c r="K594" s="117"/>
      <c r="L594" t="str">
        <f t="shared" si="135"/>
        <v>IK#2DTR(B)</v>
      </c>
      <c r="M594" t="str">
        <f t="shared" si="145"/>
        <v>(B)</v>
      </c>
      <c r="N594" t="str">
        <f t="shared" si="146"/>
        <v>IK#2DTR</v>
      </c>
      <c r="O594" t="str">
        <f t="shared" si="147"/>
        <v>(B)</v>
      </c>
      <c r="P594" s="113" t="str">
        <f t="shared" si="136"/>
        <v>IK#2DTR(B)</v>
      </c>
      <c r="Q594" s="114">
        <f t="shared" si="137"/>
        <v>654</v>
      </c>
      <c r="R594" s="114">
        <f t="shared" si="138"/>
        <v>643</v>
      </c>
      <c r="S594" s="113">
        <f t="shared" si="139"/>
        <v>630</v>
      </c>
      <c r="T594" s="111">
        <f t="shared" ca="1" si="140"/>
        <v>12.91</v>
      </c>
      <c r="U594" s="111">
        <f t="shared" si="141"/>
        <v>594</v>
      </c>
      <c r="V594" t="str">
        <f t="array" ref="V594">INDEX(P:P,MAX(U$3:U594))</f>
        <v>IK#2DTR(B)</v>
      </c>
      <c r="W594">
        <f t="shared" ca="1" si="142"/>
        <v>30</v>
      </c>
      <c r="X594" t="str">
        <f t="shared" si="143"/>
        <v/>
      </c>
      <c r="Y594">
        <f t="shared" si="144"/>
        <v>654</v>
      </c>
      <c r="Z594" t="str">
        <f t="shared" si="148"/>
        <v>彰化</v>
      </c>
    </row>
    <row r="595" spans="1:26" x14ac:dyDescent="0.25">
      <c r="A595" s="118" t="s">
        <v>704</v>
      </c>
      <c r="B595" s="119" t="s">
        <v>719</v>
      </c>
      <c r="C595" s="119">
        <v>0</v>
      </c>
      <c r="D595" s="118" t="s">
        <v>194</v>
      </c>
      <c r="E595" s="118">
        <v>0</v>
      </c>
      <c r="F595" s="118" t="s">
        <v>194</v>
      </c>
      <c r="G595" s="118">
        <v>0</v>
      </c>
      <c r="H595" s="118" t="s">
        <v>194</v>
      </c>
      <c r="I595" s="378">
        <v>0</v>
      </c>
      <c r="J595" s="117">
        <v>0</v>
      </c>
      <c r="K595" s="117" t="s">
        <v>194</v>
      </c>
      <c r="L595" t="str">
        <f t="shared" si="135"/>
        <v>IK45</v>
      </c>
      <c r="M595" t="str">
        <f t="shared" si="145"/>
        <v/>
      </c>
      <c r="N595" t="str">
        <f t="shared" si="146"/>
        <v/>
      </c>
      <c r="O595" t="str">
        <f t="shared" si="147"/>
        <v/>
      </c>
      <c r="P595" s="113" t="str">
        <f t="shared" si="136"/>
        <v>IK45</v>
      </c>
      <c r="Q595" s="114">
        <f t="shared" si="137"/>
        <v>0</v>
      </c>
      <c r="R595" s="114">
        <f t="shared" si="138"/>
        <v>0</v>
      </c>
      <c r="S595" s="113">
        <f t="shared" si="139"/>
        <v>0</v>
      </c>
      <c r="T595" s="111">
        <f t="shared" ca="1" si="140"/>
        <v>0</v>
      </c>
      <c r="U595" s="111" t="str">
        <f t="shared" si="141"/>
        <v/>
      </c>
      <c r="V595" t="str">
        <f t="array" ref="V595">INDEX(P:P,MAX(U$3:U595))</f>
        <v>IK#2DTR(B)</v>
      </c>
      <c r="W595" t="str">
        <f t="shared" ca="1" si="142"/>
        <v/>
      </c>
      <c r="X595">
        <f t="shared" si="143"/>
        <v>11.4</v>
      </c>
      <c r="Y595">
        <f t="shared" si="144"/>
        <v>0</v>
      </c>
      <c r="Z595" t="str">
        <f t="shared" si="148"/>
        <v>彰化</v>
      </c>
    </row>
    <row r="596" spans="1:26" x14ac:dyDescent="0.25">
      <c r="A596" s="118" t="s">
        <v>704</v>
      </c>
      <c r="B596" s="119" t="s">
        <v>720</v>
      </c>
      <c r="C596" s="119">
        <v>0</v>
      </c>
      <c r="D596" s="118" t="s">
        <v>194</v>
      </c>
      <c r="E596" s="118">
        <v>0</v>
      </c>
      <c r="F596" s="118" t="s">
        <v>194</v>
      </c>
      <c r="G596" s="118">
        <v>0</v>
      </c>
      <c r="H596" s="118" t="s">
        <v>194</v>
      </c>
      <c r="I596" s="378">
        <v>0</v>
      </c>
      <c r="J596" s="117">
        <v>0</v>
      </c>
      <c r="K596" s="117" t="s">
        <v>194</v>
      </c>
      <c r="L596" t="str">
        <f t="shared" si="135"/>
        <v>IK44</v>
      </c>
      <c r="M596" t="str">
        <f t="shared" si="145"/>
        <v/>
      </c>
      <c r="N596" t="str">
        <f t="shared" si="146"/>
        <v/>
      </c>
      <c r="O596" t="str">
        <f t="shared" si="147"/>
        <v/>
      </c>
      <c r="P596" s="113" t="str">
        <f t="shared" si="136"/>
        <v>IK44</v>
      </c>
      <c r="Q596" s="114">
        <f t="shared" si="137"/>
        <v>0</v>
      </c>
      <c r="R596" s="114">
        <f t="shared" si="138"/>
        <v>0</v>
      </c>
      <c r="S596" s="113">
        <f t="shared" si="139"/>
        <v>0</v>
      </c>
      <c r="T596" s="111">
        <f t="shared" ca="1" si="140"/>
        <v>0</v>
      </c>
      <c r="U596" s="111" t="str">
        <f t="shared" si="141"/>
        <v/>
      </c>
      <c r="V596" t="str">
        <f t="array" ref="V596">INDEX(P:P,MAX(U$3:U596))</f>
        <v>IK#2DTR(B)</v>
      </c>
      <c r="W596" t="str">
        <f t="shared" ca="1" si="142"/>
        <v/>
      </c>
      <c r="X596">
        <f t="shared" si="143"/>
        <v>11.4</v>
      </c>
      <c r="Y596">
        <f t="shared" si="144"/>
        <v>0</v>
      </c>
      <c r="Z596" t="str">
        <f t="shared" si="148"/>
        <v>彰化</v>
      </c>
    </row>
    <row r="597" spans="1:26" x14ac:dyDescent="0.25">
      <c r="A597" s="118" t="s">
        <v>704</v>
      </c>
      <c r="B597" s="119" t="s">
        <v>721</v>
      </c>
      <c r="C597" s="119">
        <v>153</v>
      </c>
      <c r="D597" s="118" t="s">
        <v>203</v>
      </c>
      <c r="E597" s="118">
        <v>151</v>
      </c>
      <c r="F597" s="118" t="s">
        <v>229</v>
      </c>
      <c r="G597" s="118">
        <v>185</v>
      </c>
      <c r="H597" s="118" t="s">
        <v>203</v>
      </c>
      <c r="I597" s="378">
        <v>185</v>
      </c>
      <c r="J597" s="117">
        <v>72</v>
      </c>
      <c r="K597" s="117" t="s">
        <v>203</v>
      </c>
      <c r="L597" t="str">
        <f t="shared" si="135"/>
        <v>IK43</v>
      </c>
      <c r="M597" t="str">
        <f t="shared" si="145"/>
        <v/>
      </c>
      <c r="N597" t="str">
        <f t="shared" si="146"/>
        <v/>
      </c>
      <c r="O597" t="str">
        <f t="shared" si="147"/>
        <v/>
      </c>
      <c r="P597" s="113" t="str">
        <f t="shared" si="136"/>
        <v>IK43</v>
      </c>
      <c r="Q597" s="114">
        <f t="shared" si="137"/>
        <v>185</v>
      </c>
      <c r="R597" s="114">
        <f t="shared" si="138"/>
        <v>163</v>
      </c>
      <c r="S597" s="113">
        <f t="shared" si="139"/>
        <v>151</v>
      </c>
      <c r="T597" s="111">
        <f t="shared" ca="1" si="140"/>
        <v>3.65</v>
      </c>
      <c r="U597" s="111" t="str">
        <f t="shared" si="141"/>
        <v/>
      </c>
      <c r="V597" t="str">
        <f t="array" ref="V597">INDEX(P:P,MAX(U$3:U597))</f>
        <v>IK#2DTR(B)</v>
      </c>
      <c r="W597" t="str">
        <f t="shared" ca="1" si="142"/>
        <v/>
      </c>
      <c r="X597">
        <f t="shared" si="143"/>
        <v>11.4</v>
      </c>
      <c r="Y597">
        <f t="shared" si="144"/>
        <v>185</v>
      </c>
      <c r="Z597" t="str">
        <f t="shared" si="148"/>
        <v>彰化</v>
      </c>
    </row>
    <row r="598" spans="1:26" x14ac:dyDescent="0.25">
      <c r="A598" s="118" t="s">
        <v>704</v>
      </c>
      <c r="B598" s="119" t="s">
        <v>722</v>
      </c>
      <c r="C598" s="119">
        <v>195</v>
      </c>
      <c r="D598" s="118" t="s">
        <v>177</v>
      </c>
      <c r="E598" s="118">
        <v>204</v>
      </c>
      <c r="F598" s="118" t="s">
        <v>176</v>
      </c>
      <c r="G598" s="118">
        <v>203</v>
      </c>
      <c r="H598" s="118" t="s">
        <v>176</v>
      </c>
      <c r="I598" s="378">
        <v>204</v>
      </c>
      <c r="J598" s="117">
        <v>41</v>
      </c>
      <c r="K598" s="117" t="s">
        <v>183</v>
      </c>
      <c r="L598" t="str">
        <f t="shared" si="135"/>
        <v>IK42</v>
      </c>
      <c r="M598" t="str">
        <f t="shared" si="145"/>
        <v/>
      </c>
      <c r="N598" t="str">
        <f t="shared" si="146"/>
        <v/>
      </c>
      <c r="O598" t="str">
        <f t="shared" si="147"/>
        <v/>
      </c>
      <c r="P598" s="113" t="str">
        <f t="shared" si="136"/>
        <v>IK42</v>
      </c>
      <c r="Q598" s="114">
        <f t="shared" si="137"/>
        <v>204</v>
      </c>
      <c r="R598" s="114">
        <f t="shared" si="138"/>
        <v>200.66666666666666</v>
      </c>
      <c r="S598" s="113">
        <f t="shared" si="139"/>
        <v>195</v>
      </c>
      <c r="T598" s="111">
        <f t="shared" ca="1" si="140"/>
        <v>4.03</v>
      </c>
      <c r="U598" s="111" t="str">
        <f t="shared" si="141"/>
        <v/>
      </c>
      <c r="V598" t="str">
        <f t="array" ref="V598">INDEX(P:P,MAX(U$3:U598))</f>
        <v>IK#2DTR(B)</v>
      </c>
      <c r="W598" t="str">
        <f t="shared" ca="1" si="142"/>
        <v/>
      </c>
      <c r="X598">
        <f t="shared" si="143"/>
        <v>11.4</v>
      </c>
      <c r="Y598">
        <f t="shared" si="144"/>
        <v>204</v>
      </c>
      <c r="Z598" t="str">
        <f t="shared" si="148"/>
        <v>彰化</v>
      </c>
    </row>
    <row r="599" spans="1:26" x14ac:dyDescent="0.25">
      <c r="A599" s="118" t="s">
        <v>704</v>
      </c>
      <c r="B599" s="119" t="s">
        <v>723</v>
      </c>
      <c r="C599" s="119">
        <v>201</v>
      </c>
      <c r="D599" s="118" t="s">
        <v>192</v>
      </c>
      <c r="E599" s="118">
        <v>234</v>
      </c>
      <c r="F599" s="118" t="s">
        <v>192</v>
      </c>
      <c r="G599" s="118">
        <v>215</v>
      </c>
      <c r="H599" s="118" t="s">
        <v>192</v>
      </c>
      <c r="I599" s="378">
        <v>234</v>
      </c>
      <c r="J599" s="117">
        <v>57</v>
      </c>
      <c r="K599" s="117" t="s">
        <v>229</v>
      </c>
      <c r="L599" t="str">
        <f t="shared" si="135"/>
        <v>IK41</v>
      </c>
      <c r="M599" t="str">
        <f t="shared" si="145"/>
        <v/>
      </c>
      <c r="N599" t="str">
        <f t="shared" si="146"/>
        <v/>
      </c>
      <c r="O599" t="str">
        <f t="shared" si="147"/>
        <v/>
      </c>
      <c r="P599" s="113" t="str">
        <f t="shared" si="136"/>
        <v>IK41</v>
      </c>
      <c r="Q599" s="114">
        <f t="shared" si="137"/>
        <v>234</v>
      </c>
      <c r="R599" s="114">
        <f t="shared" si="138"/>
        <v>216.66666666666666</v>
      </c>
      <c r="S599" s="113">
        <f t="shared" si="139"/>
        <v>201</v>
      </c>
      <c r="T599" s="111">
        <f t="shared" ca="1" si="140"/>
        <v>4.62</v>
      </c>
      <c r="U599" s="111" t="str">
        <f t="shared" si="141"/>
        <v/>
      </c>
      <c r="V599" t="str">
        <f t="array" ref="V599">INDEX(P:P,MAX(U$3:U599))</f>
        <v>IK#2DTR(B)</v>
      </c>
      <c r="W599" t="str">
        <f t="shared" ca="1" si="142"/>
        <v/>
      </c>
      <c r="X599">
        <f t="shared" si="143"/>
        <v>11.4</v>
      </c>
      <c r="Y599">
        <f t="shared" si="144"/>
        <v>234</v>
      </c>
      <c r="Z599" t="str">
        <f t="shared" si="148"/>
        <v>彰化</v>
      </c>
    </row>
    <row r="600" spans="1:26" x14ac:dyDescent="0.25">
      <c r="A600" s="118" t="s">
        <v>704</v>
      </c>
      <c r="B600" s="119" t="s">
        <v>724</v>
      </c>
      <c r="C600" s="119">
        <v>163</v>
      </c>
      <c r="D600" s="118" t="s">
        <v>177</v>
      </c>
      <c r="E600" s="118">
        <v>146</v>
      </c>
      <c r="F600" s="118" t="s">
        <v>177</v>
      </c>
      <c r="G600" s="118">
        <v>118</v>
      </c>
      <c r="H600" s="118" t="s">
        <v>196</v>
      </c>
      <c r="I600" s="378">
        <v>163</v>
      </c>
      <c r="J600" s="117">
        <v>68</v>
      </c>
      <c r="K600" s="117" t="s">
        <v>177</v>
      </c>
      <c r="L600" t="str">
        <f t="shared" si="135"/>
        <v>IK40</v>
      </c>
      <c r="M600" t="str">
        <f t="shared" si="145"/>
        <v/>
      </c>
      <c r="N600" t="str">
        <f t="shared" si="146"/>
        <v/>
      </c>
      <c r="O600" t="str">
        <f t="shared" si="147"/>
        <v/>
      </c>
      <c r="P600" s="113" t="str">
        <f t="shared" si="136"/>
        <v>IK40</v>
      </c>
      <c r="Q600" s="114">
        <f t="shared" si="137"/>
        <v>163</v>
      </c>
      <c r="R600" s="114">
        <f t="shared" si="138"/>
        <v>142.33333333333334</v>
      </c>
      <c r="S600" s="113">
        <f t="shared" si="139"/>
        <v>118</v>
      </c>
      <c r="T600" s="111">
        <f t="shared" ca="1" si="140"/>
        <v>3.22</v>
      </c>
      <c r="U600" s="111" t="str">
        <f t="shared" si="141"/>
        <v/>
      </c>
      <c r="V600" t="str">
        <f t="array" ref="V600">INDEX(P:P,MAX(U$3:U600))</f>
        <v>IK#2DTR(B)</v>
      </c>
      <c r="W600" t="str">
        <f t="shared" ca="1" si="142"/>
        <v/>
      </c>
      <c r="X600">
        <f t="shared" si="143"/>
        <v>11.4</v>
      </c>
      <c r="Y600">
        <f t="shared" si="144"/>
        <v>163</v>
      </c>
      <c r="Z600" t="str">
        <f t="shared" si="148"/>
        <v>彰化</v>
      </c>
    </row>
    <row r="601" spans="1:26" x14ac:dyDescent="0.25">
      <c r="A601" s="118" t="s">
        <v>725</v>
      </c>
      <c r="B601" s="119" t="s">
        <v>175</v>
      </c>
      <c r="C601" s="119"/>
      <c r="D601" s="118"/>
      <c r="E601" s="118"/>
      <c r="F601" s="118"/>
      <c r="G601" s="118"/>
      <c r="H601" s="118"/>
      <c r="I601" s="378"/>
      <c r="J601" s="117"/>
      <c r="K601" s="117"/>
      <c r="L601" t="str">
        <f t="shared" si="135"/>
        <v>IK#1MTR</v>
      </c>
      <c r="M601" t="str">
        <f t="shared" si="145"/>
        <v/>
      </c>
      <c r="N601" t="str">
        <f t="shared" si="146"/>
        <v>IK#1MTR</v>
      </c>
      <c r="O601" t="str">
        <f t="shared" si="147"/>
        <v/>
      </c>
      <c r="P601" s="113" t="str">
        <f t="shared" si="136"/>
        <v>IK#1MTR</v>
      </c>
      <c r="Q601" s="114">
        <f t="shared" si="137"/>
        <v>0</v>
      </c>
      <c r="R601" s="114">
        <f t="shared" si="138"/>
        <v>0</v>
      </c>
      <c r="S601" s="113">
        <f t="shared" si="139"/>
        <v>0</v>
      </c>
      <c r="T601" s="111" t="e">
        <f t="shared" ca="1" si="140"/>
        <v>#VALUE!</v>
      </c>
      <c r="U601" s="111">
        <f t="shared" si="141"/>
        <v>601</v>
      </c>
      <c r="V601" t="str">
        <f t="array" ref="V601">INDEX(P:P,MAX(U$3:U601))</f>
        <v>IK#1MTR</v>
      </c>
      <c r="W601">
        <f t="shared" ca="1" si="142"/>
        <v>25</v>
      </c>
      <c r="X601" t="str">
        <f t="shared" si="143"/>
        <v/>
      </c>
      <c r="Y601">
        <f t="shared" si="144"/>
        <v>0</v>
      </c>
      <c r="Z601" t="str">
        <f t="shared" si="148"/>
        <v>彰化</v>
      </c>
    </row>
    <row r="602" spans="1:26" x14ac:dyDescent="0.25">
      <c r="A602" s="118" t="s">
        <v>725</v>
      </c>
      <c r="B602" s="119" t="s">
        <v>187</v>
      </c>
      <c r="C602" s="119"/>
      <c r="D602" s="118"/>
      <c r="E602" s="118"/>
      <c r="F602" s="118"/>
      <c r="G602" s="118"/>
      <c r="H602" s="118"/>
      <c r="I602" s="378"/>
      <c r="J602" s="117"/>
      <c r="K602" s="117"/>
      <c r="L602" t="str">
        <f t="shared" si="135"/>
        <v>IK#2MTR</v>
      </c>
      <c r="M602" t="str">
        <f t="shared" si="145"/>
        <v/>
      </c>
      <c r="N602" t="str">
        <f t="shared" si="146"/>
        <v>IK#2MTR</v>
      </c>
      <c r="O602" t="str">
        <f t="shared" si="147"/>
        <v/>
      </c>
      <c r="P602" s="113" t="str">
        <f t="shared" si="136"/>
        <v>IK#2MTR</v>
      </c>
      <c r="Q602" s="114">
        <f t="shared" si="137"/>
        <v>0</v>
      </c>
      <c r="R602" s="114">
        <f t="shared" si="138"/>
        <v>0</v>
      </c>
      <c r="S602" s="113">
        <f t="shared" si="139"/>
        <v>0</v>
      </c>
      <c r="T602" s="111" t="e">
        <f t="shared" ca="1" si="140"/>
        <v>#VALUE!</v>
      </c>
      <c r="U602" s="111">
        <f t="shared" si="141"/>
        <v>602</v>
      </c>
      <c r="V602" t="str">
        <f t="array" ref="V602">INDEX(P:P,MAX(U$3:U602))</f>
        <v>IK#2MTR</v>
      </c>
      <c r="W602">
        <f t="shared" ca="1" si="142"/>
        <v>25</v>
      </c>
      <c r="X602" t="str">
        <f t="shared" si="143"/>
        <v/>
      </c>
      <c r="Y602">
        <f t="shared" si="144"/>
        <v>0</v>
      </c>
      <c r="Z602" t="str">
        <f t="shared" si="148"/>
        <v>彰化</v>
      </c>
    </row>
    <row r="603" spans="1:26" x14ac:dyDescent="0.25">
      <c r="A603" s="118" t="s">
        <v>725</v>
      </c>
      <c r="B603" s="119" t="s">
        <v>197</v>
      </c>
      <c r="C603" s="119"/>
      <c r="D603" s="118"/>
      <c r="E603" s="118"/>
      <c r="F603" s="118"/>
      <c r="G603" s="118"/>
      <c r="H603" s="118"/>
      <c r="I603" s="378"/>
      <c r="J603" s="117"/>
      <c r="K603" s="117"/>
      <c r="L603" t="str">
        <f t="shared" si="135"/>
        <v>IK#3MTR</v>
      </c>
      <c r="M603" t="str">
        <f t="shared" si="145"/>
        <v/>
      </c>
      <c r="N603" t="str">
        <f t="shared" si="146"/>
        <v>IK#3MTR</v>
      </c>
      <c r="O603" t="str">
        <f t="shared" si="147"/>
        <v/>
      </c>
      <c r="P603" s="113" t="str">
        <f t="shared" si="136"/>
        <v>IK#3MTR</v>
      </c>
      <c r="Q603" s="114">
        <f t="shared" si="137"/>
        <v>0</v>
      </c>
      <c r="R603" s="114">
        <f t="shared" si="138"/>
        <v>0</v>
      </c>
      <c r="S603" s="113">
        <f t="shared" si="139"/>
        <v>0</v>
      </c>
      <c r="T603" s="111" t="e">
        <f t="shared" ca="1" si="140"/>
        <v>#VALUE!</v>
      </c>
      <c r="U603" s="111">
        <f t="shared" si="141"/>
        <v>603</v>
      </c>
      <c r="V603" t="str">
        <f t="array" ref="V603">INDEX(P:P,MAX(U$3:U603))</f>
        <v>IK#3MTR</v>
      </c>
      <c r="W603">
        <f t="shared" ca="1" si="142"/>
        <v>25</v>
      </c>
      <c r="X603" t="str">
        <f t="shared" si="143"/>
        <v/>
      </c>
      <c r="Y603">
        <f t="shared" si="144"/>
        <v>0</v>
      </c>
      <c r="Z603" t="str">
        <f t="shared" si="148"/>
        <v>彰化</v>
      </c>
    </row>
    <row r="604" spans="1:26" x14ac:dyDescent="0.25">
      <c r="A604" s="118" t="s">
        <v>725</v>
      </c>
      <c r="B604" s="119" t="s">
        <v>427</v>
      </c>
      <c r="C604" s="119"/>
      <c r="D604" s="118"/>
      <c r="E604" s="118"/>
      <c r="F604" s="118"/>
      <c r="G604" s="118"/>
      <c r="H604" s="118"/>
      <c r="I604" s="378"/>
      <c r="J604" s="117"/>
      <c r="K604" s="117"/>
      <c r="L604" t="str">
        <f t="shared" si="135"/>
        <v>IK#4MTR</v>
      </c>
      <c r="M604" t="str">
        <f t="shared" si="145"/>
        <v/>
      </c>
      <c r="N604" t="str">
        <f t="shared" si="146"/>
        <v>IK#4MTR</v>
      </c>
      <c r="O604" t="str">
        <f t="shared" si="147"/>
        <v/>
      </c>
      <c r="P604" s="113" t="str">
        <f t="shared" si="136"/>
        <v>IK#4MTR</v>
      </c>
      <c r="Q604" s="114">
        <f t="shared" si="137"/>
        <v>0</v>
      </c>
      <c r="R604" s="114">
        <f t="shared" si="138"/>
        <v>0</v>
      </c>
      <c r="S604" s="113">
        <f t="shared" si="139"/>
        <v>0</v>
      </c>
      <c r="T604" s="111" t="e">
        <f t="shared" ca="1" si="140"/>
        <v>#VALUE!</v>
      </c>
      <c r="U604" s="111">
        <f t="shared" si="141"/>
        <v>604</v>
      </c>
      <c r="V604" t="str">
        <f t="array" ref="V604">INDEX(P:P,MAX(U$3:U604))</f>
        <v>IK#4MTR</v>
      </c>
      <c r="W604">
        <f t="shared" ca="1" si="142"/>
        <v>25</v>
      </c>
      <c r="X604" t="str">
        <f t="shared" si="143"/>
        <v/>
      </c>
      <c r="Y604">
        <f t="shared" si="144"/>
        <v>0</v>
      </c>
      <c r="Z604" t="str">
        <f t="shared" si="148"/>
        <v>彰化</v>
      </c>
    </row>
    <row r="605" spans="1:26" x14ac:dyDescent="0.25">
      <c r="A605" s="118" t="s">
        <v>726</v>
      </c>
      <c r="B605" s="119" t="s">
        <v>254</v>
      </c>
      <c r="C605" s="119">
        <v>739</v>
      </c>
      <c r="D605" s="118" t="s">
        <v>177</v>
      </c>
      <c r="E605" s="118">
        <v>702</v>
      </c>
      <c r="F605" s="118" t="s">
        <v>177</v>
      </c>
      <c r="G605" s="118">
        <v>640</v>
      </c>
      <c r="H605" s="118" t="s">
        <v>177</v>
      </c>
      <c r="I605" s="378">
        <v>739</v>
      </c>
      <c r="J605" s="117"/>
      <c r="K605" s="117"/>
      <c r="L605" t="str">
        <f t="shared" si="135"/>
        <v>9N#1DTR(A)</v>
      </c>
      <c r="M605" t="str">
        <f t="shared" si="145"/>
        <v>(A)</v>
      </c>
      <c r="N605" t="str">
        <f t="shared" si="146"/>
        <v>9N#1DTR</v>
      </c>
      <c r="O605" t="str">
        <f t="shared" si="147"/>
        <v>(A)</v>
      </c>
      <c r="P605" s="113" t="str">
        <f t="shared" si="136"/>
        <v>9N#1DTR(A)</v>
      </c>
      <c r="Q605" s="114">
        <f t="shared" si="137"/>
        <v>739</v>
      </c>
      <c r="R605" s="114">
        <f t="shared" si="138"/>
        <v>693.66666666666663</v>
      </c>
      <c r="S605" s="113">
        <f t="shared" si="139"/>
        <v>640</v>
      </c>
      <c r="T605" s="111">
        <f t="shared" ca="1" si="140"/>
        <v>14.59</v>
      </c>
      <c r="U605" s="111">
        <f t="shared" si="141"/>
        <v>605</v>
      </c>
      <c r="V605" t="str">
        <f t="array" ref="V605">INDEX(P:P,MAX(U$3:U605))</f>
        <v>9N#1DTR(A)</v>
      </c>
      <c r="W605">
        <f t="shared" ca="1" si="142"/>
        <v>30</v>
      </c>
      <c r="X605" t="str">
        <f t="shared" si="143"/>
        <v/>
      </c>
      <c r="Y605">
        <f t="shared" si="144"/>
        <v>739</v>
      </c>
      <c r="Z605" t="str">
        <f t="shared" si="148"/>
        <v>彰竹</v>
      </c>
    </row>
    <row r="606" spans="1:26" x14ac:dyDescent="0.25">
      <c r="A606" s="118" t="s">
        <v>726</v>
      </c>
      <c r="B606" s="119" t="s">
        <v>727</v>
      </c>
      <c r="C606" s="119">
        <v>119</v>
      </c>
      <c r="D606" s="118" t="s">
        <v>192</v>
      </c>
      <c r="E606" s="118">
        <v>116</v>
      </c>
      <c r="F606" s="118" t="s">
        <v>198</v>
      </c>
      <c r="G606" s="118">
        <v>79</v>
      </c>
      <c r="H606" s="118" t="s">
        <v>188</v>
      </c>
      <c r="I606" s="378">
        <v>119</v>
      </c>
      <c r="J606" s="117">
        <v>67</v>
      </c>
      <c r="K606" s="117" t="s">
        <v>198</v>
      </c>
      <c r="L606" t="str">
        <f t="shared" si="135"/>
        <v>9N20</v>
      </c>
      <c r="M606" t="str">
        <f t="shared" si="145"/>
        <v/>
      </c>
      <c r="N606" t="str">
        <f t="shared" si="146"/>
        <v/>
      </c>
      <c r="O606" t="str">
        <f t="shared" si="147"/>
        <v/>
      </c>
      <c r="P606" s="113" t="str">
        <f t="shared" si="136"/>
        <v>9N20</v>
      </c>
      <c r="Q606" s="114">
        <f t="shared" si="137"/>
        <v>119</v>
      </c>
      <c r="R606" s="114">
        <f t="shared" si="138"/>
        <v>104.66666666666667</v>
      </c>
      <c r="S606" s="113">
        <f t="shared" si="139"/>
        <v>79</v>
      </c>
      <c r="T606" s="111">
        <f t="shared" ca="1" si="140"/>
        <v>2.35</v>
      </c>
      <c r="U606" s="111" t="str">
        <f t="shared" si="141"/>
        <v/>
      </c>
      <c r="V606" t="str">
        <f t="array" ref="V606">INDEX(P:P,MAX(U$3:U606))</f>
        <v>9N#1DTR(A)</v>
      </c>
      <c r="W606" t="str">
        <f t="shared" ca="1" si="142"/>
        <v/>
      </c>
      <c r="X606">
        <f t="shared" si="143"/>
        <v>11.4</v>
      </c>
      <c r="Y606">
        <f t="shared" si="144"/>
        <v>119</v>
      </c>
      <c r="Z606" t="str">
        <f t="shared" si="148"/>
        <v>彰竹</v>
      </c>
    </row>
    <row r="607" spans="1:26" x14ac:dyDescent="0.25">
      <c r="A607" s="118" t="s">
        <v>726</v>
      </c>
      <c r="B607" s="119" t="s">
        <v>728</v>
      </c>
      <c r="C607" s="119">
        <v>226</v>
      </c>
      <c r="D607" s="118" t="s">
        <v>177</v>
      </c>
      <c r="E607" s="118">
        <v>213</v>
      </c>
      <c r="F607" s="118" t="s">
        <v>177</v>
      </c>
      <c r="G607" s="118">
        <v>171</v>
      </c>
      <c r="H607" s="118" t="s">
        <v>177</v>
      </c>
      <c r="I607" s="378">
        <v>226</v>
      </c>
      <c r="J607" s="117">
        <v>78</v>
      </c>
      <c r="K607" s="117" t="s">
        <v>188</v>
      </c>
      <c r="L607" t="str">
        <f t="shared" si="135"/>
        <v>9N21</v>
      </c>
      <c r="M607" t="str">
        <f t="shared" si="145"/>
        <v/>
      </c>
      <c r="N607" t="str">
        <f t="shared" si="146"/>
        <v/>
      </c>
      <c r="O607" t="str">
        <f t="shared" si="147"/>
        <v/>
      </c>
      <c r="P607" s="113" t="str">
        <f t="shared" si="136"/>
        <v>9N21</v>
      </c>
      <c r="Q607" s="114">
        <f t="shared" si="137"/>
        <v>226</v>
      </c>
      <c r="R607" s="114">
        <f t="shared" si="138"/>
        <v>203.33333333333334</v>
      </c>
      <c r="S607" s="113">
        <f t="shared" si="139"/>
        <v>171</v>
      </c>
      <c r="T607" s="111">
        <f t="shared" ca="1" si="140"/>
        <v>4.46</v>
      </c>
      <c r="U607" s="111" t="str">
        <f t="shared" si="141"/>
        <v/>
      </c>
      <c r="V607" t="str">
        <f t="array" ref="V607">INDEX(P:P,MAX(U$3:U607))</f>
        <v>9N#1DTR(A)</v>
      </c>
      <c r="W607" t="str">
        <f t="shared" ca="1" si="142"/>
        <v/>
      </c>
      <c r="X607">
        <f t="shared" si="143"/>
        <v>11.4</v>
      </c>
      <c r="Y607">
        <f t="shared" si="144"/>
        <v>226</v>
      </c>
      <c r="Z607" t="str">
        <f t="shared" si="148"/>
        <v>彰竹</v>
      </c>
    </row>
    <row r="608" spans="1:26" x14ac:dyDescent="0.25">
      <c r="A608" s="118" t="s">
        <v>726</v>
      </c>
      <c r="B608" s="119" t="s">
        <v>729</v>
      </c>
      <c r="C608" s="119">
        <v>155</v>
      </c>
      <c r="D608" s="118" t="s">
        <v>179</v>
      </c>
      <c r="E608" s="118">
        <v>156</v>
      </c>
      <c r="F608" s="118" t="s">
        <v>179</v>
      </c>
      <c r="G608" s="118">
        <v>147</v>
      </c>
      <c r="H608" s="118" t="s">
        <v>179</v>
      </c>
      <c r="I608" s="378">
        <v>156</v>
      </c>
      <c r="J608" s="117">
        <v>25</v>
      </c>
      <c r="K608" s="117" t="s">
        <v>198</v>
      </c>
      <c r="L608" t="str">
        <f t="shared" si="135"/>
        <v>9N22</v>
      </c>
      <c r="M608" t="str">
        <f t="shared" si="145"/>
        <v/>
      </c>
      <c r="N608" t="str">
        <f t="shared" si="146"/>
        <v/>
      </c>
      <c r="O608" t="str">
        <f t="shared" si="147"/>
        <v/>
      </c>
      <c r="P608" s="113" t="str">
        <f t="shared" si="136"/>
        <v>9N22</v>
      </c>
      <c r="Q608" s="114">
        <f t="shared" si="137"/>
        <v>156</v>
      </c>
      <c r="R608" s="114">
        <f t="shared" si="138"/>
        <v>152.66666666666666</v>
      </c>
      <c r="S608" s="113">
        <f t="shared" si="139"/>
        <v>147</v>
      </c>
      <c r="T608" s="111">
        <f t="shared" ca="1" si="140"/>
        <v>3.08</v>
      </c>
      <c r="U608" s="111" t="str">
        <f t="shared" si="141"/>
        <v/>
      </c>
      <c r="V608" t="str">
        <f t="array" ref="V608">INDEX(P:P,MAX(U$3:U608))</f>
        <v>9N#1DTR(A)</v>
      </c>
      <c r="W608" t="str">
        <f t="shared" ca="1" si="142"/>
        <v/>
      </c>
      <c r="X608">
        <f t="shared" si="143"/>
        <v>11.4</v>
      </c>
      <c r="Y608">
        <f t="shared" si="144"/>
        <v>156</v>
      </c>
      <c r="Z608" t="str">
        <f t="shared" si="148"/>
        <v>彰竹</v>
      </c>
    </row>
    <row r="609" spans="1:26" x14ac:dyDescent="0.25">
      <c r="A609" s="118" t="s">
        <v>726</v>
      </c>
      <c r="B609" s="119" t="s">
        <v>730</v>
      </c>
      <c r="C609" s="119">
        <v>158</v>
      </c>
      <c r="D609" s="118" t="s">
        <v>229</v>
      </c>
      <c r="E609" s="118">
        <v>142</v>
      </c>
      <c r="F609" s="118" t="s">
        <v>229</v>
      </c>
      <c r="G609" s="118">
        <v>154</v>
      </c>
      <c r="H609" s="118" t="s">
        <v>229</v>
      </c>
      <c r="I609" s="378">
        <v>158</v>
      </c>
      <c r="J609" s="117">
        <v>44</v>
      </c>
      <c r="K609" s="117" t="s">
        <v>179</v>
      </c>
      <c r="L609" t="str">
        <f t="shared" si="135"/>
        <v>9N23</v>
      </c>
      <c r="M609" t="str">
        <f t="shared" si="145"/>
        <v/>
      </c>
      <c r="N609" t="str">
        <f t="shared" si="146"/>
        <v/>
      </c>
      <c r="O609" t="str">
        <f t="shared" si="147"/>
        <v/>
      </c>
      <c r="P609" s="113" t="str">
        <f t="shared" si="136"/>
        <v>9N23</v>
      </c>
      <c r="Q609" s="114">
        <f t="shared" si="137"/>
        <v>158</v>
      </c>
      <c r="R609" s="114">
        <f t="shared" si="138"/>
        <v>151.33333333333334</v>
      </c>
      <c r="S609" s="113">
        <f t="shared" si="139"/>
        <v>142</v>
      </c>
      <c r="T609" s="111">
        <f t="shared" ca="1" si="140"/>
        <v>3.12</v>
      </c>
      <c r="U609" s="111" t="str">
        <f t="shared" si="141"/>
        <v/>
      </c>
      <c r="V609" t="str">
        <f t="array" ref="V609">INDEX(P:P,MAX(U$3:U609))</f>
        <v>9N#1DTR(A)</v>
      </c>
      <c r="W609" t="str">
        <f t="shared" ca="1" si="142"/>
        <v/>
      </c>
      <c r="X609">
        <f t="shared" si="143"/>
        <v>11.4</v>
      </c>
      <c r="Y609">
        <f t="shared" si="144"/>
        <v>158</v>
      </c>
      <c r="Z609" t="str">
        <f t="shared" si="148"/>
        <v>彰竹</v>
      </c>
    </row>
    <row r="610" spans="1:26" x14ac:dyDescent="0.25">
      <c r="A610" s="118" t="s">
        <v>726</v>
      </c>
      <c r="B610" s="119" t="s">
        <v>731</v>
      </c>
      <c r="C610" s="119">
        <v>186</v>
      </c>
      <c r="D610" s="118" t="s">
        <v>188</v>
      </c>
      <c r="E610" s="118">
        <v>195</v>
      </c>
      <c r="F610" s="118" t="s">
        <v>203</v>
      </c>
      <c r="G610" s="118">
        <v>192</v>
      </c>
      <c r="H610" s="118" t="s">
        <v>203</v>
      </c>
      <c r="I610" s="378">
        <v>195</v>
      </c>
      <c r="J610" s="117">
        <v>47</v>
      </c>
      <c r="K610" s="117" t="s">
        <v>196</v>
      </c>
      <c r="L610" t="str">
        <f t="shared" si="135"/>
        <v>9N24</v>
      </c>
      <c r="M610" t="str">
        <f t="shared" si="145"/>
        <v/>
      </c>
      <c r="N610" t="str">
        <f t="shared" si="146"/>
        <v/>
      </c>
      <c r="O610" t="str">
        <f t="shared" si="147"/>
        <v/>
      </c>
      <c r="P610" s="113" t="str">
        <f t="shared" si="136"/>
        <v>9N24</v>
      </c>
      <c r="Q610" s="114">
        <f t="shared" si="137"/>
        <v>195</v>
      </c>
      <c r="R610" s="114">
        <f t="shared" si="138"/>
        <v>191</v>
      </c>
      <c r="S610" s="113">
        <f t="shared" si="139"/>
        <v>186</v>
      </c>
      <c r="T610" s="111">
        <f t="shared" ca="1" si="140"/>
        <v>3.85</v>
      </c>
      <c r="U610" s="111" t="str">
        <f t="shared" si="141"/>
        <v/>
      </c>
      <c r="V610" t="str">
        <f t="array" ref="V610">INDEX(P:P,MAX(U$3:U610))</f>
        <v>9N#1DTR(A)</v>
      </c>
      <c r="W610" t="str">
        <f t="shared" ca="1" si="142"/>
        <v/>
      </c>
      <c r="X610">
        <f t="shared" si="143"/>
        <v>11.4</v>
      </c>
      <c r="Y610">
        <f t="shared" si="144"/>
        <v>195</v>
      </c>
      <c r="Z610" t="str">
        <f t="shared" si="148"/>
        <v>彰竹</v>
      </c>
    </row>
    <row r="611" spans="1:26" x14ac:dyDescent="0.25">
      <c r="A611" s="118" t="s">
        <v>726</v>
      </c>
      <c r="B611" s="119" t="s">
        <v>295</v>
      </c>
      <c r="C611" s="119">
        <v>334</v>
      </c>
      <c r="D611" s="118" t="s">
        <v>196</v>
      </c>
      <c r="E611" s="118">
        <v>274</v>
      </c>
      <c r="F611" s="118" t="s">
        <v>196</v>
      </c>
      <c r="G611" s="118">
        <v>295</v>
      </c>
      <c r="H611" s="118" t="s">
        <v>177</v>
      </c>
      <c r="I611" s="378">
        <v>334</v>
      </c>
      <c r="J611" s="117"/>
      <c r="K611" s="117"/>
      <c r="L611" t="str">
        <f t="shared" si="135"/>
        <v>9N#1DTR(B)</v>
      </c>
      <c r="M611" t="str">
        <f t="shared" si="145"/>
        <v>(B)</v>
      </c>
      <c r="N611" t="str">
        <f t="shared" si="146"/>
        <v>9N#1DTR</v>
      </c>
      <c r="O611" t="str">
        <f t="shared" si="147"/>
        <v>(B)</v>
      </c>
      <c r="P611" s="113" t="str">
        <f t="shared" si="136"/>
        <v>9N#1DTR(B)</v>
      </c>
      <c r="Q611" s="114">
        <f t="shared" si="137"/>
        <v>334</v>
      </c>
      <c r="R611" s="114">
        <f t="shared" si="138"/>
        <v>301</v>
      </c>
      <c r="S611" s="113">
        <f t="shared" si="139"/>
        <v>274</v>
      </c>
      <c r="T611" s="111">
        <f t="shared" ca="1" si="140"/>
        <v>6.59</v>
      </c>
      <c r="U611" s="111">
        <f t="shared" si="141"/>
        <v>611</v>
      </c>
      <c r="V611" t="str">
        <f t="array" ref="V611">INDEX(P:P,MAX(U$3:U611))</f>
        <v>9N#1DTR(B)</v>
      </c>
      <c r="W611">
        <f t="shared" ca="1" si="142"/>
        <v>30</v>
      </c>
      <c r="X611" t="str">
        <f t="shared" si="143"/>
        <v/>
      </c>
      <c r="Y611">
        <f t="shared" si="144"/>
        <v>334</v>
      </c>
      <c r="Z611" t="str">
        <f t="shared" si="148"/>
        <v>彰竹</v>
      </c>
    </row>
    <row r="612" spans="1:26" x14ac:dyDescent="0.25">
      <c r="A612" s="118" t="s">
        <v>726</v>
      </c>
      <c r="B612" s="119" t="s">
        <v>732</v>
      </c>
      <c r="C612" s="119">
        <v>85</v>
      </c>
      <c r="D612" s="118" t="s">
        <v>188</v>
      </c>
      <c r="E612" s="118">
        <v>71</v>
      </c>
      <c r="F612" s="118" t="s">
        <v>188</v>
      </c>
      <c r="G612" s="118">
        <v>46</v>
      </c>
      <c r="H612" s="118" t="s">
        <v>179</v>
      </c>
      <c r="I612" s="378">
        <v>85</v>
      </c>
      <c r="J612" s="117">
        <v>50</v>
      </c>
      <c r="K612" s="117" t="s">
        <v>196</v>
      </c>
      <c r="L612" t="str">
        <f t="shared" si="135"/>
        <v>9N25</v>
      </c>
      <c r="M612" t="str">
        <f t="shared" si="145"/>
        <v/>
      </c>
      <c r="N612" t="str">
        <f t="shared" si="146"/>
        <v/>
      </c>
      <c r="O612" t="str">
        <f t="shared" si="147"/>
        <v/>
      </c>
      <c r="P612" s="113" t="str">
        <f t="shared" si="136"/>
        <v>9N25</v>
      </c>
      <c r="Q612" s="114">
        <f t="shared" si="137"/>
        <v>85</v>
      </c>
      <c r="R612" s="114">
        <f t="shared" si="138"/>
        <v>67.333333333333329</v>
      </c>
      <c r="S612" s="113">
        <f t="shared" si="139"/>
        <v>46</v>
      </c>
      <c r="T612" s="111">
        <f t="shared" ca="1" si="140"/>
        <v>1.68</v>
      </c>
      <c r="U612" s="111" t="str">
        <f t="shared" si="141"/>
        <v/>
      </c>
      <c r="V612" t="str">
        <f t="array" ref="V612">INDEX(P:P,MAX(U$3:U612))</f>
        <v>9N#1DTR(B)</v>
      </c>
      <c r="W612" t="str">
        <f t="shared" ca="1" si="142"/>
        <v/>
      </c>
      <c r="X612">
        <f t="shared" si="143"/>
        <v>11.4</v>
      </c>
      <c r="Y612">
        <f t="shared" si="144"/>
        <v>85</v>
      </c>
      <c r="Z612" t="str">
        <f t="shared" si="148"/>
        <v>彰竹</v>
      </c>
    </row>
    <row r="613" spans="1:26" x14ac:dyDescent="0.25">
      <c r="A613" s="118" t="s">
        <v>726</v>
      </c>
      <c r="B613" s="119" t="s">
        <v>733</v>
      </c>
      <c r="C613" s="119">
        <v>85</v>
      </c>
      <c r="D613" s="118" t="s">
        <v>177</v>
      </c>
      <c r="E613" s="118">
        <v>65</v>
      </c>
      <c r="F613" s="118" t="s">
        <v>177</v>
      </c>
      <c r="G613" s="118">
        <v>73</v>
      </c>
      <c r="H613" s="118" t="s">
        <v>177</v>
      </c>
      <c r="I613" s="378">
        <v>85</v>
      </c>
      <c r="J613" s="117">
        <v>46</v>
      </c>
      <c r="K613" s="117" t="s">
        <v>207</v>
      </c>
      <c r="L613" t="str">
        <f t="shared" si="135"/>
        <v>9N26</v>
      </c>
      <c r="M613" t="str">
        <f t="shared" si="145"/>
        <v/>
      </c>
      <c r="N613" t="str">
        <f t="shared" si="146"/>
        <v/>
      </c>
      <c r="O613" t="str">
        <f t="shared" si="147"/>
        <v/>
      </c>
      <c r="P613" s="113" t="str">
        <f t="shared" si="136"/>
        <v>9N26</v>
      </c>
      <c r="Q613" s="114">
        <f t="shared" si="137"/>
        <v>85</v>
      </c>
      <c r="R613" s="114">
        <f t="shared" si="138"/>
        <v>74.333333333333329</v>
      </c>
      <c r="S613" s="113">
        <f t="shared" si="139"/>
        <v>65</v>
      </c>
      <c r="T613" s="111">
        <f t="shared" ca="1" si="140"/>
        <v>1.68</v>
      </c>
      <c r="U613" s="111" t="str">
        <f t="shared" si="141"/>
        <v/>
      </c>
      <c r="V613" t="str">
        <f t="array" ref="V613">INDEX(P:P,MAX(U$3:U613))</f>
        <v>9N#1DTR(B)</v>
      </c>
      <c r="W613" t="str">
        <f t="shared" ca="1" si="142"/>
        <v/>
      </c>
      <c r="X613">
        <f t="shared" si="143"/>
        <v>11.4</v>
      </c>
      <c r="Y613">
        <f t="shared" si="144"/>
        <v>85</v>
      </c>
      <c r="Z613" t="str">
        <f t="shared" si="148"/>
        <v>彰竹</v>
      </c>
    </row>
    <row r="614" spans="1:26" x14ac:dyDescent="0.25">
      <c r="A614" s="118" t="s">
        <v>726</v>
      </c>
      <c r="B614" s="119" t="s">
        <v>734</v>
      </c>
      <c r="C614" s="119">
        <v>53</v>
      </c>
      <c r="D614" s="118" t="s">
        <v>192</v>
      </c>
      <c r="E614" s="118">
        <v>36</v>
      </c>
      <c r="F614" s="118" t="s">
        <v>207</v>
      </c>
      <c r="G614" s="118">
        <v>54</v>
      </c>
      <c r="H614" s="118" t="s">
        <v>192</v>
      </c>
      <c r="I614" s="378">
        <v>54</v>
      </c>
      <c r="J614" s="117">
        <v>33</v>
      </c>
      <c r="K614" s="117" t="s">
        <v>192</v>
      </c>
      <c r="L614" t="str">
        <f t="shared" si="135"/>
        <v>9N27</v>
      </c>
      <c r="M614" t="str">
        <f t="shared" si="145"/>
        <v/>
      </c>
      <c r="N614" t="str">
        <f t="shared" si="146"/>
        <v/>
      </c>
      <c r="O614" t="str">
        <f t="shared" si="147"/>
        <v/>
      </c>
      <c r="P614" s="113" t="str">
        <f t="shared" si="136"/>
        <v>9N27</v>
      </c>
      <c r="Q614" s="114">
        <f t="shared" si="137"/>
        <v>54</v>
      </c>
      <c r="R614" s="114">
        <f t="shared" si="138"/>
        <v>47.666666666666664</v>
      </c>
      <c r="S614" s="113">
        <f t="shared" si="139"/>
        <v>36</v>
      </c>
      <c r="T614" s="111">
        <f t="shared" ca="1" si="140"/>
        <v>1.07</v>
      </c>
      <c r="U614" s="111" t="str">
        <f t="shared" si="141"/>
        <v/>
      </c>
      <c r="V614" t="str">
        <f t="array" ref="V614">INDEX(P:P,MAX(U$3:U614))</f>
        <v>9N#1DTR(B)</v>
      </c>
      <c r="W614" t="str">
        <f t="shared" ca="1" si="142"/>
        <v/>
      </c>
      <c r="X614">
        <f t="shared" si="143"/>
        <v>11.4</v>
      </c>
      <c r="Y614">
        <f t="shared" si="144"/>
        <v>54</v>
      </c>
      <c r="Z614" t="str">
        <f t="shared" si="148"/>
        <v>彰竹</v>
      </c>
    </row>
    <row r="615" spans="1:26" x14ac:dyDescent="0.25">
      <c r="A615" s="118" t="s">
        <v>726</v>
      </c>
      <c r="B615" s="119" t="s">
        <v>735</v>
      </c>
      <c r="C615" s="119">
        <v>60</v>
      </c>
      <c r="D615" s="118" t="s">
        <v>176</v>
      </c>
      <c r="E615" s="118">
        <v>51</v>
      </c>
      <c r="F615" s="118" t="s">
        <v>176</v>
      </c>
      <c r="G615" s="118">
        <v>53</v>
      </c>
      <c r="H615" s="118" t="s">
        <v>188</v>
      </c>
      <c r="I615" s="378">
        <v>60</v>
      </c>
      <c r="J615" s="117">
        <v>24</v>
      </c>
      <c r="K615" s="117" t="s">
        <v>194</v>
      </c>
      <c r="L615" t="str">
        <f t="shared" si="135"/>
        <v>9N28</v>
      </c>
      <c r="M615" t="str">
        <f t="shared" si="145"/>
        <v/>
      </c>
      <c r="N615" t="str">
        <f t="shared" si="146"/>
        <v/>
      </c>
      <c r="O615" t="str">
        <f t="shared" si="147"/>
        <v/>
      </c>
      <c r="P615" s="113" t="str">
        <f t="shared" si="136"/>
        <v>9N28</v>
      </c>
      <c r="Q615" s="114">
        <f t="shared" si="137"/>
        <v>60</v>
      </c>
      <c r="R615" s="114">
        <f t="shared" si="138"/>
        <v>54.666666666666664</v>
      </c>
      <c r="S615" s="113">
        <f t="shared" si="139"/>
        <v>51</v>
      </c>
      <c r="T615" s="111">
        <f t="shared" ca="1" si="140"/>
        <v>1.18</v>
      </c>
      <c r="U615" s="111" t="str">
        <f t="shared" si="141"/>
        <v/>
      </c>
      <c r="V615" t="str">
        <f t="array" ref="V615">INDEX(P:P,MAX(U$3:U615))</f>
        <v>9N#1DTR(B)</v>
      </c>
      <c r="W615" t="str">
        <f t="shared" ca="1" si="142"/>
        <v/>
      </c>
      <c r="X615">
        <f t="shared" si="143"/>
        <v>11.4</v>
      </c>
      <c r="Y615">
        <f t="shared" si="144"/>
        <v>60</v>
      </c>
      <c r="Z615" t="str">
        <f t="shared" si="148"/>
        <v>彰竹</v>
      </c>
    </row>
    <row r="616" spans="1:26" x14ac:dyDescent="0.25">
      <c r="A616" s="118" t="s">
        <v>726</v>
      </c>
      <c r="B616" s="119" t="s">
        <v>736</v>
      </c>
      <c r="C616" s="119">
        <v>94</v>
      </c>
      <c r="D616" s="118" t="s">
        <v>203</v>
      </c>
      <c r="E616" s="118">
        <v>97</v>
      </c>
      <c r="F616" s="118" t="s">
        <v>203</v>
      </c>
      <c r="G616" s="118">
        <v>98</v>
      </c>
      <c r="H616" s="118" t="s">
        <v>196</v>
      </c>
      <c r="I616" s="378">
        <v>98</v>
      </c>
      <c r="J616" s="117">
        <v>56</v>
      </c>
      <c r="K616" s="117" t="s">
        <v>229</v>
      </c>
      <c r="L616" t="str">
        <f t="shared" si="135"/>
        <v>9N29</v>
      </c>
      <c r="M616" t="str">
        <f t="shared" si="145"/>
        <v/>
      </c>
      <c r="N616" t="str">
        <f t="shared" si="146"/>
        <v/>
      </c>
      <c r="O616" t="str">
        <f t="shared" si="147"/>
        <v/>
      </c>
      <c r="P616" s="113" t="str">
        <f t="shared" si="136"/>
        <v>9N29</v>
      </c>
      <c r="Q616" s="114">
        <f t="shared" si="137"/>
        <v>98</v>
      </c>
      <c r="R616" s="114">
        <f t="shared" si="138"/>
        <v>96.333333333333329</v>
      </c>
      <c r="S616" s="113">
        <f t="shared" si="139"/>
        <v>94</v>
      </c>
      <c r="T616" s="111">
        <f t="shared" ca="1" si="140"/>
        <v>1.94</v>
      </c>
      <c r="U616" s="111" t="str">
        <f t="shared" si="141"/>
        <v/>
      </c>
      <c r="V616" t="str">
        <f t="array" ref="V616">INDEX(P:P,MAX(U$3:U616))</f>
        <v>9N#1DTR(B)</v>
      </c>
      <c r="W616" t="str">
        <f t="shared" ca="1" si="142"/>
        <v/>
      </c>
      <c r="X616">
        <f t="shared" si="143"/>
        <v>11.4</v>
      </c>
      <c r="Y616">
        <f t="shared" si="144"/>
        <v>98</v>
      </c>
      <c r="Z616" t="str">
        <f t="shared" si="148"/>
        <v>彰竹</v>
      </c>
    </row>
    <row r="617" spans="1:26" x14ac:dyDescent="0.25">
      <c r="A617" s="118" t="s">
        <v>737</v>
      </c>
      <c r="B617" s="119" t="s">
        <v>175</v>
      </c>
      <c r="C617" s="119">
        <v>666</v>
      </c>
      <c r="D617" s="118" t="s">
        <v>192</v>
      </c>
      <c r="E617" s="118">
        <v>735</v>
      </c>
      <c r="F617" s="118" t="s">
        <v>192</v>
      </c>
      <c r="G617" s="118">
        <v>699</v>
      </c>
      <c r="H617" s="118" t="s">
        <v>192</v>
      </c>
      <c r="I617" s="378">
        <v>735</v>
      </c>
      <c r="J617" s="117"/>
      <c r="K617" s="117"/>
      <c r="L617" t="str">
        <f t="shared" si="135"/>
        <v>IH#1MTR</v>
      </c>
      <c r="M617" t="str">
        <f t="shared" si="145"/>
        <v/>
      </c>
      <c r="N617" t="str">
        <f t="shared" si="146"/>
        <v>IH#1MTR</v>
      </c>
      <c r="O617" t="str">
        <f t="shared" si="147"/>
        <v/>
      </c>
      <c r="P617" s="113" t="str">
        <f t="shared" si="136"/>
        <v>IH#1MTR</v>
      </c>
      <c r="Q617" s="114">
        <f t="shared" si="137"/>
        <v>735</v>
      </c>
      <c r="R617" s="114">
        <f t="shared" si="138"/>
        <v>700</v>
      </c>
      <c r="S617" s="113">
        <f t="shared" si="139"/>
        <v>666</v>
      </c>
      <c r="T617" s="111">
        <f t="shared" ca="1" si="140"/>
        <v>14.51</v>
      </c>
      <c r="U617" s="111">
        <f t="shared" si="141"/>
        <v>617</v>
      </c>
      <c r="V617" t="str">
        <f t="array" ref="V617">INDEX(P:P,MAX(U$3:U617))</f>
        <v>IH#1MTR</v>
      </c>
      <c r="W617">
        <f t="shared" ca="1" si="142"/>
        <v>25</v>
      </c>
      <c r="X617" t="str">
        <f t="shared" si="143"/>
        <v/>
      </c>
      <c r="Y617">
        <f t="shared" si="144"/>
        <v>735</v>
      </c>
      <c r="Z617" t="str">
        <f t="shared" si="148"/>
        <v>彰西</v>
      </c>
    </row>
    <row r="618" spans="1:26" x14ac:dyDescent="0.25">
      <c r="A618" s="118" t="s">
        <v>737</v>
      </c>
      <c r="B618" s="119" t="s">
        <v>738</v>
      </c>
      <c r="C618" s="119">
        <v>157</v>
      </c>
      <c r="D618" s="118" t="s">
        <v>229</v>
      </c>
      <c r="E618" s="118">
        <v>157</v>
      </c>
      <c r="F618" s="118" t="s">
        <v>229</v>
      </c>
      <c r="G618" s="118">
        <v>172</v>
      </c>
      <c r="H618" s="118" t="s">
        <v>229</v>
      </c>
      <c r="I618" s="378">
        <v>172</v>
      </c>
      <c r="J618" s="117">
        <v>62</v>
      </c>
      <c r="K618" s="117" t="s">
        <v>203</v>
      </c>
      <c r="L618" t="str">
        <f t="shared" si="135"/>
        <v>IH27</v>
      </c>
      <c r="M618" t="str">
        <f t="shared" si="145"/>
        <v/>
      </c>
      <c r="N618" t="str">
        <f t="shared" si="146"/>
        <v/>
      </c>
      <c r="O618" t="str">
        <f t="shared" si="147"/>
        <v/>
      </c>
      <c r="P618" s="113" t="str">
        <f t="shared" si="136"/>
        <v>IH27</v>
      </c>
      <c r="Q618" s="114">
        <f t="shared" si="137"/>
        <v>172</v>
      </c>
      <c r="R618" s="114">
        <f t="shared" si="138"/>
        <v>162</v>
      </c>
      <c r="S618" s="113">
        <f t="shared" si="139"/>
        <v>157</v>
      </c>
      <c r="T618" s="111">
        <f t="shared" ca="1" si="140"/>
        <v>3.4</v>
      </c>
      <c r="U618" s="111" t="str">
        <f t="shared" si="141"/>
        <v/>
      </c>
      <c r="V618" t="str">
        <f t="array" ref="V618">INDEX(P:P,MAX(U$3:U618))</f>
        <v>IH#1MTR</v>
      </c>
      <c r="W618" t="str">
        <f t="shared" ca="1" si="142"/>
        <v/>
      </c>
      <c r="X618">
        <f t="shared" si="143"/>
        <v>11.4</v>
      </c>
      <c r="Y618">
        <f t="shared" si="144"/>
        <v>172</v>
      </c>
      <c r="Z618" t="str">
        <f t="shared" si="148"/>
        <v>彰西</v>
      </c>
    </row>
    <row r="619" spans="1:26" x14ac:dyDescent="0.25">
      <c r="A619" s="118" t="s">
        <v>737</v>
      </c>
      <c r="B619" s="119" t="s">
        <v>739</v>
      </c>
      <c r="C619" s="119">
        <v>108</v>
      </c>
      <c r="D619" s="118" t="s">
        <v>205</v>
      </c>
      <c r="E619" s="118">
        <v>110</v>
      </c>
      <c r="F619" s="118" t="s">
        <v>184</v>
      </c>
      <c r="G619" s="118">
        <v>105</v>
      </c>
      <c r="H619" s="118" t="s">
        <v>177</v>
      </c>
      <c r="I619" s="378">
        <v>110</v>
      </c>
      <c r="J619" s="117">
        <v>22</v>
      </c>
      <c r="K619" s="117" t="s">
        <v>179</v>
      </c>
      <c r="L619" t="str">
        <f t="shared" si="135"/>
        <v>IH21</v>
      </c>
      <c r="M619" t="str">
        <f t="shared" si="145"/>
        <v/>
      </c>
      <c r="N619" t="str">
        <f t="shared" si="146"/>
        <v/>
      </c>
      <c r="O619" t="str">
        <f t="shared" si="147"/>
        <v/>
      </c>
      <c r="P619" s="113" t="str">
        <f t="shared" si="136"/>
        <v>IH21</v>
      </c>
      <c r="Q619" s="114">
        <f t="shared" si="137"/>
        <v>110</v>
      </c>
      <c r="R619" s="114">
        <f t="shared" si="138"/>
        <v>107.66666666666667</v>
      </c>
      <c r="S619" s="113">
        <f t="shared" si="139"/>
        <v>105</v>
      </c>
      <c r="T619" s="111">
        <f t="shared" ca="1" si="140"/>
        <v>2.17</v>
      </c>
      <c r="U619" s="111" t="str">
        <f t="shared" si="141"/>
        <v/>
      </c>
      <c r="V619" t="str">
        <f t="array" ref="V619">INDEX(P:P,MAX(U$3:U619))</f>
        <v>IH#1MTR</v>
      </c>
      <c r="W619" t="str">
        <f t="shared" ca="1" si="142"/>
        <v/>
      </c>
      <c r="X619">
        <f t="shared" si="143"/>
        <v>11.4</v>
      </c>
      <c r="Y619">
        <f t="shared" si="144"/>
        <v>110</v>
      </c>
      <c r="Z619" t="str">
        <f t="shared" si="148"/>
        <v>彰西</v>
      </c>
    </row>
    <row r="620" spans="1:26" x14ac:dyDescent="0.25">
      <c r="A620" s="118" t="s">
        <v>737</v>
      </c>
      <c r="B620" s="119" t="s">
        <v>740</v>
      </c>
      <c r="C620" s="119">
        <v>126</v>
      </c>
      <c r="D620" s="118" t="s">
        <v>192</v>
      </c>
      <c r="E620" s="118">
        <v>147</v>
      </c>
      <c r="F620" s="118" t="s">
        <v>192</v>
      </c>
      <c r="G620" s="118">
        <v>146</v>
      </c>
      <c r="H620" s="118" t="s">
        <v>192</v>
      </c>
      <c r="I620" s="378">
        <v>147</v>
      </c>
      <c r="J620" s="117">
        <v>64</v>
      </c>
      <c r="K620" s="117" t="s">
        <v>198</v>
      </c>
      <c r="L620" t="str">
        <f t="shared" si="135"/>
        <v>IH25</v>
      </c>
      <c r="M620" t="str">
        <f t="shared" si="145"/>
        <v/>
      </c>
      <c r="N620" t="str">
        <f t="shared" si="146"/>
        <v/>
      </c>
      <c r="O620" t="str">
        <f t="shared" si="147"/>
        <v/>
      </c>
      <c r="P620" s="113" t="str">
        <f t="shared" si="136"/>
        <v>IH25</v>
      </c>
      <c r="Q620" s="114">
        <f t="shared" si="137"/>
        <v>147</v>
      </c>
      <c r="R620" s="114">
        <f t="shared" si="138"/>
        <v>139.66666666666666</v>
      </c>
      <c r="S620" s="113">
        <f t="shared" si="139"/>
        <v>126</v>
      </c>
      <c r="T620" s="111">
        <f t="shared" ca="1" si="140"/>
        <v>2.9</v>
      </c>
      <c r="U620" s="111" t="str">
        <f t="shared" si="141"/>
        <v/>
      </c>
      <c r="V620" t="str">
        <f t="array" ref="V620">INDEX(P:P,MAX(U$3:U620))</f>
        <v>IH#1MTR</v>
      </c>
      <c r="W620" t="str">
        <f t="shared" ca="1" si="142"/>
        <v/>
      </c>
      <c r="X620">
        <f t="shared" si="143"/>
        <v>11.4</v>
      </c>
      <c r="Y620">
        <f t="shared" si="144"/>
        <v>147</v>
      </c>
      <c r="Z620" t="str">
        <f t="shared" si="148"/>
        <v>彰西</v>
      </c>
    </row>
    <row r="621" spans="1:26" x14ac:dyDescent="0.25">
      <c r="A621" s="118" t="s">
        <v>737</v>
      </c>
      <c r="B621" s="119" t="s">
        <v>741</v>
      </c>
      <c r="C621" s="119">
        <v>141</v>
      </c>
      <c r="D621" s="118" t="s">
        <v>229</v>
      </c>
      <c r="E621" s="118">
        <v>160</v>
      </c>
      <c r="F621" s="118" t="s">
        <v>229</v>
      </c>
      <c r="G621" s="118">
        <v>143</v>
      </c>
      <c r="H621" s="118" t="s">
        <v>229</v>
      </c>
      <c r="I621" s="378">
        <v>160</v>
      </c>
      <c r="J621" s="117">
        <v>48</v>
      </c>
      <c r="K621" s="117" t="s">
        <v>192</v>
      </c>
      <c r="L621" t="str">
        <f t="shared" si="135"/>
        <v>IH24</v>
      </c>
      <c r="M621" t="str">
        <f t="shared" si="145"/>
        <v/>
      </c>
      <c r="N621" t="str">
        <f t="shared" si="146"/>
        <v/>
      </c>
      <c r="O621" t="str">
        <f t="shared" si="147"/>
        <v/>
      </c>
      <c r="P621" s="113" t="str">
        <f t="shared" si="136"/>
        <v>IH24</v>
      </c>
      <c r="Q621" s="114">
        <f t="shared" si="137"/>
        <v>160</v>
      </c>
      <c r="R621" s="114">
        <f t="shared" si="138"/>
        <v>148</v>
      </c>
      <c r="S621" s="113">
        <f t="shared" si="139"/>
        <v>141</v>
      </c>
      <c r="T621" s="111">
        <f t="shared" ca="1" si="140"/>
        <v>3.16</v>
      </c>
      <c r="U621" s="111" t="str">
        <f t="shared" si="141"/>
        <v/>
      </c>
      <c r="V621" t="str">
        <f t="array" ref="V621">INDEX(P:P,MAX(U$3:U621))</f>
        <v>IH#1MTR</v>
      </c>
      <c r="W621" t="str">
        <f t="shared" ca="1" si="142"/>
        <v/>
      </c>
      <c r="X621">
        <f t="shared" si="143"/>
        <v>11.4</v>
      </c>
      <c r="Y621">
        <f t="shared" si="144"/>
        <v>160</v>
      </c>
      <c r="Z621" t="str">
        <f t="shared" si="148"/>
        <v>彰西</v>
      </c>
    </row>
    <row r="622" spans="1:26" x14ac:dyDescent="0.25">
      <c r="A622" s="118" t="s">
        <v>737</v>
      </c>
      <c r="B622" s="119" t="s">
        <v>742</v>
      </c>
      <c r="C622" s="119">
        <v>257</v>
      </c>
      <c r="D622" s="118" t="s">
        <v>207</v>
      </c>
      <c r="E622" s="118">
        <v>275</v>
      </c>
      <c r="F622" s="118" t="s">
        <v>207</v>
      </c>
      <c r="G622" s="118">
        <v>248</v>
      </c>
      <c r="H622" s="118" t="s">
        <v>203</v>
      </c>
      <c r="I622" s="378">
        <v>275</v>
      </c>
      <c r="J622" s="117">
        <v>60</v>
      </c>
      <c r="K622" s="117" t="s">
        <v>180</v>
      </c>
      <c r="L622" t="str">
        <f t="shared" si="135"/>
        <v>IH28</v>
      </c>
      <c r="M622" t="str">
        <f t="shared" si="145"/>
        <v/>
      </c>
      <c r="N622" t="str">
        <f t="shared" si="146"/>
        <v/>
      </c>
      <c r="O622" t="str">
        <f t="shared" si="147"/>
        <v/>
      </c>
      <c r="P622" s="113" t="str">
        <f t="shared" si="136"/>
        <v>IH28</v>
      </c>
      <c r="Q622" s="114">
        <f t="shared" si="137"/>
        <v>275</v>
      </c>
      <c r="R622" s="114">
        <f t="shared" si="138"/>
        <v>260</v>
      </c>
      <c r="S622" s="113">
        <f t="shared" si="139"/>
        <v>248</v>
      </c>
      <c r="T622" s="111">
        <f t="shared" ca="1" si="140"/>
        <v>5.43</v>
      </c>
      <c r="U622" s="111" t="str">
        <f t="shared" si="141"/>
        <v/>
      </c>
      <c r="V622" t="str">
        <f t="array" ref="V622">INDEX(P:P,MAX(U$3:U622))</f>
        <v>IH#1MTR</v>
      </c>
      <c r="W622" t="str">
        <f t="shared" ca="1" si="142"/>
        <v/>
      </c>
      <c r="X622">
        <f t="shared" si="143"/>
        <v>11.4</v>
      </c>
      <c r="Y622">
        <f t="shared" si="144"/>
        <v>275</v>
      </c>
      <c r="Z622" t="str">
        <f t="shared" si="148"/>
        <v>彰西</v>
      </c>
    </row>
    <row r="623" spans="1:26" x14ac:dyDescent="0.25">
      <c r="A623" s="118" t="s">
        <v>737</v>
      </c>
      <c r="B623" s="119" t="s">
        <v>187</v>
      </c>
      <c r="C623" s="119">
        <v>709</v>
      </c>
      <c r="D623" s="118" t="s">
        <v>188</v>
      </c>
      <c r="E623" s="118">
        <v>660</v>
      </c>
      <c r="F623" s="118" t="s">
        <v>188</v>
      </c>
      <c r="G623" s="118">
        <v>587</v>
      </c>
      <c r="H623" s="118" t="s">
        <v>176</v>
      </c>
      <c r="I623" s="378">
        <v>709</v>
      </c>
      <c r="J623" s="117"/>
      <c r="K623" s="117"/>
      <c r="L623" t="str">
        <f t="shared" si="135"/>
        <v>IH#2MTR</v>
      </c>
      <c r="M623" t="str">
        <f t="shared" si="145"/>
        <v/>
      </c>
      <c r="N623" t="str">
        <f t="shared" si="146"/>
        <v>IH#2MTR</v>
      </c>
      <c r="O623" t="str">
        <f t="shared" si="147"/>
        <v/>
      </c>
      <c r="P623" s="113" t="str">
        <f t="shared" si="136"/>
        <v>IH#2MTR</v>
      </c>
      <c r="Q623" s="114">
        <f t="shared" si="137"/>
        <v>709</v>
      </c>
      <c r="R623" s="114">
        <f t="shared" si="138"/>
        <v>652</v>
      </c>
      <c r="S623" s="113">
        <f t="shared" si="139"/>
        <v>587</v>
      </c>
      <c r="T623" s="111">
        <f t="shared" ca="1" si="140"/>
        <v>14</v>
      </c>
      <c r="U623" s="111">
        <f t="shared" si="141"/>
        <v>623</v>
      </c>
      <c r="V623" t="str">
        <f t="array" ref="V623">INDEX(P:P,MAX(U$3:U623))</f>
        <v>IH#2MTR</v>
      </c>
      <c r="W623">
        <f t="shared" ca="1" si="142"/>
        <v>25</v>
      </c>
      <c r="X623" t="str">
        <f t="shared" si="143"/>
        <v/>
      </c>
      <c r="Y623">
        <f t="shared" si="144"/>
        <v>709</v>
      </c>
      <c r="Z623" t="str">
        <f t="shared" si="148"/>
        <v>彰西</v>
      </c>
    </row>
    <row r="624" spans="1:26" x14ac:dyDescent="0.25">
      <c r="A624" s="118" t="s">
        <v>737</v>
      </c>
      <c r="B624" s="119" t="s">
        <v>743</v>
      </c>
      <c r="C624" s="119">
        <v>171</v>
      </c>
      <c r="D624" s="118" t="s">
        <v>183</v>
      </c>
      <c r="E624" s="118">
        <v>202</v>
      </c>
      <c r="F624" s="118" t="s">
        <v>203</v>
      </c>
      <c r="G624" s="118">
        <v>162</v>
      </c>
      <c r="H624" s="118" t="s">
        <v>203</v>
      </c>
      <c r="I624" s="378">
        <v>202</v>
      </c>
      <c r="J624" s="117">
        <v>60</v>
      </c>
      <c r="K624" s="117" t="s">
        <v>180</v>
      </c>
      <c r="L624" t="str">
        <f t="shared" si="135"/>
        <v>IH33</v>
      </c>
      <c r="M624" t="str">
        <f t="shared" si="145"/>
        <v/>
      </c>
      <c r="N624" t="str">
        <f t="shared" si="146"/>
        <v/>
      </c>
      <c r="O624" t="str">
        <f t="shared" si="147"/>
        <v/>
      </c>
      <c r="P624" s="113" t="str">
        <f t="shared" si="136"/>
        <v>IH33</v>
      </c>
      <c r="Q624" s="114">
        <f t="shared" si="137"/>
        <v>202</v>
      </c>
      <c r="R624" s="114">
        <f t="shared" si="138"/>
        <v>178.33333333333334</v>
      </c>
      <c r="S624" s="113">
        <f t="shared" si="139"/>
        <v>162</v>
      </c>
      <c r="T624" s="111">
        <f t="shared" ca="1" si="140"/>
        <v>3.99</v>
      </c>
      <c r="U624" s="111" t="str">
        <f t="shared" si="141"/>
        <v/>
      </c>
      <c r="V624" t="str">
        <f t="array" ref="V624">INDEX(P:P,MAX(U$3:U624))</f>
        <v>IH#2MTR</v>
      </c>
      <c r="W624" t="str">
        <f t="shared" ca="1" si="142"/>
        <v/>
      </c>
      <c r="X624">
        <f t="shared" si="143"/>
        <v>11.4</v>
      </c>
      <c r="Y624">
        <f t="shared" si="144"/>
        <v>202</v>
      </c>
      <c r="Z624" t="str">
        <f t="shared" si="148"/>
        <v>彰西</v>
      </c>
    </row>
    <row r="625" spans="1:26" x14ac:dyDescent="0.25">
      <c r="A625" s="118" t="s">
        <v>737</v>
      </c>
      <c r="B625" s="119" t="s">
        <v>744</v>
      </c>
      <c r="C625" s="119">
        <v>61</v>
      </c>
      <c r="D625" s="118" t="s">
        <v>179</v>
      </c>
      <c r="E625" s="118">
        <v>62</v>
      </c>
      <c r="F625" s="118" t="s">
        <v>179</v>
      </c>
      <c r="G625" s="118">
        <v>58</v>
      </c>
      <c r="H625" s="118" t="s">
        <v>176</v>
      </c>
      <c r="I625" s="378">
        <v>62</v>
      </c>
      <c r="J625" s="117">
        <v>26</v>
      </c>
      <c r="K625" s="117" t="s">
        <v>179</v>
      </c>
      <c r="L625" t="str">
        <f t="shared" si="135"/>
        <v>IH32</v>
      </c>
      <c r="M625" t="str">
        <f t="shared" si="145"/>
        <v/>
      </c>
      <c r="N625" t="str">
        <f t="shared" si="146"/>
        <v/>
      </c>
      <c r="O625" t="str">
        <f t="shared" si="147"/>
        <v/>
      </c>
      <c r="P625" s="113" t="str">
        <f t="shared" si="136"/>
        <v>IH32</v>
      </c>
      <c r="Q625" s="114">
        <f t="shared" si="137"/>
        <v>62</v>
      </c>
      <c r="R625" s="114">
        <f t="shared" si="138"/>
        <v>60.333333333333336</v>
      </c>
      <c r="S625" s="113">
        <f t="shared" si="139"/>
        <v>58</v>
      </c>
      <c r="T625" s="111">
        <f t="shared" ca="1" si="140"/>
        <v>1.22</v>
      </c>
      <c r="U625" s="111" t="str">
        <f t="shared" si="141"/>
        <v/>
      </c>
      <c r="V625" t="str">
        <f t="array" ref="V625">INDEX(P:P,MAX(U$3:U625))</f>
        <v>IH#2MTR</v>
      </c>
      <c r="W625" t="str">
        <f t="shared" ca="1" si="142"/>
        <v/>
      </c>
      <c r="X625">
        <f t="shared" si="143"/>
        <v>11.4</v>
      </c>
      <c r="Y625">
        <f t="shared" si="144"/>
        <v>62</v>
      </c>
      <c r="Z625" t="str">
        <f t="shared" si="148"/>
        <v>彰西</v>
      </c>
    </row>
    <row r="626" spans="1:26" x14ac:dyDescent="0.25">
      <c r="A626" s="118" t="s">
        <v>737</v>
      </c>
      <c r="B626" s="119" t="s">
        <v>745</v>
      </c>
      <c r="C626" s="119">
        <v>141</v>
      </c>
      <c r="D626" s="118" t="s">
        <v>196</v>
      </c>
      <c r="E626" s="118">
        <v>89</v>
      </c>
      <c r="F626" s="118" t="s">
        <v>203</v>
      </c>
      <c r="G626" s="118">
        <v>104</v>
      </c>
      <c r="H626" s="118" t="s">
        <v>203</v>
      </c>
      <c r="I626" s="378">
        <v>141</v>
      </c>
      <c r="J626" s="117">
        <v>60</v>
      </c>
      <c r="K626" s="117" t="s">
        <v>196</v>
      </c>
      <c r="L626" t="str">
        <f t="shared" si="135"/>
        <v>IH34</v>
      </c>
      <c r="M626" t="str">
        <f t="shared" si="145"/>
        <v/>
      </c>
      <c r="N626" t="str">
        <f t="shared" si="146"/>
        <v/>
      </c>
      <c r="O626" t="str">
        <f t="shared" si="147"/>
        <v/>
      </c>
      <c r="P626" s="113" t="str">
        <f t="shared" si="136"/>
        <v>IH34</v>
      </c>
      <c r="Q626" s="114">
        <f t="shared" si="137"/>
        <v>141</v>
      </c>
      <c r="R626" s="114">
        <f t="shared" si="138"/>
        <v>111.33333333333333</v>
      </c>
      <c r="S626" s="113">
        <f t="shared" si="139"/>
        <v>89</v>
      </c>
      <c r="T626" s="111">
        <f t="shared" ca="1" si="140"/>
        <v>2.78</v>
      </c>
      <c r="U626" s="111" t="str">
        <f t="shared" si="141"/>
        <v/>
      </c>
      <c r="V626" t="str">
        <f t="array" ref="V626">INDEX(P:P,MAX(U$3:U626))</f>
        <v>IH#2MTR</v>
      </c>
      <c r="W626" t="str">
        <f t="shared" ca="1" si="142"/>
        <v/>
      </c>
      <c r="X626">
        <f t="shared" si="143"/>
        <v>11.4</v>
      </c>
      <c r="Y626">
        <f t="shared" si="144"/>
        <v>141</v>
      </c>
      <c r="Z626" t="str">
        <f t="shared" si="148"/>
        <v>彰西</v>
      </c>
    </row>
    <row r="627" spans="1:26" x14ac:dyDescent="0.25">
      <c r="A627" s="118" t="s">
        <v>737</v>
      </c>
      <c r="B627" s="119" t="s">
        <v>746</v>
      </c>
      <c r="C627" s="119">
        <v>120</v>
      </c>
      <c r="D627" s="118" t="s">
        <v>177</v>
      </c>
      <c r="E627" s="118">
        <v>106</v>
      </c>
      <c r="F627" s="118" t="s">
        <v>176</v>
      </c>
      <c r="G627" s="118">
        <v>67</v>
      </c>
      <c r="H627" s="118" t="s">
        <v>188</v>
      </c>
      <c r="I627" s="378">
        <v>120</v>
      </c>
      <c r="J627" s="117">
        <v>72</v>
      </c>
      <c r="K627" s="117" t="s">
        <v>183</v>
      </c>
      <c r="L627" t="str">
        <f t="shared" si="135"/>
        <v>IH31</v>
      </c>
      <c r="M627" t="str">
        <f t="shared" si="145"/>
        <v/>
      </c>
      <c r="N627" t="str">
        <f t="shared" si="146"/>
        <v/>
      </c>
      <c r="O627" t="str">
        <f t="shared" si="147"/>
        <v/>
      </c>
      <c r="P627" s="113" t="str">
        <f t="shared" si="136"/>
        <v>IH31</v>
      </c>
      <c r="Q627" s="114">
        <f t="shared" si="137"/>
        <v>120</v>
      </c>
      <c r="R627" s="114">
        <f t="shared" si="138"/>
        <v>97.666666666666671</v>
      </c>
      <c r="S627" s="113">
        <f t="shared" si="139"/>
        <v>67</v>
      </c>
      <c r="T627" s="111">
        <f t="shared" ca="1" si="140"/>
        <v>2.37</v>
      </c>
      <c r="U627" s="111" t="str">
        <f t="shared" si="141"/>
        <v/>
      </c>
      <c r="V627" t="str">
        <f t="array" ref="V627">INDEX(P:P,MAX(U$3:U627))</f>
        <v>IH#2MTR</v>
      </c>
      <c r="W627" t="str">
        <f t="shared" ca="1" si="142"/>
        <v/>
      </c>
      <c r="X627">
        <f t="shared" si="143"/>
        <v>11.4</v>
      </c>
      <c r="Y627">
        <f t="shared" si="144"/>
        <v>120</v>
      </c>
      <c r="Z627" t="str">
        <f t="shared" si="148"/>
        <v>彰西</v>
      </c>
    </row>
    <row r="628" spans="1:26" x14ac:dyDescent="0.25">
      <c r="A628" s="118" t="s">
        <v>737</v>
      </c>
      <c r="B628" s="119" t="s">
        <v>747</v>
      </c>
      <c r="C628" s="119">
        <v>236</v>
      </c>
      <c r="D628" s="118" t="s">
        <v>188</v>
      </c>
      <c r="E628" s="118">
        <v>234</v>
      </c>
      <c r="F628" s="118" t="s">
        <v>188</v>
      </c>
      <c r="G628" s="118">
        <v>219</v>
      </c>
      <c r="H628" s="118" t="s">
        <v>177</v>
      </c>
      <c r="I628" s="378">
        <v>236</v>
      </c>
      <c r="J628" s="117">
        <v>72</v>
      </c>
      <c r="K628" s="117" t="s">
        <v>196</v>
      </c>
      <c r="L628" t="str">
        <f t="shared" si="135"/>
        <v>IH35</v>
      </c>
      <c r="M628" t="str">
        <f t="shared" si="145"/>
        <v/>
      </c>
      <c r="N628" t="str">
        <f t="shared" si="146"/>
        <v/>
      </c>
      <c r="O628" t="str">
        <f t="shared" si="147"/>
        <v/>
      </c>
      <c r="P628" s="113" t="str">
        <f t="shared" si="136"/>
        <v>IH35</v>
      </c>
      <c r="Q628" s="114">
        <f t="shared" si="137"/>
        <v>236</v>
      </c>
      <c r="R628" s="114">
        <f t="shared" si="138"/>
        <v>229.66666666666666</v>
      </c>
      <c r="S628" s="113">
        <f t="shared" si="139"/>
        <v>219</v>
      </c>
      <c r="T628" s="111">
        <f t="shared" ca="1" si="140"/>
        <v>4.66</v>
      </c>
      <c r="U628" s="111" t="str">
        <f t="shared" si="141"/>
        <v/>
      </c>
      <c r="V628" t="str">
        <f t="array" ref="V628">INDEX(P:P,MAX(U$3:U628))</f>
        <v>IH#2MTR</v>
      </c>
      <c r="W628" t="str">
        <f t="shared" ca="1" si="142"/>
        <v/>
      </c>
      <c r="X628">
        <f t="shared" si="143"/>
        <v>11.4</v>
      </c>
      <c r="Y628">
        <f t="shared" si="144"/>
        <v>236</v>
      </c>
      <c r="Z628" t="str">
        <f t="shared" si="148"/>
        <v>彰西</v>
      </c>
    </row>
    <row r="629" spans="1:26" x14ac:dyDescent="0.25">
      <c r="A629" s="118" t="s">
        <v>737</v>
      </c>
      <c r="B629" s="119" t="s">
        <v>197</v>
      </c>
      <c r="C629" s="119">
        <v>770</v>
      </c>
      <c r="D629" s="118" t="s">
        <v>198</v>
      </c>
      <c r="E629" s="118">
        <v>759</v>
      </c>
      <c r="F629" s="118" t="s">
        <v>198</v>
      </c>
      <c r="G629" s="118">
        <v>815</v>
      </c>
      <c r="H629" s="118" t="s">
        <v>198</v>
      </c>
      <c r="I629" s="378">
        <v>815</v>
      </c>
      <c r="J629" s="117"/>
      <c r="K629" s="117"/>
      <c r="L629" t="str">
        <f t="shared" si="135"/>
        <v>IH#3MTR</v>
      </c>
      <c r="M629" t="str">
        <f t="shared" si="145"/>
        <v/>
      </c>
      <c r="N629" t="str">
        <f t="shared" si="146"/>
        <v>IH#3MTR</v>
      </c>
      <c r="O629" t="str">
        <f t="shared" si="147"/>
        <v/>
      </c>
      <c r="P629" s="113" t="str">
        <f t="shared" si="136"/>
        <v>IH#3MTR</v>
      </c>
      <c r="Q629" s="114">
        <f t="shared" si="137"/>
        <v>815</v>
      </c>
      <c r="R629" s="114">
        <f t="shared" si="138"/>
        <v>781.33333333333337</v>
      </c>
      <c r="S629" s="113">
        <f t="shared" si="139"/>
        <v>759</v>
      </c>
      <c r="T629" s="111">
        <f t="shared" ca="1" si="140"/>
        <v>16.09</v>
      </c>
      <c r="U629" s="111">
        <f t="shared" si="141"/>
        <v>629</v>
      </c>
      <c r="V629" t="str">
        <f t="array" ref="V629">INDEX(P:P,MAX(U$3:U629))</f>
        <v>IH#3MTR</v>
      </c>
      <c r="W629">
        <f t="shared" ca="1" si="142"/>
        <v>25</v>
      </c>
      <c r="X629" t="str">
        <f t="shared" si="143"/>
        <v/>
      </c>
      <c r="Y629">
        <f t="shared" si="144"/>
        <v>815</v>
      </c>
      <c r="Z629" t="str">
        <f t="shared" si="148"/>
        <v>彰西</v>
      </c>
    </row>
    <row r="630" spans="1:26" x14ac:dyDescent="0.25">
      <c r="A630" s="118" t="s">
        <v>737</v>
      </c>
      <c r="B630" s="119" t="s">
        <v>748</v>
      </c>
      <c r="C630" s="119">
        <v>165</v>
      </c>
      <c r="D630" s="118" t="s">
        <v>198</v>
      </c>
      <c r="E630" s="118">
        <v>171</v>
      </c>
      <c r="F630" s="118" t="s">
        <v>198</v>
      </c>
      <c r="G630" s="118">
        <v>188</v>
      </c>
      <c r="H630" s="118" t="s">
        <v>207</v>
      </c>
      <c r="I630" s="378">
        <v>188</v>
      </c>
      <c r="J630" s="117">
        <v>43</v>
      </c>
      <c r="K630" s="117" t="s">
        <v>200</v>
      </c>
      <c r="L630" t="str">
        <f t="shared" si="135"/>
        <v>IH29</v>
      </c>
      <c r="M630" t="str">
        <f t="shared" si="145"/>
        <v/>
      </c>
      <c r="N630" t="str">
        <f t="shared" si="146"/>
        <v/>
      </c>
      <c r="O630" t="str">
        <f t="shared" si="147"/>
        <v/>
      </c>
      <c r="P630" s="113" t="str">
        <f t="shared" si="136"/>
        <v>IH29</v>
      </c>
      <c r="Q630" s="114">
        <f t="shared" si="137"/>
        <v>188</v>
      </c>
      <c r="R630" s="114">
        <f t="shared" si="138"/>
        <v>174.66666666666666</v>
      </c>
      <c r="S630" s="113">
        <f t="shared" si="139"/>
        <v>165</v>
      </c>
      <c r="T630" s="111">
        <f t="shared" ca="1" si="140"/>
        <v>3.71</v>
      </c>
      <c r="U630" s="111" t="str">
        <f t="shared" si="141"/>
        <v/>
      </c>
      <c r="V630" t="str">
        <f t="array" ref="V630">INDEX(P:P,MAX(U$3:U630))</f>
        <v>IH#3MTR</v>
      </c>
      <c r="W630" t="str">
        <f t="shared" ca="1" si="142"/>
        <v/>
      </c>
      <c r="X630">
        <f t="shared" si="143"/>
        <v>11.4</v>
      </c>
      <c r="Y630">
        <f t="shared" si="144"/>
        <v>188</v>
      </c>
      <c r="Z630" t="str">
        <f t="shared" si="148"/>
        <v>彰西</v>
      </c>
    </row>
    <row r="631" spans="1:26" x14ac:dyDescent="0.25">
      <c r="A631" s="118" t="s">
        <v>737</v>
      </c>
      <c r="B631" s="119" t="s">
        <v>749</v>
      </c>
      <c r="C631" s="119">
        <v>152</v>
      </c>
      <c r="D631" s="118" t="s">
        <v>188</v>
      </c>
      <c r="E631" s="118">
        <v>169</v>
      </c>
      <c r="F631" s="118" t="s">
        <v>177</v>
      </c>
      <c r="G631" s="118">
        <v>190</v>
      </c>
      <c r="H631" s="118" t="s">
        <v>188</v>
      </c>
      <c r="I631" s="378">
        <v>190</v>
      </c>
      <c r="J631" s="117">
        <v>66</v>
      </c>
      <c r="K631" s="117" t="s">
        <v>203</v>
      </c>
      <c r="L631" t="str">
        <f t="shared" si="135"/>
        <v>IH23</v>
      </c>
      <c r="M631" t="str">
        <f t="shared" si="145"/>
        <v/>
      </c>
      <c r="N631" t="str">
        <f t="shared" si="146"/>
        <v/>
      </c>
      <c r="O631" t="str">
        <f t="shared" si="147"/>
        <v/>
      </c>
      <c r="P631" s="113" t="str">
        <f t="shared" si="136"/>
        <v>IH23</v>
      </c>
      <c r="Q631" s="114">
        <f t="shared" si="137"/>
        <v>190</v>
      </c>
      <c r="R631" s="114">
        <f t="shared" si="138"/>
        <v>170.33333333333334</v>
      </c>
      <c r="S631" s="113">
        <f t="shared" si="139"/>
        <v>152</v>
      </c>
      <c r="T631" s="111">
        <f t="shared" ca="1" si="140"/>
        <v>3.75</v>
      </c>
      <c r="U631" s="111" t="str">
        <f t="shared" si="141"/>
        <v/>
      </c>
      <c r="V631" t="str">
        <f t="array" ref="V631">INDEX(P:P,MAX(U$3:U631))</f>
        <v>IH#3MTR</v>
      </c>
      <c r="W631" t="str">
        <f t="shared" ca="1" si="142"/>
        <v/>
      </c>
      <c r="X631">
        <f t="shared" si="143"/>
        <v>11.4</v>
      </c>
      <c r="Y631">
        <f t="shared" si="144"/>
        <v>190</v>
      </c>
      <c r="Z631" t="str">
        <f t="shared" si="148"/>
        <v>彰西</v>
      </c>
    </row>
    <row r="632" spans="1:26" x14ac:dyDescent="0.25">
      <c r="A632" s="118" t="s">
        <v>737</v>
      </c>
      <c r="B632" s="119" t="s">
        <v>750</v>
      </c>
      <c r="C632" s="119">
        <v>144</v>
      </c>
      <c r="D632" s="118" t="s">
        <v>205</v>
      </c>
      <c r="E632" s="118">
        <v>126</v>
      </c>
      <c r="F632" s="118" t="s">
        <v>176</v>
      </c>
      <c r="G632" s="118">
        <v>144</v>
      </c>
      <c r="H632" s="118" t="s">
        <v>176</v>
      </c>
      <c r="I632" s="378">
        <v>144</v>
      </c>
      <c r="J632" s="117">
        <v>60</v>
      </c>
      <c r="K632" s="117" t="s">
        <v>207</v>
      </c>
      <c r="L632" t="str">
        <f t="shared" si="135"/>
        <v>IH22</v>
      </c>
      <c r="M632" t="str">
        <f t="shared" si="145"/>
        <v/>
      </c>
      <c r="N632" t="str">
        <f t="shared" si="146"/>
        <v/>
      </c>
      <c r="O632" t="str">
        <f t="shared" si="147"/>
        <v/>
      </c>
      <c r="P632" s="113" t="str">
        <f t="shared" si="136"/>
        <v>IH22</v>
      </c>
      <c r="Q632" s="114">
        <f t="shared" si="137"/>
        <v>144</v>
      </c>
      <c r="R632" s="114">
        <f t="shared" si="138"/>
        <v>138</v>
      </c>
      <c r="S632" s="113">
        <f t="shared" si="139"/>
        <v>126</v>
      </c>
      <c r="T632" s="111">
        <f t="shared" ca="1" si="140"/>
        <v>2.84</v>
      </c>
      <c r="U632" s="111" t="str">
        <f t="shared" si="141"/>
        <v/>
      </c>
      <c r="V632" t="str">
        <f t="array" ref="V632">INDEX(P:P,MAX(U$3:U632))</f>
        <v>IH#3MTR</v>
      </c>
      <c r="W632" t="str">
        <f t="shared" ca="1" si="142"/>
        <v/>
      </c>
      <c r="X632">
        <f t="shared" si="143"/>
        <v>11.4</v>
      </c>
      <c r="Y632">
        <f t="shared" si="144"/>
        <v>144</v>
      </c>
      <c r="Z632" t="str">
        <f t="shared" si="148"/>
        <v>彰西</v>
      </c>
    </row>
    <row r="633" spans="1:26" x14ac:dyDescent="0.25">
      <c r="A633" s="118" t="s">
        <v>737</v>
      </c>
      <c r="B633" s="119" t="s">
        <v>751</v>
      </c>
      <c r="C633" s="119">
        <v>200</v>
      </c>
      <c r="D633" s="118" t="s">
        <v>192</v>
      </c>
      <c r="E633" s="118">
        <v>162</v>
      </c>
      <c r="F633" s="118" t="s">
        <v>198</v>
      </c>
      <c r="G633" s="118">
        <v>164</v>
      </c>
      <c r="H633" s="118" t="s">
        <v>198</v>
      </c>
      <c r="I633" s="378">
        <v>200</v>
      </c>
      <c r="J633" s="117">
        <v>51</v>
      </c>
      <c r="K633" s="117" t="s">
        <v>196</v>
      </c>
      <c r="L633" t="str">
        <f t="shared" si="135"/>
        <v>IH26</v>
      </c>
      <c r="M633" t="str">
        <f t="shared" si="145"/>
        <v/>
      </c>
      <c r="N633" t="str">
        <f t="shared" si="146"/>
        <v/>
      </c>
      <c r="O633" t="str">
        <f t="shared" si="147"/>
        <v/>
      </c>
      <c r="P633" s="113" t="str">
        <f t="shared" si="136"/>
        <v>IH26</v>
      </c>
      <c r="Q633" s="114">
        <f t="shared" si="137"/>
        <v>200</v>
      </c>
      <c r="R633" s="114">
        <f t="shared" si="138"/>
        <v>175.33333333333334</v>
      </c>
      <c r="S633" s="113">
        <f t="shared" si="139"/>
        <v>162</v>
      </c>
      <c r="T633" s="111">
        <f t="shared" ca="1" si="140"/>
        <v>3.95</v>
      </c>
      <c r="U633" s="111" t="str">
        <f t="shared" si="141"/>
        <v/>
      </c>
      <c r="V633" t="str">
        <f t="array" ref="V633">INDEX(P:P,MAX(U$3:U633))</f>
        <v>IH#3MTR</v>
      </c>
      <c r="W633" t="str">
        <f t="shared" ca="1" si="142"/>
        <v/>
      </c>
      <c r="X633">
        <f t="shared" si="143"/>
        <v>11.4</v>
      </c>
      <c r="Y633">
        <f t="shared" si="144"/>
        <v>200</v>
      </c>
      <c r="Z633" t="str">
        <f t="shared" si="148"/>
        <v>彰西</v>
      </c>
    </row>
    <row r="634" spans="1:26" x14ac:dyDescent="0.25">
      <c r="A634" s="118" t="s">
        <v>737</v>
      </c>
      <c r="B634" s="119" t="s">
        <v>752</v>
      </c>
      <c r="C634" s="119">
        <v>227</v>
      </c>
      <c r="D634" s="118" t="s">
        <v>207</v>
      </c>
      <c r="E634" s="118">
        <v>225</v>
      </c>
      <c r="F634" s="118" t="s">
        <v>198</v>
      </c>
      <c r="G634" s="118">
        <v>231</v>
      </c>
      <c r="H634" s="118" t="s">
        <v>192</v>
      </c>
      <c r="I634" s="378">
        <v>231</v>
      </c>
      <c r="J634" s="117">
        <v>49</v>
      </c>
      <c r="K634" s="117" t="s">
        <v>214</v>
      </c>
      <c r="L634" t="str">
        <f t="shared" si="135"/>
        <v>IH20</v>
      </c>
      <c r="M634" t="str">
        <f t="shared" si="145"/>
        <v/>
      </c>
      <c r="N634" t="str">
        <f t="shared" si="146"/>
        <v/>
      </c>
      <c r="O634" t="str">
        <f t="shared" si="147"/>
        <v/>
      </c>
      <c r="P634" s="113" t="str">
        <f t="shared" si="136"/>
        <v>IH20</v>
      </c>
      <c r="Q634" s="114">
        <f t="shared" si="137"/>
        <v>231</v>
      </c>
      <c r="R634" s="114">
        <f t="shared" si="138"/>
        <v>227.66666666666666</v>
      </c>
      <c r="S634" s="113">
        <f t="shared" si="139"/>
        <v>225</v>
      </c>
      <c r="T634" s="111">
        <f t="shared" ca="1" si="140"/>
        <v>4.5599999999999996</v>
      </c>
      <c r="U634" s="111" t="str">
        <f t="shared" si="141"/>
        <v/>
      </c>
      <c r="V634" t="str">
        <f t="array" ref="V634">INDEX(P:P,MAX(U$3:U634))</f>
        <v>IH#3MTR</v>
      </c>
      <c r="W634" t="str">
        <f t="shared" ca="1" si="142"/>
        <v/>
      </c>
      <c r="X634">
        <f t="shared" si="143"/>
        <v>11.4</v>
      </c>
      <c r="Y634">
        <f t="shared" si="144"/>
        <v>231</v>
      </c>
      <c r="Z634" t="str">
        <f t="shared" si="148"/>
        <v>彰西</v>
      </c>
    </row>
    <row r="635" spans="1:26" x14ac:dyDescent="0.25">
      <c r="A635" s="118" t="s">
        <v>753</v>
      </c>
      <c r="B635" s="119" t="s">
        <v>175</v>
      </c>
      <c r="C635" s="119">
        <v>660</v>
      </c>
      <c r="D635" s="118" t="s">
        <v>198</v>
      </c>
      <c r="E635" s="118">
        <v>618</v>
      </c>
      <c r="F635" s="118" t="s">
        <v>198</v>
      </c>
      <c r="G635" s="118">
        <v>602</v>
      </c>
      <c r="H635" s="118" t="s">
        <v>205</v>
      </c>
      <c r="I635" s="378">
        <v>660</v>
      </c>
      <c r="J635" s="117"/>
      <c r="K635" s="117"/>
      <c r="L635" t="str">
        <f t="shared" si="135"/>
        <v>IQ#1MTR</v>
      </c>
      <c r="M635" t="str">
        <f t="shared" si="145"/>
        <v/>
      </c>
      <c r="N635" t="str">
        <f t="shared" si="146"/>
        <v>IQ#1MTR</v>
      </c>
      <c r="O635" t="str">
        <f t="shared" si="147"/>
        <v/>
      </c>
      <c r="P635" s="113" t="str">
        <f t="shared" si="136"/>
        <v>IQ#1MTR</v>
      </c>
      <c r="Q635" s="114">
        <f t="shared" si="137"/>
        <v>660</v>
      </c>
      <c r="R635" s="114">
        <f t="shared" si="138"/>
        <v>626.66666666666663</v>
      </c>
      <c r="S635" s="113">
        <f t="shared" si="139"/>
        <v>602</v>
      </c>
      <c r="T635" s="111">
        <f t="shared" ca="1" si="140"/>
        <v>13.03</v>
      </c>
      <c r="U635" s="111">
        <f t="shared" si="141"/>
        <v>635</v>
      </c>
      <c r="V635" t="str">
        <f t="array" ref="V635">INDEX(P:P,MAX(U$3:U635))</f>
        <v>IQ#1MTR</v>
      </c>
      <c r="W635">
        <f t="shared" ca="1" si="142"/>
        <v>25</v>
      </c>
      <c r="X635" t="str">
        <f t="shared" si="143"/>
        <v/>
      </c>
      <c r="Y635">
        <f t="shared" si="144"/>
        <v>660</v>
      </c>
      <c r="Z635" t="str">
        <f t="shared" si="148"/>
        <v>彰東</v>
      </c>
    </row>
    <row r="636" spans="1:26" x14ac:dyDescent="0.25">
      <c r="A636" s="118" t="s">
        <v>753</v>
      </c>
      <c r="B636" s="119" t="s">
        <v>754</v>
      </c>
      <c r="C636" s="119">
        <v>75</v>
      </c>
      <c r="D636" s="118" t="s">
        <v>211</v>
      </c>
      <c r="E636" s="118">
        <v>62</v>
      </c>
      <c r="F636" s="118" t="s">
        <v>184</v>
      </c>
      <c r="G636" s="118">
        <v>65</v>
      </c>
      <c r="H636" s="118" t="s">
        <v>205</v>
      </c>
      <c r="I636" s="378">
        <v>75</v>
      </c>
      <c r="J636" s="117">
        <v>21</v>
      </c>
      <c r="K636" s="117" t="s">
        <v>177</v>
      </c>
      <c r="L636" t="str">
        <f t="shared" si="135"/>
        <v>IQ21</v>
      </c>
      <c r="M636" t="str">
        <f t="shared" si="145"/>
        <v/>
      </c>
      <c r="N636" t="str">
        <f t="shared" si="146"/>
        <v/>
      </c>
      <c r="O636" t="str">
        <f t="shared" si="147"/>
        <v/>
      </c>
      <c r="P636" s="113" t="str">
        <f t="shared" si="136"/>
        <v>IQ21</v>
      </c>
      <c r="Q636" s="114">
        <f t="shared" si="137"/>
        <v>75</v>
      </c>
      <c r="R636" s="114">
        <f t="shared" si="138"/>
        <v>67.333333333333329</v>
      </c>
      <c r="S636" s="113">
        <f t="shared" si="139"/>
        <v>62</v>
      </c>
      <c r="T636" s="111">
        <f t="shared" ca="1" si="140"/>
        <v>1.48</v>
      </c>
      <c r="U636" s="111" t="str">
        <f t="shared" si="141"/>
        <v/>
      </c>
      <c r="V636" t="str">
        <f t="array" ref="V636">INDEX(P:P,MAX(U$3:U636))</f>
        <v>IQ#1MTR</v>
      </c>
      <c r="W636" t="str">
        <f t="shared" ca="1" si="142"/>
        <v/>
      </c>
      <c r="X636">
        <f t="shared" si="143"/>
        <v>11.4</v>
      </c>
      <c r="Y636">
        <f t="shared" si="144"/>
        <v>75</v>
      </c>
      <c r="Z636" t="str">
        <f t="shared" si="148"/>
        <v>彰東</v>
      </c>
    </row>
    <row r="637" spans="1:26" x14ac:dyDescent="0.25">
      <c r="A637" s="118" t="s">
        <v>753</v>
      </c>
      <c r="B637" s="119" t="s">
        <v>755</v>
      </c>
      <c r="C637" s="119">
        <v>205</v>
      </c>
      <c r="D637" s="118" t="s">
        <v>180</v>
      </c>
      <c r="E637" s="118">
        <v>212</v>
      </c>
      <c r="F637" s="118" t="s">
        <v>203</v>
      </c>
      <c r="G637" s="118">
        <v>213</v>
      </c>
      <c r="H637" s="118" t="s">
        <v>203</v>
      </c>
      <c r="I637" s="378">
        <v>213</v>
      </c>
      <c r="J637" s="117">
        <v>21</v>
      </c>
      <c r="K637" s="117" t="s">
        <v>179</v>
      </c>
      <c r="L637" t="str">
        <f t="shared" si="135"/>
        <v>IQ22</v>
      </c>
      <c r="M637" t="str">
        <f t="shared" si="145"/>
        <v/>
      </c>
      <c r="N637" t="str">
        <f t="shared" si="146"/>
        <v/>
      </c>
      <c r="O637" t="str">
        <f t="shared" si="147"/>
        <v/>
      </c>
      <c r="P637" s="113" t="str">
        <f t="shared" si="136"/>
        <v>IQ22</v>
      </c>
      <c r="Q637" s="114">
        <f t="shared" si="137"/>
        <v>213</v>
      </c>
      <c r="R637" s="114">
        <f t="shared" si="138"/>
        <v>210</v>
      </c>
      <c r="S637" s="113">
        <f t="shared" si="139"/>
        <v>205</v>
      </c>
      <c r="T637" s="111">
        <f t="shared" ca="1" si="140"/>
        <v>4.21</v>
      </c>
      <c r="U637" s="111" t="str">
        <f t="shared" si="141"/>
        <v/>
      </c>
      <c r="V637" t="str">
        <f t="array" ref="V637">INDEX(P:P,MAX(U$3:U637))</f>
        <v>IQ#1MTR</v>
      </c>
      <c r="W637" t="str">
        <f t="shared" ca="1" si="142"/>
        <v/>
      </c>
      <c r="X637">
        <f t="shared" si="143"/>
        <v>11.4</v>
      </c>
      <c r="Y637">
        <f t="shared" si="144"/>
        <v>213</v>
      </c>
      <c r="Z637" t="str">
        <f t="shared" si="148"/>
        <v>彰東</v>
      </c>
    </row>
    <row r="638" spans="1:26" x14ac:dyDescent="0.25">
      <c r="A638" s="118" t="s">
        <v>753</v>
      </c>
      <c r="B638" s="119" t="s">
        <v>756</v>
      </c>
      <c r="C638" s="119">
        <v>146</v>
      </c>
      <c r="D638" s="118" t="s">
        <v>179</v>
      </c>
      <c r="E638" s="118">
        <v>89</v>
      </c>
      <c r="F638" s="118" t="s">
        <v>177</v>
      </c>
      <c r="G638" s="118">
        <v>120</v>
      </c>
      <c r="H638" s="118" t="s">
        <v>179</v>
      </c>
      <c r="I638" s="378">
        <v>146</v>
      </c>
      <c r="J638" s="117">
        <v>73</v>
      </c>
      <c r="K638" s="117" t="s">
        <v>179</v>
      </c>
      <c r="L638" t="str">
        <f t="shared" si="135"/>
        <v>IQ23</v>
      </c>
      <c r="M638" t="str">
        <f t="shared" si="145"/>
        <v/>
      </c>
      <c r="N638" t="str">
        <f t="shared" si="146"/>
        <v/>
      </c>
      <c r="O638" t="str">
        <f t="shared" si="147"/>
        <v/>
      </c>
      <c r="P638" s="113" t="str">
        <f t="shared" si="136"/>
        <v>IQ23</v>
      </c>
      <c r="Q638" s="114">
        <f t="shared" si="137"/>
        <v>146</v>
      </c>
      <c r="R638" s="114">
        <f t="shared" si="138"/>
        <v>118.33333333333333</v>
      </c>
      <c r="S638" s="113">
        <f t="shared" si="139"/>
        <v>89</v>
      </c>
      <c r="T638" s="111">
        <f t="shared" ca="1" si="140"/>
        <v>2.88</v>
      </c>
      <c r="U638" s="111" t="str">
        <f t="shared" si="141"/>
        <v/>
      </c>
      <c r="V638" t="str">
        <f t="array" ref="V638">INDEX(P:P,MAX(U$3:U638))</f>
        <v>IQ#1MTR</v>
      </c>
      <c r="W638" t="str">
        <f t="shared" ca="1" si="142"/>
        <v/>
      </c>
      <c r="X638">
        <f t="shared" si="143"/>
        <v>11.4</v>
      </c>
      <c r="Y638">
        <f t="shared" si="144"/>
        <v>146</v>
      </c>
      <c r="Z638" t="str">
        <f t="shared" si="148"/>
        <v>彰東</v>
      </c>
    </row>
    <row r="639" spans="1:26" x14ac:dyDescent="0.25">
      <c r="A639" s="118" t="s">
        <v>753</v>
      </c>
      <c r="B639" s="119" t="s">
        <v>757</v>
      </c>
      <c r="C639" s="119">
        <v>197</v>
      </c>
      <c r="D639" s="118" t="s">
        <v>198</v>
      </c>
      <c r="E639" s="118">
        <v>199</v>
      </c>
      <c r="F639" s="118" t="s">
        <v>198</v>
      </c>
      <c r="G639" s="118">
        <v>190</v>
      </c>
      <c r="H639" s="118" t="s">
        <v>198</v>
      </c>
      <c r="I639" s="378">
        <v>199</v>
      </c>
      <c r="J639" s="117">
        <v>32</v>
      </c>
      <c r="K639" s="117" t="s">
        <v>183</v>
      </c>
      <c r="L639" t="str">
        <f t="shared" si="135"/>
        <v>IQ24</v>
      </c>
      <c r="M639" t="str">
        <f t="shared" si="145"/>
        <v/>
      </c>
      <c r="N639" t="str">
        <f t="shared" si="146"/>
        <v/>
      </c>
      <c r="O639" t="str">
        <f t="shared" si="147"/>
        <v/>
      </c>
      <c r="P639" s="113" t="str">
        <f t="shared" si="136"/>
        <v>IQ24</v>
      </c>
      <c r="Q639" s="114">
        <f t="shared" si="137"/>
        <v>199</v>
      </c>
      <c r="R639" s="114">
        <f t="shared" si="138"/>
        <v>195.33333333333334</v>
      </c>
      <c r="S639" s="113">
        <f t="shared" si="139"/>
        <v>190</v>
      </c>
      <c r="T639" s="111">
        <f t="shared" ca="1" si="140"/>
        <v>3.93</v>
      </c>
      <c r="U639" s="111" t="str">
        <f t="shared" si="141"/>
        <v/>
      </c>
      <c r="V639" t="str">
        <f t="array" ref="V639">INDEX(P:P,MAX(U$3:U639))</f>
        <v>IQ#1MTR</v>
      </c>
      <c r="W639" t="str">
        <f t="shared" ca="1" si="142"/>
        <v/>
      </c>
      <c r="X639">
        <f t="shared" si="143"/>
        <v>11.4</v>
      </c>
      <c r="Y639">
        <f t="shared" si="144"/>
        <v>199</v>
      </c>
      <c r="Z639" t="str">
        <f t="shared" si="148"/>
        <v>彰東</v>
      </c>
    </row>
    <row r="640" spans="1:26" x14ac:dyDescent="0.25">
      <c r="A640" s="118" t="s">
        <v>753</v>
      </c>
      <c r="B640" s="119" t="s">
        <v>758</v>
      </c>
      <c r="C640" s="119">
        <v>111</v>
      </c>
      <c r="D640" s="118" t="s">
        <v>179</v>
      </c>
      <c r="E640" s="118">
        <v>111</v>
      </c>
      <c r="F640" s="118" t="s">
        <v>179</v>
      </c>
      <c r="G640" s="118">
        <v>72</v>
      </c>
      <c r="H640" s="118" t="s">
        <v>179</v>
      </c>
      <c r="I640" s="378">
        <v>111</v>
      </c>
      <c r="J640" s="117">
        <v>55</v>
      </c>
      <c r="K640" s="117" t="s">
        <v>196</v>
      </c>
      <c r="L640" t="str">
        <f t="shared" si="135"/>
        <v>IQ25</v>
      </c>
      <c r="M640" t="str">
        <f t="shared" si="145"/>
        <v/>
      </c>
      <c r="N640" t="str">
        <f t="shared" si="146"/>
        <v/>
      </c>
      <c r="O640" t="str">
        <f t="shared" si="147"/>
        <v/>
      </c>
      <c r="P640" s="113" t="str">
        <f t="shared" si="136"/>
        <v>IQ25</v>
      </c>
      <c r="Q640" s="114">
        <f t="shared" si="137"/>
        <v>111</v>
      </c>
      <c r="R640" s="114">
        <f t="shared" si="138"/>
        <v>98</v>
      </c>
      <c r="S640" s="113">
        <f t="shared" si="139"/>
        <v>72</v>
      </c>
      <c r="T640" s="111">
        <f t="shared" ca="1" si="140"/>
        <v>2.19</v>
      </c>
      <c r="U640" s="111" t="str">
        <f t="shared" si="141"/>
        <v/>
      </c>
      <c r="V640" t="str">
        <f t="array" ref="V640">INDEX(P:P,MAX(U$3:U640))</f>
        <v>IQ#1MTR</v>
      </c>
      <c r="W640" t="str">
        <f t="shared" ca="1" si="142"/>
        <v/>
      </c>
      <c r="X640">
        <f t="shared" si="143"/>
        <v>11.4</v>
      </c>
      <c r="Y640">
        <f t="shared" si="144"/>
        <v>111</v>
      </c>
      <c r="Z640" t="str">
        <f t="shared" si="148"/>
        <v>彰東</v>
      </c>
    </row>
    <row r="641" spans="1:26" x14ac:dyDescent="0.25">
      <c r="A641" s="118" t="s">
        <v>753</v>
      </c>
      <c r="B641" s="119" t="s">
        <v>187</v>
      </c>
      <c r="C641" s="119">
        <v>546</v>
      </c>
      <c r="D641" s="118" t="s">
        <v>198</v>
      </c>
      <c r="E641" s="118">
        <v>524</v>
      </c>
      <c r="F641" s="118" t="s">
        <v>205</v>
      </c>
      <c r="G641" s="118">
        <v>515</v>
      </c>
      <c r="H641" s="118" t="s">
        <v>205</v>
      </c>
      <c r="I641" s="378">
        <v>546</v>
      </c>
      <c r="J641" s="117"/>
      <c r="K641" s="117"/>
      <c r="L641" t="str">
        <f t="shared" si="135"/>
        <v>IQ#2MTR</v>
      </c>
      <c r="M641" t="str">
        <f t="shared" si="145"/>
        <v/>
      </c>
      <c r="N641" t="str">
        <f t="shared" si="146"/>
        <v>IQ#2MTR</v>
      </c>
      <c r="O641" t="str">
        <f t="shared" si="147"/>
        <v/>
      </c>
      <c r="P641" s="113" t="str">
        <f t="shared" si="136"/>
        <v>IQ#2MTR</v>
      </c>
      <c r="Q641" s="114">
        <f t="shared" si="137"/>
        <v>546</v>
      </c>
      <c r="R641" s="114">
        <f t="shared" si="138"/>
        <v>528.33333333333337</v>
      </c>
      <c r="S641" s="113">
        <f t="shared" si="139"/>
        <v>515</v>
      </c>
      <c r="T641" s="111">
        <f t="shared" ca="1" si="140"/>
        <v>10.78</v>
      </c>
      <c r="U641" s="111">
        <f t="shared" si="141"/>
        <v>641</v>
      </c>
      <c r="V641" t="str">
        <f t="array" ref="V641">INDEX(P:P,MAX(U$3:U641))</f>
        <v>IQ#2MTR</v>
      </c>
      <c r="W641">
        <f t="shared" ca="1" si="142"/>
        <v>25</v>
      </c>
      <c r="X641" t="str">
        <f t="shared" si="143"/>
        <v/>
      </c>
      <c r="Y641">
        <f t="shared" si="144"/>
        <v>546</v>
      </c>
      <c r="Z641" t="str">
        <f t="shared" si="148"/>
        <v>彰東</v>
      </c>
    </row>
    <row r="642" spans="1:26" x14ac:dyDescent="0.25">
      <c r="A642" s="118" t="s">
        <v>753</v>
      </c>
      <c r="B642" s="119" t="s">
        <v>759</v>
      </c>
      <c r="C642" s="119">
        <v>175</v>
      </c>
      <c r="D642" s="118" t="s">
        <v>205</v>
      </c>
      <c r="E642" s="118">
        <v>137</v>
      </c>
      <c r="F642" s="118" t="s">
        <v>205</v>
      </c>
      <c r="G642" s="118">
        <v>158</v>
      </c>
      <c r="H642" s="118" t="s">
        <v>205</v>
      </c>
      <c r="I642" s="378">
        <v>175</v>
      </c>
      <c r="J642" s="117">
        <v>42</v>
      </c>
      <c r="K642" s="117" t="s">
        <v>184</v>
      </c>
      <c r="L642" t="str">
        <f t="shared" si="135"/>
        <v>IQ26</v>
      </c>
      <c r="M642" t="str">
        <f t="shared" si="145"/>
        <v/>
      </c>
      <c r="N642" t="str">
        <f t="shared" si="146"/>
        <v/>
      </c>
      <c r="O642" t="str">
        <f t="shared" si="147"/>
        <v/>
      </c>
      <c r="P642" s="113" t="str">
        <f t="shared" si="136"/>
        <v>IQ26</v>
      </c>
      <c r="Q642" s="114">
        <f t="shared" si="137"/>
        <v>175</v>
      </c>
      <c r="R642" s="114">
        <f t="shared" si="138"/>
        <v>156.66666666666666</v>
      </c>
      <c r="S642" s="113">
        <f t="shared" si="139"/>
        <v>137</v>
      </c>
      <c r="T642" s="111">
        <f t="shared" ca="1" si="140"/>
        <v>3.46</v>
      </c>
      <c r="U642" s="111" t="str">
        <f t="shared" si="141"/>
        <v/>
      </c>
      <c r="V642" t="str">
        <f t="array" ref="V642">INDEX(P:P,MAX(U$3:U642))</f>
        <v>IQ#2MTR</v>
      </c>
      <c r="W642" t="str">
        <f t="shared" ca="1" si="142"/>
        <v/>
      </c>
      <c r="X642">
        <f t="shared" si="143"/>
        <v>11.4</v>
      </c>
      <c r="Y642">
        <f t="shared" si="144"/>
        <v>175</v>
      </c>
      <c r="Z642" t="str">
        <f t="shared" si="148"/>
        <v>彰東</v>
      </c>
    </row>
    <row r="643" spans="1:26" x14ac:dyDescent="0.25">
      <c r="A643" s="118" t="s">
        <v>753</v>
      </c>
      <c r="B643" s="119" t="s">
        <v>760</v>
      </c>
      <c r="C643" s="119">
        <v>59</v>
      </c>
      <c r="D643" s="118" t="s">
        <v>177</v>
      </c>
      <c r="E643" s="118">
        <v>80</v>
      </c>
      <c r="F643" s="118" t="s">
        <v>177</v>
      </c>
      <c r="G643" s="118">
        <v>54</v>
      </c>
      <c r="H643" s="118" t="s">
        <v>177</v>
      </c>
      <c r="I643" s="378">
        <v>80</v>
      </c>
      <c r="J643" s="117">
        <v>32</v>
      </c>
      <c r="K643" s="117" t="s">
        <v>177</v>
      </c>
      <c r="L643" t="str">
        <f t="shared" ref="L643:L706" si="149">IF(COUNTIF(B643,"*TR*")&gt;0,SUBSTITUTE(RIGHT(TRIM(A643),2) &amp; B643," ",""),MID(B643,FIND("(",B643)+1,4))</f>
        <v>IQ29</v>
      </c>
      <c r="M643" t="str">
        <f t="shared" si="145"/>
        <v/>
      </c>
      <c r="N643" t="str">
        <f t="shared" si="146"/>
        <v/>
      </c>
      <c r="O643" t="str">
        <f t="shared" si="147"/>
        <v/>
      </c>
      <c r="P643" s="113" t="str">
        <f t="shared" ref="P643:P706" si="150">IF(COUNTIF(B643,"*TR*")&gt;0,SUBSTITUTE(RIGHT(TRIM(A643),2) &amp; B643," ",""),MID(B643,FIND("(",B643)+1,4))</f>
        <v>IQ29</v>
      </c>
      <c r="Q643" s="114">
        <f t="shared" ref="Q643:Q706" si="151">VALUE(I643)</f>
        <v>80</v>
      </c>
      <c r="R643" s="114">
        <f t="shared" ref="R643:R706" si="152">AVERAGE(C643*1,E643*1,G643*1)</f>
        <v>64.333333333333329</v>
      </c>
      <c r="S643" s="113">
        <f t="shared" ref="S643:S706" si="153">MIN(C643*1,E643*1,G643*1)</f>
        <v>54</v>
      </c>
      <c r="T643" s="111">
        <f t="shared" ref="T643:T706" ca="1" si="154">IF(LEFT(TRIM(B643),1)="#",ROUND(OFFSET(X643,1,0,1,1)*Y643*SQRT(3)/1000,2),ROUND(Q643*X643*SQRT(3)/1000,2))</f>
        <v>1.58</v>
      </c>
      <c r="U643" s="111" t="str">
        <f t="shared" ref="U643:U706" si="155">IF(ISNUMBER(FIND("#",B643)),ROW(),"")</f>
        <v/>
      </c>
      <c r="V643" t="str">
        <f t="array" ref="V643">INDEX(P:P,MAX(U$3:U643))</f>
        <v>IQ#2MTR</v>
      </c>
      <c r="W643" t="str">
        <f t="shared" ref="W643:W706" ca="1" si="156">IF(LEFT(TRIM(B643),1)="#",IF(ISNUMBER(FIND("DTR",B643)),IF(MID(OFFSET(P643,1,0,1,1),3,1)*1&lt;5,30,60),25),"")</f>
        <v/>
      </c>
      <c r="X643">
        <f t="shared" ref="X643:X706" si="157">IF(LEFT(TRIM(B643),1)= "#","",IF(MID(P643,3,1)*1&lt;5,11.4,22.8))</f>
        <v>11.4</v>
      </c>
      <c r="Y643">
        <f t="shared" ref="Y643:Y706" si="158">SUMIF(L:L,L643,I:I)</f>
        <v>80</v>
      </c>
      <c r="Z643" t="str">
        <f t="shared" si="148"/>
        <v>彰東</v>
      </c>
    </row>
    <row r="644" spans="1:26" x14ac:dyDescent="0.25">
      <c r="A644" s="118" t="s">
        <v>753</v>
      </c>
      <c r="B644" s="119" t="s">
        <v>761</v>
      </c>
      <c r="C644" s="119">
        <v>182</v>
      </c>
      <c r="D644" s="118" t="s">
        <v>183</v>
      </c>
      <c r="E644" s="118">
        <v>125</v>
      </c>
      <c r="F644" s="118" t="s">
        <v>183</v>
      </c>
      <c r="G644" s="118">
        <v>149</v>
      </c>
      <c r="H644" s="118" t="s">
        <v>183</v>
      </c>
      <c r="I644" s="378">
        <v>182</v>
      </c>
      <c r="J644" s="117">
        <v>60</v>
      </c>
      <c r="K644" s="117" t="s">
        <v>177</v>
      </c>
      <c r="L644" t="str">
        <f t="shared" si="149"/>
        <v>IQ30</v>
      </c>
      <c r="M644" t="str">
        <f t="shared" ref="M644:M707" si="159">IF(LEFT(B644,1)="#",IF(LEN(B644)&lt;&gt;5,MID(B644,6,3),""),"")</f>
        <v/>
      </c>
      <c r="N644" t="str">
        <f t="shared" ref="N644:N707" si="160">IF(LEFT(B644,1)="#",IF(LEN(B644)=5,RIGHT(A644,2)&amp;B644,RIGHT(A644,2)&amp;LEFT(B644,2)&amp;"DTR"),"")</f>
        <v/>
      </c>
      <c r="O644" t="str">
        <f t="shared" ref="O644:O707" si="161">IF(LEFT(B644,1)="#",IF(LEN(B644)&lt;&gt;5,IF(LEN(B644)&lt;&gt;7,MID(B644,6,3),"("&amp;MID(B644,3,2)&amp;")"),""),"")</f>
        <v/>
      </c>
      <c r="P644" s="113" t="str">
        <f t="shared" si="150"/>
        <v>IQ30</v>
      </c>
      <c r="Q644" s="114">
        <f t="shared" si="151"/>
        <v>182</v>
      </c>
      <c r="R644" s="114">
        <f t="shared" si="152"/>
        <v>152</v>
      </c>
      <c r="S644" s="113">
        <f t="shared" si="153"/>
        <v>125</v>
      </c>
      <c r="T644" s="111">
        <f t="shared" ca="1" si="154"/>
        <v>3.59</v>
      </c>
      <c r="U644" s="111" t="str">
        <f t="shared" si="155"/>
        <v/>
      </c>
      <c r="V644" t="str">
        <f t="array" ref="V644">INDEX(P:P,MAX(U$3:U644))</f>
        <v>IQ#2MTR</v>
      </c>
      <c r="W644" t="str">
        <f t="shared" ca="1" si="156"/>
        <v/>
      </c>
      <c r="X644">
        <f t="shared" si="157"/>
        <v>11.4</v>
      </c>
      <c r="Y644">
        <f t="shared" si="158"/>
        <v>182</v>
      </c>
      <c r="Z644" t="str">
        <f t="shared" ref="Z644:Z707" si="162">LEFT(A644,2)</f>
        <v>彰東</v>
      </c>
    </row>
    <row r="645" spans="1:26" x14ac:dyDescent="0.25">
      <c r="A645" s="118" t="s">
        <v>753</v>
      </c>
      <c r="B645" s="119" t="s">
        <v>762</v>
      </c>
      <c r="C645" s="119">
        <v>72</v>
      </c>
      <c r="D645" s="118" t="s">
        <v>183</v>
      </c>
      <c r="E645" s="118">
        <v>61</v>
      </c>
      <c r="F645" s="118" t="s">
        <v>183</v>
      </c>
      <c r="G645" s="118">
        <v>68</v>
      </c>
      <c r="H645" s="118" t="s">
        <v>183</v>
      </c>
      <c r="I645" s="378">
        <v>72</v>
      </c>
      <c r="J645" s="117">
        <v>30</v>
      </c>
      <c r="K645" s="117" t="s">
        <v>179</v>
      </c>
      <c r="L645" t="str">
        <f t="shared" si="149"/>
        <v>IQ27</v>
      </c>
      <c r="M645" t="str">
        <f t="shared" si="159"/>
        <v/>
      </c>
      <c r="N645" t="str">
        <f t="shared" si="160"/>
        <v/>
      </c>
      <c r="O645" t="str">
        <f t="shared" si="161"/>
        <v/>
      </c>
      <c r="P645" s="113" t="str">
        <f t="shared" si="150"/>
        <v>IQ27</v>
      </c>
      <c r="Q645" s="114">
        <f t="shared" si="151"/>
        <v>72</v>
      </c>
      <c r="R645" s="114">
        <f t="shared" si="152"/>
        <v>67</v>
      </c>
      <c r="S645" s="113">
        <f t="shared" si="153"/>
        <v>61</v>
      </c>
      <c r="T645" s="111">
        <f t="shared" ca="1" si="154"/>
        <v>1.42</v>
      </c>
      <c r="U645" s="111" t="str">
        <f t="shared" si="155"/>
        <v/>
      </c>
      <c r="V645" t="str">
        <f t="array" ref="V645">INDEX(P:P,MAX(U$3:U645))</f>
        <v>IQ#2MTR</v>
      </c>
      <c r="W645" t="str">
        <f t="shared" ca="1" si="156"/>
        <v/>
      </c>
      <c r="X645">
        <f t="shared" si="157"/>
        <v>11.4</v>
      </c>
      <c r="Y645">
        <f t="shared" si="158"/>
        <v>72</v>
      </c>
      <c r="Z645" t="str">
        <f t="shared" si="162"/>
        <v>彰東</v>
      </c>
    </row>
    <row r="646" spans="1:26" x14ac:dyDescent="0.25">
      <c r="A646" s="118" t="s">
        <v>753</v>
      </c>
      <c r="B646" s="119" t="s">
        <v>763</v>
      </c>
      <c r="C646" s="119">
        <v>137</v>
      </c>
      <c r="D646" s="118" t="s">
        <v>180</v>
      </c>
      <c r="E646" s="118">
        <v>176</v>
      </c>
      <c r="F646" s="118" t="s">
        <v>183</v>
      </c>
      <c r="G646" s="118">
        <v>185</v>
      </c>
      <c r="H646" s="118" t="s">
        <v>180</v>
      </c>
      <c r="I646" s="378">
        <v>185</v>
      </c>
      <c r="J646" s="117">
        <v>68</v>
      </c>
      <c r="K646" s="117" t="s">
        <v>188</v>
      </c>
      <c r="L646" t="str">
        <f t="shared" si="149"/>
        <v>IQ28</v>
      </c>
      <c r="M646" t="str">
        <f t="shared" si="159"/>
        <v/>
      </c>
      <c r="N646" t="str">
        <f t="shared" si="160"/>
        <v/>
      </c>
      <c r="O646" t="str">
        <f t="shared" si="161"/>
        <v/>
      </c>
      <c r="P646" s="113" t="str">
        <f t="shared" si="150"/>
        <v>IQ28</v>
      </c>
      <c r="Q646" s="114">
        <f t="shared" si="151"/>
        <v>185</v>
      </c>
      <c r="R646" s="114">
        <f t="shared" si="152"/>
        <v>166</v>
      </c>
      <c r="S646" s="113">
        <f t="shared" si="153"/>
        <v>137</v>
      </c>
      <c r="T646" s="111">
        <f t="shared" ca="1" si="154"/>
        <v>3.65</v>
      </c>
      <c r="U646" s="111" t="str">
        <f t="shared" si="155"/>
        <v/>
      </c>
      <c r="V646" t="str">
        <f t="array" ref="V646">INDEX(P:P,MAX(U$3:U646))</f>
        <v>IQ#2MTR</v>
      </c>
      <c r="W646" t="str">
        <f t="shared" ca="1" si="156"/>
        <v/>
      </c>
      <c r="X646">
        <f t="shared" si="157"/>
        <v>11.4</v>
      </c>
      <c r="Y646">
        <f t="shared" si="158"/>
        <v>185</v>
      </c>
      <c r="Z646" t="str">
        <f t="shared" si="162"/>
        <v>彰東</v>
      </c>
    </row>
    <row r="647" spans="1:26" x14ac:dyDescent="0.25">
      <c r="A647" s="118" t="s">
        <v>753</v>
      </c>
      <c r="B647" s="119" t="s">
        <v>197</v>
      </c>
      <c r="C647" s="119">
        <v>386</v>
      </c>
      <c r="D647" s="118" t="s">
        <v>188</v>
      </c>
      <c r="E647" s="118">
        <v>429</v>
      </c>
      <c r="F647" s="118" t="s">
        <v>176</v>
      </c>
      <c r="G647" s="118">
        <v>463</v>
      </c>
      <c r="H647" s="118" t="s">
        <v>180</v>
      </c>
      <c r="I647" s="378">
        <v>463</v>
      </c>
      <c r="J647" s="117"/>
      <c r="K647" s="117"/>
      <c r="L647" t="str">
        <f t="shared" si="149"/>
        <v>IQ#3MTR</v>
      </c>
      <c r="M647" t="str">
        <f t="shared" si="159"/>
        <v/>
      </c>
      <c r="N647" t="str">
        <f t="shared" si="160"/>
        <v>IQ#3MTR</v>
      </c>
      <c r="O647" t="str">
        <f t="shared" si="161"/>
        <v/>
      </c>
      <c r="P647" s="113" t="str">
        <f t="shared" si="150"/>
        <v>IQ#3MTR</v>
      </c>
      <c r="Q647" s="114">
        <f t="shared" si="151"/>
        <v>463</v>
      </c>
      <c r="R647" s="114">
        <f t="shared" si="152"/>
        <v>426</v>
      </c>
      <c r="S647" s="113">
        <f t="shared" si="153"/>
        <v>386</v>
      </c>
      <c r="T647" s="111">
        <f t="shared" ca="1" si="154"/>
        <v>9.14</v>
      </c>
      <c r="U647" s="111">
        <f t="shared" si="155"/>
        <v>647</v>
      </c>
      <c r="V647" t="str">
        <f t="array" ref="V647">INDEX(P:P,MAX(U$3:U647))</f>
        <v>IQ#3MTR</v>
      </c>
      <c r="W647">
        <f t="shared" ca="1" si="156"/>
        <v>25</v>
      </c>
      <c r="X647" t="str">
        <f t="shared" si="157"/>
        <v/>
      </c>
      <c r="Y647">
        <f t="shared" si="158"/>
        <v>463</v>
      </c>
      <c r="Z647" t="str">
        <f t="shared" si="162"/>
        <v>彰東</v>
      </c>
    </row>
    <row r="648" spans="1:26" x14ac:dyDescent="0.25">
      <c r="A648" s="118" t="s">
        <v>753</v>
      </c>
      <c r="B648" s="119" t="s">
        <v>764</v>
      </c>
      <c r="C648" s="119">
        <v>75</v>
      </c>
      <c r="D648" s="118" t="s">
        <v>188</v>
      </c>
      <c r="E648" s="118">
        <v>77</v>
      </c>
      <c r="F648" s="118" t="s">
        <v>177</v>
      </c>
      <c r="G648" s="118">
        <v>73</v>
      </c>
      <c r="H648" s="118" t="s">
        <v>205</v>
      </c>
      <c r="I648" s="378">
        <v>77</v>
      </c>
      <c r="J648" s="117">
        <v>29</v>
      </c>
      <c r="K648" s="117" t="s">
        <v>183</v>
      </c>
      <c r="L648" t="str">
        <f t="shared" si="149"/>
        <v>IQ31</v>
      </c>
      <c r="M648" t="str">
        <f t="shared" si="159"/>
        <v/>
      </c>
      <c r="N648" t="str">
        <f t="shared" si="160"/>
        <v/>
      </c>
      <c r="O648" t="str">
        <f t="shared" si="161"/>
        <v/>
      </c>
      <c r="P648" s="113" t="str">
        <f t="shared" si="150"/>
        <v>IQ31</v>
      </c>
      <c r="Q648" s="114">
        <f t="shared" si="151"/>
        <v>77</v>
      </c>
      <c r="R648" s="114">
        <f t="shared" si="152"/>
        <v>75</v>
      </c>
      <c r="S648" s="113">
        <f t="shared" si="153"/>
        <v>73</v>
      </c>
      <c r="T648" s="111">
        <f t="shared" ca="1" si="154"/>
        <v>1.52</v>
      </c>
      <c r="U648" s="111" t="str">
        <f t="shared" si="155"/>
        <v/>
      </c>
      <c r="V648" t="str">
        <f t="array" ref="V648">INDEX(P:P,MAX(U$3:U648))</f>
        <v>IQ#3MTR</v>
      </c>
      <c r="W648" t="str">
        <f t="shared" ca="1" si="156"/>
        <v/>
      </c>
      <c r="X648">
        <f t="shared" si="157"/>
        <v>11.4</v>
      </c>
      <c r="Y648">
        <f t="shared" si="158"/>
        <v>77</v>
      </c>
      <c r="Z648" t="str">
        <f t="shared" si="162"/>
        <v>彰東</v>
      </c>
    </row>
    <row r="649" spans="1:26" x14ac:dyDescent="0.25">
      <c r="A649" s="118" t="s">
        <v>753</v>
      </c>
      <c r="B649" s="119" t="s">
        <v>765</v>
      </c>
      <c r="C649" s="119">
        <v>83</v>
      </c>
      <c r="D649" s="118" t="s">
        <v>180</v>
      </c>
      <c r="E649" s="118">
        <v>105</v>
      </c>
      <c r="F649" s="118" t="s">
        <v>183</v>
      </c>
      <c r="G649" s="118">
        <v>198</v>
      </c>
      <c r="H649" s="118" t="s">
        <v>180</v>
      </c>
      <c r="I649" s="378">
        <v>198</v>
      </c>
      <c r="J649" s="117">
        <v>117</v>
      </c>
      <c r="K649" s="117" t="s">
        <v>180</v>
      </c>
      <c r="L649" t="str">
        <f t="shared" si="149"/>
        <v>IQ32</v>
      </c>
      <c r="M649" t="str">
        <f t="shared" si="159"/>
        <v/>
      </c>
      <c r="N649" t="str">
        <f t="shared" si="160"/>
        <v/>
      </c>
      <c r="O649" t="str">
        <f t="shared" si="161"/>
        <v/>
      </c>
      <c r="P649" s="113" t="str">
        <f t="shared" si="150"/>
        <v>IQ32</v>
      </c>
      <c r="Q649" s="114">
        <f t="shared" si="151"/>
        <v>198</v>
      </c>
      <c r="R649" s="114">
        <f t="shared" si="152"/>
        <v>128.66666666666666</v>
      </c>
      <c r="S649" s="113">
        <f t="shared" si="153"/>
        <v>83</v>
      </c>
      <c r="T649" s="111">
        <f t="shared" ca="1" si="154"/>
        <v>3.91</v>
      </c>
      <c r="U649" s="111" t="str">
        <f t="shared" si="155"/>
        <v/>
      </c>
      <c r="V649" t="str">
        <f t="array" ref="V649">INDEX(P:P,MAX(U$3:U649))</f>
        <v>IQ#3MTR</v>
      </c>
      <c r="W649" t="str">
        <f t="shared" ca="1" si="156"/>
        <v/>
      </c>
      <c r="X649">
        <f t="shared" si="157"/>
        <v>11.4</v>
      </c>
      <c r="Y649">
        <f t="shared" si="158"/>
        <v>198</v>
      </c>
      <c r="Z649" t="str">
        <f t="shared" si="162"/>
        <v>彰東</v>
      </c>
    </row>
    <row r="650" spans="1:26" x14ac:dyDescent="0.25">
      <c r="A650" s="118" t="s">
        <v>753</v>
      </c>
      <c r="B650" s="119" t="s">
        <v>766</v>
      </c>
      <c r="C650" s="119">
        <v>75</v>
      </c>
      <c r="D650" s="118" t="s">
        <v>183</v>
      </c>
      <c r="E650" s="118">
        <v>89</v>
      </c>
      <c r="F650" s="118" t="s">
        <v>198</v>
      </c>
      <c r="G650" s="118">
        <v>75</v>
      </c>
      <c r="H650" s="118" t="s">
        <v>207</v>
      </c>
      <c r="I650" s="378">
        <v>89</v>
      </c>
      <c r="J650" s="117">
        <v>41</v>
      </c>
      <c r="K650" s="117" t="s">
        <v>176</v>
      </c>
      <c r="L650" t="str">
        <f t="shared" si="149"/>
        <v>IQ33</v>
      </c>
      <c r="M650" t="str">
        <f t="shared" si="159"/>
        <v/>
      </c>
      <c r="N650" t="str">
        <f t="shared" si="160"/>
        <v/>
      </c>
      <c r="O650" t="str">
        <f t="shared" si="161"/>
        <v/>
      </c>
      <c r="P650" s="113" t="str">
        <f t="shared" si="150"/>
        <v>IQ33</v>
      </c>
      <c r="Q650" s="114">
        <f t="shared" si="151"/>
        <v>89</v>
      </c>
      <c r="R650" s="114">
        <f t="shared" si="152"/>
        <v>79.666666666666671</v>
      </c>
      <c r="S650" s="113">
        <f t="shared" si="153"/>
        <v>75</v>
      </c>
      <c r="T650" s="111">
        <f t="shared" ca="1" si="154"/>
        <v>1.76</v>
      </c>
      <c r="U650" s="111" t="str">
        <f t="shared" si="155"/>
        <v/>
      </c>
      <c r="V650" t="str">
        <f t="array" ref="V650">INDEX(P:P,MAX(U$3:U650))</f>
        <v>IQ#3MTR</v>
      </c>
      <c r="W650" t="str">
        <f t="shared" ca="1" si="156"/>
        <v/>
      </c>
      <c r="X650">
        <f t="shared" si="157"/>
        <v>11.4</v>
      </c>
      <c r="Y650">
        <f t="shared" si="158"/>
        <v>89</v>
      </c>
      <c r="Z650" t="str">
        <f t="shared" si="162"/>
        <v>彰東</v>
      </c>
    </row>
    <row r="651" spans="1:26" x14ac:dyDescent="0.25">
      <c r="A651" s="118" t="s">
        <v>753</v>
      </c>
      <c r="B651" s="119" t="s">
        <v>767</v>
      </c>
      <c r="C651" s="119">
        <v>91</v>
      </c>
      <c r="D651" s="118" t="s">
        <v>188</v>
      </c>
      <c r="E651" s="118">
        <v>110</v>
      </c>
      <c r="F651" s="118" t="s">
        <v>176</v>
      </c>
      <c r="G651" s="118">
        <v>93</v>
      </c>
      <c r="H651" s="118" t="s">
        <v>188</v>
      </c>
      <c r="I651" s="378">
        <v>110</v>
      </c>
      <c r="J651" s="117">
        <v>45</v>
      </c>
      <c r="K651" s="117" t="s">
        <v>176</v>
      </c>
      <c r="L651" t="str">
        <f t="shared" si="149"/>
        <v>IQ34</v>
      </c>
      <c r="M651" t="str">
        <f t="shared" si="159"/>
        <v/>
      </c>
      <c r="N651" t="str">
        <f t="shared" si="160"/>
        <v/>
      </c>
      <c r="O651" t="str">
        <f t="shared" si="161"/>
        <v/>
      </c>
      <c r="P651" s="113" t="str">
        <f t="shared" si="150"/>
        <v>IQ34</v>
      </c>
      <c r="Q651" s="114">
        <f t="shared" si="151"/>
        <v>110</v>
      </c>
      <c r="R651" s="114">
        <f t="shared" si="152"/>
        <v>98</v>
      </c>
      <c r="S651" s="113">
        <f t="shared" si="153"/>
        <v>91</v>
      </c>
      <c r="T651" s="111">
        <f t="shared" ca="1" si="154"/>
        <v>2.17</v>
      </c>
      <c r="U651" s="111" t="str">
        <f t="shared" si="155"/>
        <v/>
      </c>
      <c r="V651" t="str">
        <f t="array" ref="V651">INDEX(P:P,MAX(U$3:U651))</f>
        <v>IQ#3MTR</v>
      </c>
      <c r="W651" t="str">
        <f t="shared" ca="1" si="156"/>
        <v/>
      </c>
      <c r="X651">
        <f t="shared" si="157"/>
        <v>11.4</v>
      </c>
      <c r="Y651">
        <f t="shared" si="158"/>
        <v>110</v>
      </c>
      <c r="Z651" t="str">
        <f t="shared" si="162"/>
        <v>彰東</v>
      </c>
    </row>
    <row r="652" spans="1:26" x14ac:dyDescent="0.25">
      <c r="A652" s="118" t="s">
        <v>753</v>
      </c>
      <c r="B652" s="119" t="s">
        <v>768</v>
      </c>
      <c r="C652" s="119">
        <v>90</v>
      </c>
      <c r="D652" s="118" t="s">
        <v>176</v>
      </c>
      <c r="E652" s="118">
        <v>84</v>
      </c>
      <c r="F652" s="118" t="s">
        <v>177</v>
      </c>
      <c r="G652" s="118">
        <v>69</v>
      </c>
      <c r="H652" s="118" t="s">
        <v>188</v>
      </c>
      <c r="I652" s="378">
        <v>90</v>
      </c>
      <c r="J652" s="117">
        <v>39</v>
      </c>
      <c r="K652" s="117" t="s">
        <v>196</v>
      </c>
      <c r="L652" t="str">
        <f t="shared" si="149"/>
        <v>IQ35</v>
      </c>
      <c r="M652" t="str">
        <f t="shared" si="159"/>
        <v/>
      </c>
      <c r="N652" t="str">
        <f t="shared" si="160"/>
        <v/>
      </c>
      <c r="O652" t="str">
        <f t="shared" si="161"/>
        <v/>
      </c>
      <c r="P652" s="113" t="str">
        <f t="shared" si="150"/>
        <v>IQ35</v>
      </c>
      <c r="Q652" s="114">
        <f t="shared" si="151"/>
        <v>90</v>
      </c>
      <c r="R652" s="114">
        <f t="shared" si="152"/>
        <v>81</v>
      </c>
      <c r="S652" s="113">
        <f t="shared" si="153"/>
        <v>69</v>
      </c>
      <c r="T652" s="111">
        <f t="shared" ca="1" si="154"/>
        <v>1.78</v>
      </c>
      <c r="U652" s="111" t="str">
        <f t="shared" si="155"/>
        <v/>
      </c>
      <c r="V652" t="str">
        <f t="array" ref="V652">INDEX(P:P,MAX(U$3:U652))</f>
        <v>IQ#3MTR</v>
      </c>
      <c r="W652" t="str">
        <f t="shared" ca="1" si="156"/>
        <v/>
      </c>
      <c r="X652">
        <f t="shared" si="157"/>
        <v>11.4</v>
      </c>
      <c r="Y652">
        <f t="shared" si="158"/>
        <v>90</v>
      </c>
      <c r="Z652" t="str">
        <f t="shared" si="162"/>
        <v>彰東</v>
      </c>
    </row>
    <row r="653" spans="1:26" x14ac:dyDescent="0.25">
      <c r="A653" s="118" t="s">
        <v>769</v>
      </c>
      <c r="B653" s="119" t="s">
        <v>301</v>
      </c>
      <c r="C653" s="119">
        <v>765</v>
      </c>
      <c r="D653" s="118" t="s">
        <v>177</v>
      </c>
      <c r="E653" s="118">
        <v>607</v>
      </c>
      <c r="F653" s="118" t="s">
        <v>177</v>
      </c>
      <c r="G653" s="118">
        <v>658</v>
      </c>
      <c r="H653" s="118" t="s">
        <v>177</v>
      </c>
      <c r="I653" s="378">
        <v>765</v>
      </c>
      <c r="J653" s="117"/>
      <c r="K653" s="117"/>
      <c r="L653" t="str">
        <f t="shared" si="149"/>
        <v>9M#2DTR(A)</v>
      </c>
      <c r="M653" t="str">
        <f t="shared" si="159"/>
        <v>(A)</v>
      </c>
      <c r="N653" t="str">
        <f t="shared" si="160"/>
        <v>9M#2DTR</v>
      </c>
      <c r="O653" t="str">
        <f t="shared" si="161"/>
        <v>(A)</v>
      </c>
      <c r="P653" s="113" t="str">
        <f t="shared" si="150"/>
        <v>9M#2DTR(A)</v>
      </c>
      <c r="Q653" s="114">
        <f t="shared" si="151"/>
        <v>765</v>
      </c>
      <c r="R653" s="114">
        <f t="shared" si="152"/>
        <v>676.66666666666663</v>
      </c>
      <c r="S653" s="113">
        <f t="shared" si="153"/>
        <v>607</v>
      </c>
      <c r="T653" s="111">
        <f t="shared" ca="1" si="154"/>
        <v>15.11</v>
      </c>
      <c r="U653" s="111">
        <f t="shared" si="155"/>
        <v>653</v>
      </c>
      <c r="V653" t="str">
        <f t="array" ref="V653">INDEX(P:P,MAX(U$3:U653))</f>
        <v>9M#2DTR(A)</v>
      </c>
      <c r="W653">
        <f t="shared" ca="1" si="156"/>
        <v>30</v>
      </c>
      <c r="X653" t="str">
        <f t="shared" si="157"/>
        <v/>
      </c>
      <c r="Y653">
        <f t="shared" si="158"/>
        <v>765</v>
      </c>
      <c r="Z653" t="str">
        <f t="shared" si="162"/>
        <v>彰林</v>
      </c>
    </row>
    <row r="654" spans="1:26" x14ac:dyDescent="0.25">
      <c r="A654" s="118" t="s">
        <v>769</v>
      </c>
      <c r="B654" s="119" t="s">
        <v>770</v>
      </c>
      <c r="C654" s="119">
        <v>172</v>
      </c>
      <c r="D654" s="118" t="s">
        <v>188</v>
      </c>
      <c r="E654" s="118">
        <v>134</v>
      </c>
      <c r="F654" s="118" t="s">
        <v>177</v>
      </c>
      <c r="G654" s="118">
        <v>133</v>
      </c>
      <c r="H654" s="118" t="s">
        <v>177</v>
      </c>
      <c r="I654" s="378">
        <v>172</v>
      </c>
      <c r="J654" s="117">
        <v>58</v>
      </c>
      <c r="K654" s="117" t="s">
        <v>192</v>
      </c>
      <c r="L654" t="str">
        <f t="shared" si="149"/>
        <v>9M20</v>
      </c>
      <c r="M654" t="str">
        <f t="shared" si="159"/>
        <v/>
      </c>
      <c r="N654" t="str">
        <f t="shared" si="160"/>
        <v/>
      </c>
      <c r="O654" t="str">
        <f t="shared" si="161"/>
        <v/>
      </c>
      <c r="P654" s="113" t="str">
        <f t="shared" si="150"/>
        <v>9M20</v>
      </c>
      <c r="Q654" s="114">
        <f t="shared" si="151"/>
        <v>172</v>
      </c>
      <c r="R654" s="114">
        <f t="shared" si="152"/>
        <v>146.33333333333334</v>
      </c>
      <c r="S654" s="113">
        <f t="shared" si="153"/>
        <v>133</v>
      </c>
      <c r="T654" s="111">
        <f t="shared" ca="1" si="154"/>
        <v>3.4</v>
      </c>
      <c r="U654" s="111" t="str">
        <f t="shared" si="155"/>
        <v/>
      </c>
      <c r="V654" t="str">
        <f t="array" ref="V654">INDEX(P:P,MAX(U$3:U654))</f>
        <v>9M#2DTR(A)</v>
      </c>
      <c r="W654" t="str">
        <f t="shared" ca="1" si="156"/>
        <v/>
      </c>
      <c r="X654">
        <f t="shared" si="157"/>
        <v>11.4</v>
      </c>
      <c r="Y654">
        <f t="shared" si="158"/>
        <v>172</v>
      </c>
      <c r="Z654" t="str">
        <f t="shared" si="162"/>
        <v>彰林</v>
      </c>
    </row>
    <row r="655" spans="1:26" x14ac:dyDescent="0.25">
      <c r="A655" s="118" t="s">
        <v>769</v>
      </c>
      <c r="B655" s="119" t="s">
        <v>771</v>
      </c>
      <c r="C655" s="119">
        <v>251</v>
      </c>
      <c r="D655" s="118" t="s">
        <v>179</v>
      </c>
      <c r="E655" s="118">
        <v>223</v>
      </c>
      <c r="F655" s="118" t="s">
        <v>179</v>
      </c>
      <c r="G655" s="118">
        <v>230</v>
      </c>
      <c r="H655" s="118" t="s">
        <v>179</v>
      </c>
      <c r="I655" s="378">
        <v>251</v>
      </c>
      <c r="J655" s="117">
        <v>48</v>
      </c>
      <c r="K655" s="117" t="s">
        <v>188</v>
      </c>
      <c r="L655" t="str">
        <f t="shared" si="149"/>
        <v>9M21</v>
      </c>
      <c r="M655" t="str">
        <f t="shared" si="159"/>
        <v/>
      </c>
      <c r="N655" t="str">
        <f t="shared" si="160"/>
        <v/>
      </c>
      <c r="O655" t="str">
        <f t="shared" si="161"/>
        <v/>
      </c>
      <c r="P655" s="113" t="str">
        <f t="shared" si="150"/>
        <v>9M21</v>
      </c>
      <c r="Q655" s="114">
        <f t="shared" si="151"/>
        <v>251</v>
      </c>
      <c r="R655" s="114">
        <f t="shared" si="152"/>
        <v>234.66666666666666</v>
      </c>
      <c r="S655" s="113">
        <f t="shared" si="153"/>
        <v>223</v>
      </c>
      <c r="T655" s="111">
        <f t="shared" ca="1" si="154"/>
        <v>4.96</v>
      </c>
      <c r="U655" s="111" t="str">
        <f t="shared" si="155"/>
        <v/>
      </c>
      <c r="V655" t="str">
        <f t="array" ref="V655">INDEX(P:P,MAX(U$3:U655))</f>
        <v>9M#2DTR(A)</v>
      </c>
      <c r="W655" t="str">
        <f t="shared" ca="1" si="156"/>
        <v/>
      </c>
      <c r="X655">
        <f t="shared" si="157"/>
        <v>11.4</v>
      </c>
      <c r="Y655">
        <f t="shared" si="158"/>
        <v>251</v>
      </c>
      <c r="Z655" t="str">
        <f t="shared" si="162"/>
        <v>彰林</v>
      </c>
    </row>
    <row r="656" spans="1:26" x14ac:dyDescent="0.25">
      <c r="A656" s="118" t="s">
        <v>769</v>
      </c>
      <c r="B656" s="119" t="s">
        <v>772</v>
      </c>
      <c r="C656" s="119">
        <v>166</v>
      </c>
      <c r="D656" s="118" t="s">
        <v>180</v>
      </c>
      <c r="E656" s="118">
        <v>204</v>
      </c>
      <c r="F656" s="118" t="s">
        <v>180</v>
      </c>
      <c r="G656" s="118">
        <v>172</v>
      </c>
      <c r="H656" s="118" t="s">
        <v>183</v>
      </c>
      <c r="I656" s="378">
        <v>204</v>
      </c>
      <c r="J656" s="117">
        <v>93</v>
      </c>
      <c r="K656" s="117" t="s">
        <v>188</v>
      </c>
      <c r="L656" t="str">
        <f t="shared" si="149"/>
        <v>9M22</v>
      </c>
      <c r="M656" t="str">
        <f t="shared" si="159"/>
        <v/>
      </c>
      <c r="N656" t="str">
        <f t="shared" si="160"/>
        <v/>
      </c>
      <c r="O656" t="str">
        <f t="shared" si="161"/>
        <v/>
      </c>
      <c r="P656" s="113" t="str">
        <f t="shared" si="150"/>
        <v>9M22</v>
      </c>
      <c r="Q656" s="114">
        <f t="shared" si="151"/>
        <v>204</v>
      </c>
      <c r="R656" s="114">
        <f t="shared" si="152"/>
        <v>180.66666666666666</v>
      </c>
      <c r="S656" s="113">
        <f t="shared" si="153"/>
        <v>166</v>
      </c>
      <c r="T656" s="111">
        <f t="shared" ca="1" si="154"/>
        <v>4.03</v>
      </c>
      <c r="U656" s="111" t="str">
        <f t="shared" si="155"/>
        <v/>
      </c>
      <c r="V656" t="str">
        <f t="array" ref="V656">INDEX(P:P,MAX(U$3:U656))</f>
        <v>9M#2DTR(A)</v>
      </c>
      <c r="W656" t="str">
        <f t="shared" ca="1" si="156"/>
        <v/>
      </c>
      <c r="X656">
        <f t="shared" si="157"/>
        <v>11.4</v>
      </c>
      <c r="Y656">
        <f t="shared" si="158"/>
        <v>204</v>
      </c>
      <c r="Z656" t="str">
        <f t="shared" si="162"/>
        <v>彰林</v>
      </c>
    </row>
    <row r="657" spans="1:26" x14ac:dyDescent="0.25">
      <c r="A657" s="118" t="s">
        <v>769</v>
      </c>
      <c r="B657" s="119" t="s">
        <v>773</v>
      </c>
      <c r="C657" s="119">
        <v>110</v>
      </c>
      <c r="D657" s="118" t="s">
        <v>247</v>
      </c>
      <c r="E657" s="118">
        <v>112</v>
      </c>
      <c r="F657" s="118" t="s">
        <v>247</v>
      </c>
      <c r="G657" s="118">
        <v>109</v>
      </c>
      <c r="H657" s="118" t="s">
        <v>247</v>
      </c>
      <c r="I657" s="378">
        <v>112</v>
      </c>
      <c r="J657" s="117">
        <v>0</v>
      </c>
      <c r="K657" s="117" t="s">
        <v>194</v>
      </c>
      <c r="L657" t="str">
        <f t="shared" si="149"/>
        <v>9M23</v>
      </c>
      <c r="M657" t="str">
        <f t="shared" si="159"/>
        <v/>
      </c>
      <c r="N657" t="str">
        <f t="shared" si="160"/>
        <v/>
      </c>
      <c r="O657" t="str">
        <f t="shared" si="161"/>
        <v/>
      </c>
      <c r="P657" s="113" t="str">
        <f t="shared" si="150"/>
        <v>9M23</v>
      </c>
      <c r="Q657" s="114">
        <f t="shared" si="151"/>
        <v>112</v>
      </c>
      <c r="R657" s="114">
        <f t="shared" si="152"/>
        <v>110.33333333333333</v>
      </c>
      <c r="S657" s="113">
        <f t="shared" si="153"/>
        <v>109</v>
      </c>
      <c r="T657" s="111">
        <f t="shared" ca="1" si="154"/>
        <v>2.21</v>
      </c>
      <c r="U657" s="111" t="str">
        <f t="shared" si="155"/>
        <v/>
      </c>
      <c r="V657" t="str">
        <f t="array" ref="V657">INDEX(P:P,MAX(U$3:U657))</f>
        <v>9M#2DTR(A)</v>
      </c>
      <c r="W657" t="str">
        <f t="shared" ca="1" si="156"/>
        <v/>
      </c>
      <c r="X657">
        <f t="shared" si="157"/>
        <v>11.4</v>
      </c>
      <c r="Y657">
        <f t="shared" si="158"/>
        <v>112</v>
      </c>
      <c r="Z657" t="str">
        <f t="shared" si="162"/>
        <v>彰林</v>
      </c>
    </row>
    <row r="658" spans="1:26" x14ac:dyDescent="0.25">
      <c r="A658" s="118" t="s">
        <v>769</v>
      </c>
      <c r="B658" s="119" t="s">
        <v>774</v>
      </c>
      <c r="C658" s="119">
        <v>138</v>
      </c>
      <c r="D658" s="118" t="s">
        <v>180</v>
      </c>
      <c r="E658" s="118">
        <v>135</v>
      </c>
      <c r="F658" s="118" t="s">
        <v>183</v>
      </c>
      <c r="G658" s="118">
        <v>141</v>
      </c>
      <c r="H658" s="118" t="s">
        <v>180</v>
      </c>
      <c r="I658" s="378">
        <v>141</v>
      </c>
      <c r="J658" s="117">
        <v>32</v>
      </c>
      <c r="K658" s="117" t="s">
        <v>207</v>
      </c>
      <c r="L658" t="str">
        <f t="shared" si="149"/>
        <v>9M24</v>
      </c>
      <c r="M658" t="str">
        <f t="shared" si="159"/>
        <v/>
      </c>
      <c r="N658" t="str">
        <f t="shared" si="160"/>
        <v/>
      </c>
      <c r="O658" t="str">
        <f t="shared" si="161"/>
        <v/>
      </c>
      <c r="P658" s="113" t="str">
        <f t="shared" si="150"/>
        <v>9M24</v>
      </c>
      <c r="Q658" s="114">
        <f t="shared" si="151"/>
        <v>141</v>
      </c>
      <c r="R658" s="114">
        <f t="shared" si="152"/>
        <v>138</v>
      </c>
      <c r="S658" s="113">
        <f t="shared" si="153"/>
        <v>135</v>
      </c>
      <c r="T658" s="111">
        <f t="shared" ca="1" si="154"/>
        <v>2.78</v>
      </c>
      <c r="U658" s="111" t="str">
        <f t="shared" si="155"/>
        <v/>
      </c>
      <c r="V658" t="str">
        <f t="array" ref="V658">INDEX(P:P,MAX(U$3:U658))</f>
        <v>9M#2DTR(A)</v>
      </c>
      <c r="W658" t="str">
        <f t="shared" ca="1" si="156"/>
        <v/>
      </c>
      <c r="X658">
        <f t="shared" si="157"/>
        <v>11.4</v>
      </c>
      <c r="Y658">
        <f t="shared" si="158"/>
        <v>141</v>
      </c>
      <c r="Z658" t="str">
        <f t="shared" si="162"/>
        <v>彰林</v>
      </c>
    </row>
    <row r="659" spans="1:26" x14ac:dyDescent="0.25">
      <c r="A659" s="118" t="s">
        <v>769</v>
      </c>
      <c r="B659" s="119" t="s">
        <v>283</v>
      </c>
      <c r="C659" s="119">
        <v>745</v>
      </c>
      <c r="D659" s="118" t="s">
        <v>176</v>
      </c>
      <c r="E659" s="118">
        <v>664</v>
      </c>
      <c r="F659" s="118" t="s">
        <v>176</v>
      </c>
      <c r="G659" s="118">
        <v>760</v>
      </c>
      <c r="H659" s="118" t="s">
        <v>176</v>
      </c>
      <c r="I659" s="378">
        <v>760</v>
      </c>
      <c r="J659" s="117"/>
      <c r="K659" s="117"/>
      <c r="L659" t="str">
        <f t="shared" si="149"/>
        <v>9M#2DTR(B)</v>
      </c>
      <c r="M659" t="str">
        <f t="shared" si="159"/>
        <v>(B)</v>
      </c>
      <c r="N659" t="str">
        <f t="shared" si="160"/>
        <v>9M#2DTR</v>
      </c>
      <c r="O659" t="str">
        <f t="shared" si="161"/>
        <v>(B)</v>
      </c>
      <c r="P659" s="113" t="str">
        <f t="shared" si="150"/>
        <v>9M#2DTR(B)</v>
      </c>
      <c r="Q659" s="114">
        <f t="shared" si="151"/>
        <v>760</v>
      </c>
      <c r="R659" s="114">
        <f t="shared" si="152"/>
        <v>723</v>
      </c>
      <c r="S659" s="113">
        <f t="shared" si="153"/>
        <v>664</v>
      </c>
      <c r="T659" s="111">
        <f t="shared" ca="1" si="154"/>
        <v>15.01</v>
      </c>
      <c r="U659" s="111">
        <f t="shared" si="155"/>
        <v>659</v>
      </c>
      <c r="V659" t="str">
        <f t="array" ref="V659">INDEX(P:P,MAX(U$3:U659))</f>
        <v>9M#2DTR(B)</v>
      </c>
      <c r="W659">
        <f t="shared" ca="1" si="156"/>
        <v>30</v>
      </c>
      <c r="X659" t="str">
        <f t="shared" si="157"/>
        <v/>
      </c>
      <c r="Y659">
        <f t="shared" si="158"/>
        <v>760</v>
      </c>
      <c r="Z659" t="str">
        <f t="shared" si="162"/>
        <v>彰林</v>
      </c>
    </row>
    <row r="660" spans="1:26" x14ac:dyDescent="0.25">
      <c r="A660" s="118" t="s">
        <v>769</v>
      </c>
      <c r="B660" s="119" t="s">
        <v>775</v>
      </c>
      <c r="C660" s="119">
        <v>130</v>
      </c>
      <c r="D660" s="118" t="s">
        <v>179</v>
      </c>
      <c r="E660" s="118">
        <v>141</v>
      </c>
      <c r="F660" s="118" t="s">
        <v>177</v>
      </c>
      <c r="G660" s="118">
        <v>109</v>
      </c>
      <c r="H660" s="118" t="s">
        <v>376</v>
      </c>
      <c r="I660" s="378">
        <v>141</v>
      </c>
      <c r="J660" s="117">
        <v>46</v>
      </c>
      <c r="K660" s="117" t="s">
        <v>192</v>
      </c>
      <c r="L660" t="str">
        <f t="shared" si="149"/>
        <v>9M25</v>
      </c>
      <c r="M660" t="str">
        <f t="shared" si="159"/>
        <v/>
      </c>
      <c r="N660" t="str">
        <f t="shared" si="160"/>
        <v/>
      </c>
      <c r="O660" t="str">
        <f t="shared" si="161"/>
        <v/>
      </c>
      <c r="P660" s="113" t="str">
        <f t="shared" si="150"/>
        <v>9M25</v>
      </c>
      <c r="Q660" s="114">
        <f t="shared" si="151"/>
        <v>141</v>
      </c>
      <c r="R660" s="114">
        <f t="shared" si="152"/>
        <v>126.66666666666667</v>
      </c>
      <c r="S660" s="113">
        <f t="shared" si="153"/>
        <v>109</v>
      </c>
      <c r="T660" s="111">
        <f t="shared" ca="1" si="154"/>
        <v>2.78</v>
      </c>
      <c r="U660" s="111" t="str">
        <f t="shared" si="155"/>
        <v/>
      </c>
      <c r="V660" t="str">
        <f t="array" ref="V660">INDEX(P:P,MAX(U$3:U660))</f>
        <v>9M#2DTR(B)</v>
      </c>
      <c r="W660" t="str">
        <f t="shared" ca="1" si="156"/>
        <v/>
      </c>
      <c r="X660">
        <f t="shared" si="157"/>
        <v>11.4</v>
      </c>
      <c r="Y660">
        <f t="shared" si="158"/>
        <v>141</v>
      </c>
      <c r="Z660" t="str">
        <f t="shared" si="162"/>
        <v>彰林</v>
      </c>
    </row>
    <row r="661" spans="1:26" x14ac:dyDescent="0.25">
      <c r="A661" s="118" t="s">
        <v>769</v>
      </c>
      <c r="B661" s="119" t="s">
        <v>776</v>
      </c>
      <c r="C661" s="119">
        <v>200</v>
      </c>
      <c r="D661" s="118" t="s">
        <v>176</v>
      </c>
      <c r="E661" s="118">
        <v>170</v>
      </c>
      <c r="F661" s="118" t="s">
        <v>177</v>
      </c>
      <c r="G661" s="118">
        <v>185</v>
      </c>
      <c r="H661" s="118" t="s">
        <v>177</v>
      </c>
      <c r="I661" s="378">
        <v>200</v>
      </c>
      <c r="J661" s="117">
        <v>45</v>
      </c>
      <c r="K661" s="117" t="s">
        <v>194</v>
      </c>
      <c r="L661" t="str">
        <f t="shared" si="149"/>
        <v>9M26</v>
      </c>
      <c r="M661" t="str">
        <f t="shared" si="159"/>
        <v/>
      </c>
      <c r="N661" t="str">
        <f t="shared" si="160"/>
        <v/>
      </c>
      <c r="O661" t="str">
        <f t="shared" si="161"/>
        <v/>
      </c>
      <c r="P661" s="113" t="str">
        <f t="shared" si="150"/>
        <v>9M26</v>
      </c>
      <c r="Q661" s="114">
        <f t="shared" si="151"/>
        <v>200</v>
      </c>
      <c r="R661" s="114">
        <f t="shared" si="152"/>
        <v>185</v>
      </c>
      <c r="S661" s="113">
        <f t="shared" si="153"/>
        <v>170</v>
      </c>
      <c r="T661" s="111">
        <f t="shared" ca="1" si="154"/>
        <v>3.95</v>
      </c>
      <c r="U661" s="111" t="str">
        <f t="shared" si="155"/>
        <v/>
      </c>
      <c r="V661" t="str">
        <f t="array" ref="V661">INDEX(P:P,MAX(U$3:U661))</f>
        <v>9M#2DTR(B)</v>
      </c>
      <c r="W661" t="str">
        <f t="shared" ca="1" si="156"/>
        <v/>
      </c>
      <c r="X661">
        <f t="shared" si="157"/>
        <v>11.4</v>
      </c>
      <c r="Y661">
        <f t="shared" si="158"/>
        <v>200</v>
      </c>
      <c r="Z661" t="str">
        <f t="shared" si="162"/>
        <v>彰林</v>
      </c>
    </row>
    <row r="662" spans="1:26" x14ac:dyDescent="0.25">
      <c r="A662" s="118" t="s">
        <v>769</v>
      </c>
      <c r="B662" s="119" t="s">
        <v>777</v>
      </c>
      <c r="C662" s="119">
        <v>232</v>
      </c>
      <c r="D662" s="118" t="s">
        <v>176</v>
      </c>
      <c r="E662" s="118">
        <v>205</v>
      </c>
      <c r="F662" s="118" t="s">
        <v>179</v>
      </c>
      <c r="G662" s="118">
        <v>268</v>
      </c>
      <c r="H662" s="118" t="s">
        <v>176</v>
      </c>
      <c r="I662" s="378">
        <v>268</v>
      </c>
      <c r="J662" s="117">
        <v>76</v>
      </c>
      <c r="K662" s="117" t="s">
        <v>177</v>
      </c>
      <c r="L662" t="str">
        <f t="shared" si="149"/>
        <v>9M27</v>
      </c>
      <c r="M662" t="str">
        <f t="shared" si="159"/>
        <v/>
      </c>
      <c r="N662" t="str">
        <f t="shared" si="160"/>
        <v/>
      </c>
      <c r="O662" t="str">
        <f t="shared" si="161"/>
        <v/>
      </c>
      <c r="P662" s="113" t="str">
        <f t="shared" si="150"/>
        <v>9M27</v>
      </c>
      <c r="Q662" s="114">
        <f t="shared" si="151"/>
        <v>268</v>
      </c>
      <c r="R662" s="114">
        <f t="shared" si="152"/>
        <v>235</v>
      </c>
      <c r="S662" s="113">
        <f t="shared" si="153"/>
        <v>205</v>
      </c>
      <c r="T662" s="111">
        <f t="shared" ca="1" si="154"/>
        <v>5.29</v>
      </c>
      <c r="U662" s="111" t="str">
        <f t="shared" si="155"/>
        <v/>
      </c>
      <c r="V662" t="str">
        <f t="array" ref="V662">INDEX(P:P,MAX(U$3:U662))</f>
        <v>9M#2DTR(B)</v>
      </c>
      <c r="W662" t="str">
        <f t="shared" ca="1" si="156"/>
        <v/>
      </c>
      <c r="X662">
        <f t="shared" si="157"/>
        <v>11.4</v>
      </c>
      <c r="Y662">
        <f t="shared" si="158"/>
        <v>268</v>
      </c>
      <c r="Z662" t="str">
        <f t="shared" si="162"/>
        <v>彰林</v>
      </c>
    </row>
    <row r="663" spans="1:26" x14ac:dyDescent="0.25">
      <c r="A663" s="118" t="s">
        <v>769</v>
      </c>
      <c r="B663" s="119" t="s">
        <v>778</v>
      </c>
      <c r="C663" s="119">
        <v>135</v>
      </c>
      <c r="D663" s="118" t="s">
        <v>177</v>
      </c>
      <c r="E663" s="118">
        <v>116</v>
      </c>
      <c r="F663" s="118" t="s">
        <v>188</v>
      </c>
      <c r="G663" s="118">
        <v>157</v>
      </c>
      <c r="H663" s="118" t="s">
        <v>176</v>
      </c>
      <c r="I663" s="378">
        <v>157</v>
      </c>
      <c r="J663" s="117">
        <v>62</v>
      </c>
      <c r="K663" s="117" t="s">
        <v>184</v>
      </c>
      <c r="L663" t="str">
        <f t="shared" si="149"/>
        <v>9M28</v>
      </c>
      <c r="M663" t="str">
        <f t="shared" si="159"/>
        <v/>
      </c>
      <c r="N663" t="str">
        <f t="shared" si="160"/>
        <v/>
      </c>
      <c r="O663" t="str">
        <f t="shared" si="161"/>
        <v/>
      </c>
      <c r="P663" s="113" t="str">
        <f t="shared" si="150"/>
        <v>9M28</v>
      </c>
      <c r="Q663" s="114">
        <f t="shared" si="151"/>
        <v>157</v>
      </c>
      <c r="R663" s="114">
        <f t="shared" si="152"/>
        <v>136</v>
      </c>
      <c r="S663" s="113">
        <f t="shared" si="153"/>
        <v>116</v>
      </c>
      <c r="T663" s="111">
        <f t="shared" ca="1" si="154"/>
        <v>3.1</v>
      </c>
      <c r="U663" s="111" t="str">
        <f t="shared" si="155"/>
        <v/>
      </c>
      <c r="V663" t="str">
        <f t="array" ref="V663">INDEX(P:P,MAX(U$3:U663))</f>
        <v>9M#2DTR(B)</v>
      </c>
      <c r="W663" t="str">
        <f t="shared" ca="1" si="156"/>
        <v/>
      </c>
      <c r="X663">
        <f t="shared" si="157"/>
        <v>11.4</v>
      </c>
      <c r="Y663">
        <f t="shared" si="158"/>
        <v>157</v>
      </c>
      <c r="Z663" t="str">
        <f t="shared" si="162"/>
        <v>彰林</v>
      </c>
    </row>
    <row r="664" spans="1:26" x14ac:dyDescent="0.25">
      <c r="A664" s="118" t="s">
        <v>769</v>
      </c>
      <c r="B664" s="119" t="s">
        <v>779</v>
      </c>
      <c r="C664" s="119">
        <v>71</v>
      </c>
      <c r="D664" s="118" t="s">
        <v>237</v>
      </c>
      <c r="E664" s="118">
        <v>68</v>
      </c>
      <c r="F664" s="118" t="s">
        <v>237</v>
      </c>
      <c r="G664" s="118">
        <v>70</v>
      </c>
      <c r="H664" s="118" t="s">
        <v>237</v>
      </c>
      <c r="I664" s="378">
        <v>71</v>
      </c>
      <c r="J664" s="117">
        <v>0</v>
      </c>
      <c r="K664" s="117" t="s">
        <v>194</v>
      </c>
      <c r="L664" t="str">
        <f t="shared" si="149"/>
        <v>9M29</v>
      </c>
      <c r="M664" t="str">
        <f t="shared" si="159"/>
        <v/>
      </c>
      <c r="N664" t="str">
        <f t="shared" si="160"/>
        <v/>
      </c>
      <c r="O664" t="str">
        <f t="shared" si="161"/>
        <v/>
      </c>
      <c r="P664" s="113" t="str">
        <f t="shared" si="150"/>
        <v>9M29</v>
      </c>
      <c r="Q664" s="114">
        <f t="shared" si="151"/>
        <v>71</v>
      </c>
      <c r="R664" s="114">
        <f t="shared" si="152"/>
        <v>69.666666666666671</v>
      </c>
      <c r="S664" s="113">
        <f t="shared" si="153"/>
        <v>68</v>
      </c>
      <c r="T664" s="111">
        <f t="shared" ca="1" si="154"/>
        <v>1.4</v>
      </c>
      <c r="U664" s="111" t="str">
        <f t="shared" si="155"/>
        <v/>
      </c>
      <c r="V664" t="str">
        <f t="array" ref="V664">INDEX(P:P,MAX(U$3:U664))</f>
        <v>9M#2DTR(B)</v>
      </c>
      <c r="W664" t="str">
        <f t="shared" ca="1" si="156"/>
        <v/>
      </c>
      <c r="X664">
        <f t="shared" si="157"/>
        <v>11.4</v>
      </c>
      <c r="Y664">
        <f t="shared" si="158"/>
        <v>71</v>
      </c>
      <c r="Z664" t="str">
        <f t="shared" si="162"/>
        <v>彰林</v>
      </c>
    </row>
    <row r="665" spans="1:26" x14ac:dyDescent="0.25">
      <c r="A665" s="118" t="s">
        <v>769</v>
      </c>
      <c r="B665" s="119" t="s">
        <v>369</v>
      </c>
      <c r="C665" s="119">
        <v>892</v>
      </c>
      <c r="D665" s="118" t="s">
        <v>179</v>
      </c>
      <c r="E665" s="118">
        <v>906</v>
      </c>
      <c r="F665" s="118" t="s">
        <v>179</v>
      </c>
      <c r="G665" s="118">
        <v>919</v>
      </c>
      <c r="H665" s="118" t="s">
        <v>179</v>
      </c>
      <c r="I665" s="378">
        <v>919</v>
      </c>
      <c r="J665" s="117"/>
      <c r="K665" s="117"/>
      <c r="L665" t="str">
        <f t="shared" si="149"/>
        <v>9M#3DTR(A)</v>
      </c>
      <c r="M665" t="str">
        <f t="shared" si="159"/>
        <v>(A)</v>
      </c>
      <c r="N665" t="str">
        <f t="shared" si="160"/>
        <v>9M#3DTR</v>
      </c>
      <c r="O665" t="str">
        <f t="shared" si="161"/>
        <v>(A)</v>
      </c>
      <c r="P665" s="113" t="str">
        <f t="shared" si="150"/>
        <v>9M#3DTR(A)</v>
      </c>
      <c r="Q665" s="114">
        <f t="shared" si="151"/>
        <v>919</v>
      </c>
      <c r="R665" s="114">
        <f t="shared" si="152"/>
        <v>905.66666666666663</v>
      </c>
      <c r="S665" s="113">
        <f t="shared" si="153"/>
        <v>892</v>
      </c>
      <c r="T665" s="111">
        <f t="shared" ca="1" si="154"/>
        <v>18.149999999999999</v>
      </c>
      <c r="U665" s="111">
        <f t="shared" si="155"/>
        <v>665</v>
      </c>
      <c r="V665" t="str">
        <f t="array" ref="V665">INDEX(P:P,MAX(U$3:U665))</f>
        <v>9M#3DTR(A)</v>
      </c>
      <c r="W665">
        <f t="shared" ca="1" si="156"/>
        <v>30</v>
      </c>
      <c r="X665" t="str">
        <f t="shared" si="157"/>
        <v/>
      </c>
      <c r="Y665">
        <f t="shared" si="158"/>
        <v>919</v>
      </c>
      <c r="Z665" t="str">
        <f t="shared" si="162"/>
        <v>彰林</v>
      </c>
    </row>
    <row r="666" spans="1:26" x14ac:dyDescent="0.25">
      <c r="A666" s="118" t="s">
        <v>769</v>
      </c>
      <c r="B666" s="119" t="s">
        <v>780</v>
      </c>
      <c r="C666" s="119">
        <v>305</v>
      </c>
      <c r="D666" s="118" t="s">
        <v>188</v>
      </c>
      <c r="E666" s="118">
        <v>296</v>
      </c>
      <c r="F666" s="118" t="s">
        <v>176</v>
      </c>
      <c r="G666" s="118">
        <v>274</v>
      </c>
      <c r="H666" s="118" t="s">
        <v>177</v>
      </c>
      <c r="I666" s="378">
        <v>305</v>
      </c>
      <c r="J666" s="117">
        <v>54</v>
      </c>
      <c r="K666" s="117" t="s">
        <v>188</v>
      </c>
      <c r="L666" t="str">
        <f t="shared" si="149"/>
        <v>9M30</v>
      </c>
      <c r="M666" t="str">
        <f t="shared" si="159"/>
        <v/>
      </c>
      <c r="N666" t="str">
        <f t="shared" si="160"/>
        <v/>
      </c>
      <c r="O666" t="str">
        <f t="shared" si="161"/>
        <v/>
      </c>
      <c r="P666" s="113" t="str">
        <f t="shared" si="150"/>
        <v>9M30</v>
      </c>
      <c r="Q666" s="114">
        <f t="shared" si="151"/>
        <v>305</v>
      </c>
      <c r="R666" s="114">
        <f t="shared" si="152"/>
        <v>291.66666666666669</v>
      </c>
      <c r="S666" s="113">
        <f t="shared" si="153"/>
        <v>274</v>
      </c>
      <c r="T666" s="111">
        <f t="shared" ca="1" si="154"/>
        <v>6.02</v>
      </c>
      <c r="U666" s="111" t="str">
        <f t="shared" si="155"/>
        <v/>
      </c>
      <c r="V666" t="str">
        <f t="array" ref="V666">INDEX(P:P,MAX(U$3:U666))</f>
        <v>9M#3DTR(A)</v>
      </c>
      <c r="W666" t="str">
        <f t="shared" ca="1" si="156"/>
        <v/>
      </c>
      <c r="X666">
        <f t="shared" si="157"/>
        <v>11.4</v>
      </c>
      <c r="Y666">
        <f t="shared" si="158"/>
        <v>305</v>
      </c>
      <c r="Z666" t="str">
        <f t="shared" si="162"/>
        <v>彰林</v>
      </c>
    </row>
    <row r="667" spans="1:26" x14ac:dyDescent="0.25">
      <c r="A667" s="118" t="s">
        <v>769</v>
      </c>
      <c r="B667" s="119" t="s">
        <v>781</v>
      </c>
      <c r="C667" s="119">
        <v>97</v>
      </c>
      <c r="D667" s="118" t="s">
        <v>180</v>
      </c>
      <c r="E667" s="118">
        <v>100</v>
      </c>
      <c r="F667" s="118" t="s">
        <v>196</v>
      </c>
      <c r="G667" s="118">
        <v>102</v>
      </c>
      <c r="H667" s="118" t="s">
        <v>180</v>
      </c>
      <c r="I667" s="378">
        <v>102</v>
      </c>
      <c r="J667" s="117">
        <v>0</v>
      </c>
      <c r="K667" s="117" t="s">
        <v>194</v>
      </c>
      <c r="L667" t="str">
        <f t="shared" si="149"/>
        <v>9M31</v>
      </c>
      <c r="M667" t="str">
        <f t="shared" si="159"/>
        <v/>
      </c>
      <c r="N667" t="str">
        <f t="shared" si="160"/>
        <v/>
      </c>
      <c r="O667" t="str">
        <f t="shared" si="161"/>
        <v/>
      </c>
      <c r="P667" s="113" t="str">
        <f t="shared" si="150"/>
        <v>9M31</v>
      </c>
      <c r="Q667" s="114">
        <f t="shared" si="151"/>
        <v>102</v>
      </c>
      <c r="R667" s="114">
        <f t="shared" si="152"/>
        <v>99.666666666666671</v>
      </c>
      <c r="S667" s="113">
        <f t="shared" si="153"/>
        <v>97</v>
      </c>
      <c r="T667" s="111">
        <f t="shared" ca="1" si="154"/>
        <v>2.0099999999999998</v>
      </c>
      <c r="U667" s="111" t="str">
        <f t="shared" si="155"/>
        <v/>
      </c>
      <c r="V667" t="str">
        <f t="array" ref="V667">INDEX(P:P,MAX(U$3:U667))</f>
        <v>9M#3DTR(A)</v>
      </c>
      <c r="W667" t="str">
        <f t="shared" ca="1" si="156"/>
        <v/>
      </c>
      <c r="X667">
        <f t="shared" si="157"/>
        <v>11.4</v>
      </c>
      <c r="Y667">
        <f t="shared" si="158"/>
        <v>102</v>
      </c>
      <c r="Z667" t="str">
        <f t="shared" si="162"/>
        <v>彰林</v>
      </c>
    </row>
    <row r="668" spans="1:26" x14ac:dyDescent="0.25">
      <c r="A668" s="118" t="s">
        <v>769</v>
      </c>
      <c r="B668" s="119" t="s">
        <v>782</v>
      </c>
      <c r="C668" s="119">
        <v>258</v>
      </c>
      <c r="D668" s="118" t="s">
        <v>177</v>
      </c>
      <c r="E668" s="118">
        <v>273</v>
      </c>
      <c r="F668" s="118" t="s">
        <v>177</v>
      </c>
      <c r="G668" s="118">
        <v>297</v>
      </c>
      <c r="H668" s="118" t="s">
        <v>179</v>
      </c>
      <c r="I668" s="378">
        <v>297</v>
      </c>
      <c r="J668" s="117">
        <v>63</v>
      </c>
      <c r="K668" s="117" t="s">
        <v>179</v>
      </c>
      <c r="L668" t="str">
        <f t="shared" si="149"/>
        <v>9M32</v>
      </c>
      <c r="M668" t="str">
        <f t="shared" si="159"/>
        <v/>
      </c>
      <c r="N668" t="str">
        <f t="shared" si="160"/>
        <v/>
      </c>
      <c r="O668" t="str">
        <f t="shared" si="161"/>
        <v/>
      </c>
      <c r="P668" s="113" t="str">
        <f t="shared" si="150"/>
        <v>9M32</v>
      </c>
      <c r="Q668" s="114">
        <f t="shared" si="151"/>
        <v>297</v>
      </c>
      <c r="R668" s="114">
        <f t="shared" si="152"/>
        <v>276</v>
      </c>
      <c r="S668" s="113">
        <f t="shared" si="153"/>
        <v>258</v>
      </c>
      <c r="T668" s="111">
        <f t="shared" ca="1" si="154"/>
        <v>5.86</v>
      </c>
      <c r="U668" s="111" t="str">
        <f t="shared" si="155"/>
        <v/>
      </c>
      <c r="V668" t="str">
        <f t="array" ref="V668">INDEX(P:P,MAX(U$3:U668))</f>
        <v>9M#3DTR(A)</v>
      </c>
      <c r="W668" t="str">
        <f t="shared" ca="1" si="156"/>
        <v/>
      </c>
      <c r="X668">
        <f t="shared" si="157"/>
        <v>11.4</v>
      </c>
      <c r="Y668">
        <f t="shared" si="158"/>
        <v>297</v>
      </c>
      <c r="Z668" t="str">
        <f t="shared" si="162"/>
        <v>彰林</v>
      </c>
    </row>
    <row r="669" spans="1:26" x14ac:dyDescent="0.25">
      <c r="A669" s="118" t="s">
        <v>769</v>
      </c>
      <c r="B669" s="119" t="s">
        <v>783</v>
      </c>
      <c r="C669" s="119">
        <v>102</v>
      </c>
      <c r="D669" s="118" t="s">
        <v>179</v>
      </c>
      <c r="E669" s="118">
        <v>104</v>
      </c>
      <c r="F669" s="118" t="s">
        <v>205</v>
      </c>
      <c r="G669" s="118">
        <v>107</v>
      </c>
      <c r="H669" s="118" t="s">
        <v>179</v>
      </c>
      <c r="I669" s="378">
        <v>107</v>
      </c>
      <c r="J669" s="117">
        <v>13</v>
      </c>
      <c r="K669" s="117" t="s">
        <v>192</v>
      </c>
      <c r="L669" t="str">
        <f t="shared" si="149"/>
        <v>9M33</v>
      </c>
      <c r="M669" t="str">
        <f t="shared" si="159"/>
        <v/>
      </c>
      <c r="N669" t="str">
        <f t="shared" si="160"/>
        <v/>
      </c>
      <c r="O669" t="str">
        <f t="shared" si="161"/>
        <v/>
      </c>
      <c r="P669" s="113" t="str">
        <f t="shared" si="150"/>
        <v>9M33</v>
      </c>
      <c r="Q669" s="114">
        <f t="shared" si="151"/>
        <v>107</v>
      </c>
      <c r="R669" s="114">
        <f t="shared" si="152"/>
        <v>104.33333333333333</v>
      </c>
      <c r="S669" s="113">
        <f t="shared" si="153"/>
        <v>102</v>
      </c>
      <c r="T669" s="111">
        <f t="shared" ca="1" si="154"/>
        <v>2.11</v>
      </c>
      <c r="U669" s="111" t="str">
        <f t="shared" si="155"/>
        <v/>
      </c>
      <c r="V669" t="str">
        <f t="array" ref="V669">INDEX(P:P,MAX(U$3:U669))</f>
        <v>9M#3DTR(A)</v>
      </c>
      <c r="W669" t="str">
        <f t="shared" ca="1" si="156"/>
        <v/>
      </c>
      <c r="X669">
        <f t="shared" si="157"/>
        <v>11.4</v>
      </c>
      <c r="Y669">
        <f t="shared" si="158"/>
        <v>107</v>
      </c>
      <c r="Z669" t="str">
        <f t="shared" si="162"/>
        <v>彰林</v>
      </c>
    </row>
    <row r="670" spans="1:26" x14ac:dyDescent="0.25">
      <c r="A670" s="118" t="s">
        <v>769</v>
      </c>
      <c r="B670" s="119" t="s">
        <v>784</v>
      </c>
      <c r="C670" s="119">
        <v>206</v>
      </c>
      <c r="D670" s="118" t="s">
        <v>207</v>
      </c>
      <c r="E670" s="118">
        <v>184</v>
      </c>
      <c r="F670" s="118" t="s">
        <v>207</v>
      </c>
      <c r="G670" s="118">
        <v>186</v>
      </c>
      <c r="H670" s="118" t="s">
        <v>207</v>
      </c>
      <c r="I670" s="378">
        <v>206</v>
      </c>
      <c r="J670" s="117">
        <v>32</v>
      </c>
      <c r="K670" s="117" t="s">
        <v>192</v>
      </c>
      <c r="L670" t="str">
        <f t="shared" si="149"/>
        <v>9M34</v>
      </c>
      <c r="M670" t="str">
        <f t="shared" si="159"/>
        <v/>
      </c>
      <c r="N670" t="str">
        <f t="shared" si="160"/>
        <v/>
      </c>
      <c r="O670" t="str">
        <f t="shared" si="161"/>
        <v/>
      </c>
      <c r="P670" s="113" t="str">
        <f t="shared" si="150"/>
        <v>9M34</v>
      </c>
      <c r="Q670" s="114">
        <f t="shared" si="151"/>
        <v>206</v>
      </c>
      <c r="R670" s="114">
        <f t="shared" si="152"/>
        <v>192</v>
      </c>
      <c r="S670" s="113">
        <f t="shared" si="153"/>
        <v>184</v>
      </c>
      <c r="T670" s="111">
        <f t="shared" ca="1" si="154"/>
        <v>4.07</v>
      </c>
      <c r="U670" s="111" t="str">
        <f t="shared" si="155"/>
        <v/>
      </c>
      <c r="V670" t="str">
        <f t="array" ref="V670">INDEX(P:P,MAX(U$3:U670))</f>
        <v>9M#3DTR(A)</v>
      </c>
      <c r="W670" t="str">
        <f t="shared" ca="1" si="156"/>
        <v/>
      </c>
      <c r="X670">
        <f t="shared" si="157"/>
        <v>11.4</v>
      </c>
      <c r="Y670">
        <f t="shared" si="158"/>
        <v>206</v>
      </c>
      <c r="Z670" t="str">
        <f t="shared" si="162"/>
        <v>彰林</v>
      </c>
    </row>
    <row r="671" spans="1:26" x14ac:dyDescent="0.25">
      <c r="A671" s="118" t="s">
        <v>769</v>
      </c>
      <c r="B671" s="119" t="s">
        <v>373</v>
      </c>
      <c r="C671" s="119">
        <v>786</v>
      </c>
      <c r="D671" s="118" t="s">
        <v>177</v>
      </c>
      <c r="E671" s="118">
        <v>765</v>
      </c>
      <c r="F671" s="118" t="s">
        <v>177</v>
      </c>
      <c r="G671" s="118">
        <v>744</v>
      </c>
      <c r="H671" s="118" t="s">
        <v>179</v>
      </c>
      <c r="I671" s="378">
        <v>786</v>
      </c>
      <c r="J671" s="117"/>
      <c r="K671" s="117"/>
      <c r="L671" t="str">
        <f t="shared" si="149"/>
        <v>9M#3DTR(B)</v>
      </c>
      <c r="M671" t="str">
        <f t="shared" si="159"/>
        <v>(B)</v>
      </c>
      <c r="N671" t="str">
        <f t="shared" si="160"/>
        <v>9M#3DTR</v>
      </c>
      <c r="O671" t="str">
        <f t="shared" si="161"/>
        <v>(B)</v>
      </c>
      <c r="P671" s="113" t="str">
        <f t="shared" si="150"/>
        <v>9M#3DTR(B)</v>
      </c>
      <c r="Q671" s="114">
        <f t="shared" si="151"/>
        <v>786</v>
      </c>
      <c r="R671" s="114">
        <f t="shared" si="152"/>
        <v>765</v>
      </c>
      <c r="S671" s="113">
        <f t="shared" si="153"/>
        <v>744</v>
      </c>
      <c r="T671" s="111">
        <f t="shared" ca="1" si="154"/>
        <v>15.52</v>
      </c>
      <c r="U671" s="111">
        <f t="shared" si="155"/>
        <v>671</v>
      </c>
      <c r="V671" t="str">
        <f t="array" ref="V671">INDEX(P:P,MAX(U$3:U671))</f>
        <v>9M#3DTR(B)</v>
      </c>
      <c r="W671">
        <f t="shared" ca="1" si="156"/>
        <v>30</v>
      </c>
      <c r="X671" t="str">
        <f t="shared" si="157"/>
        <v/>
      </c>
      <c r="Y671">
        <f t="shared" si="158"/>
        <v>786</v>
      </c>
      <c r="Z671" t="str">
        <f t="shared" si="162"/>
        <v>彰林</v>
      </c>
    </row>
    <row r="672" spans="1:26" x14ac:dyDescent="0.25">
      <c r="A672" s="118" t="s">
        <v>769</v>
      </c>
      <c r="B672" s="119" t="s">
        <v>785</v>
      </c>
      <c r="C672" s="119">
        <v>193</v>
      </c>
      <c r="D672" s="118" t="s">
        <v>179</v>
      </c>
      <c r="E672" s="118">
        <v>169</v>
      </c>
      <c r="F672" s="118" t="s">
        <v>179</v>
      </c>
      <c r="G672" s="118">
        <v>178</v>
      </c>
      <c r="H672" s="118" t="s">
        <v>179</v>
      </c>
      <c r="I672" s="378">
        <v>193</v>
      </c>
      <c r="J672" s="117">
        <v>43</v>
      </c>
      <c r="K672" s="117" t="s">
        <v>179</v>
      </c>
      <c r="L672" t="str">
        <f t="shared" si="149"/>
        <v>9M35</v>
      </c>
      <c r="M672" t="str">
        <f t="shared" si="159"/>
        <v/>
      </c>
      <c r="N672" t="str">
        <f t="shared" si="160"/>
        <v/>
      </c>
      <c r="O672" t="str">
        <f t="shared" si="161"/>
        <v/>
      </c>
      <c r="P672" s="113" t="str">
        <f t="shared" si="150"/>
        <v>9M35</v>
      </c>
      <c r="Q672" s="114">
        <f t="shared" si="151"/>
        <v>193</v>
      </c>
      <c r="R672" s="114">
        <f t="shared" si="152"/>
        <v>180</v>
      </c>
      <c r="S672" s="113">
        <f t="shared" si="153"/>
        <v>169</v>
      </c>
      <c r="T672" s="111">
        <f t="shared" ca="1" si="154"/>
        <v>3.81</v>
      </c>
      <c r="U672" s="111" t="str">
        <f t="shared" si="155"/>
        <v/>
      </c>
      <c r="V672" t="str">
        <f t="array" ref="V672">INDEX(P:P,MAX(U$3:U672))</f>
        <v>9M#3DTR(B)</v>
      </c>
      <c r="W672" t="str">
        <f t="shared" ca="1" si="156"/>
        <v/>
      </c>
      <c r="X672">
        <f t="shared" si="157"/>
        <v>11.4</v>
      </c>
      <c r="Y672">
        <f t="shared" si="158"/>
        <v>193</v>
      </c>
      <c r="Z672" t="str">
        <f t="shared" si="162"/>
        <v>彰林</v>
      </c>
    </row>
    <row r="673" spans="1:26" x14ac:dyDescent="0.25">
      <c r="A673" s="118" t="s">
        <v>769</v>
      </c>
      <c r="B673" s="119" t="s">
        <v>786</v>
      </c>
      <c r="C673" s="119">
        <v>139</v>
      </c>
      <c r="D673" s="118" t="s">
        <v>177</v>
      </c>
      <c r="E673" s="118">
        <v>113</v>
      </c>
      <c r="F673" s="118" t="s">
        <v>184</v>
      </c>
      <c r="G673" s="118">
        <v>106</v>
      </c>
      <c r="H673" s="118" t="s">
        <v>184</v>
      </c>
      <c r="I673" s="378">
        <v>139</v>
      </c>
      <c r="J673" s="117">
        <v>77</v>
      </c>
      <c r="K673" s="117" t="s">
        <v>183</v>
      </c>
      <c r="L673" t="str">
        <f t="shared" si="149"/>
        <v>9M36</v>
      </c>
      <c r="M673" t="str">
        <f t="shared" si="159"/>
        <v/>
      </c>
      <c r="N673" t="str">
        <f t="shared" si="160"/>
        <v/>
      </c>
      <c r="O673" t="str">
        <f t="shared" si="161"/>
        <v/>
      </c>
      <c r="P673" s="113" t="str">
        <f t="shared" si="150"/>
        <v>9M36</v>
      </c>
      <c r="Q673" s="114">
        <f t="shared" si="151"/>
        <v>139</v>
      </c>
      <c r="R673" s="114">
        <f t="shared" si="152"/>
        <v>119.33333333333333</v>
      </c>
      <c r="S673" s="113">
        <f t="shared" si="153"/>
        <v>106</v>
      </c>
      <c r="T673" s="111">
        <f t="shared" ca="1" si="154"/>
        <v>2.74</v>
      </c>
      <c r="U673" s="111" t="str">
        <f t="shared" si="155"/>
        <v/>
      </c>
      <c r="V673" t="str">
        <f t="array" ref="V673">INDEX(P:P,MAX(U$3:U673))</f>
        <v>9M#3DTR(B)</v>
      </c>
      <c r="W673" t="str">
        <f t="shared" ca="1" si="156"/>
        <v/>
      </c>
      <c r="X673">
        <f t="shared" si="157"/>
        <v>11.4</v>
      </c>
      <c r="Y673">
        <f t="shared" si="158"/>
        <v>139</v>
      </c>
      <c r="Z673" t="str">
        <f t="shared" si="162"/>
        <v>彰林</v>
      </c>
    </row>
    <row r="674" spans="1:26" x14ac:dyDescent="0.25">
      <c r="A674" s="118" t="s">
        <v>769</v>
      </c>
      <c r="B674" s="119" t="s">
        <v>787</v>
      </c>
      <c r="C674" s="119">
        <v>183</v>
      </c>
      <c r="D674" s="118" t="s">
        <v>177</v>
      </c>
      <c r="E674" s="118">
        <v>171</v>
      </c>
      <c r="F674" s="118" t="s">
        <v>177</v>
      </c>
      <c r="G674" s="118">
        <v>162</v>
      </c>
      <c r="H674" s="118" t="s">
        <v>176</v>
      </c>
      <c r="I674" s="378">
        <v>183</v>
      </c>
      <c r="J674" s="117">
        <v>32</v>
      </c>
      <c r="K674" s="117" t="s">
        <v>211</v>
      </c>
      <c r="L674" t="str">
        <f t="shared" si="149"/>
        <v>9M37</v>
      </c>
      <c r="M674" t="str">
        <f t="shared" si="159"/>
        <v/>
      </c>
      <c r="N674" t="str">
        <f t="shared" si="160"/>
        <v/>
      </c>
      <c r="O674" t="str">
        <f t="shared" si="161"/>
        <v/>
      </c>
      <c r="P674" s="113" t="str">
        <f t="shared" si="150"/>
        <v>9M37</v>
      </c>
      <c r="Q674" s="114">
        <f t="shared" si="151"/>
        <v>183</v>
      </c>
      <c r="R674" s="114">
        <f t="shared" si="152"/>
        <v>172</v>
      </c>
      <c r="S674" s="113">
        <f t="shared" si="153"/>
        <v>162</v>
      </c>
      <c r="T674" s="111">
        <f t="shared" ca="1" si="154"/>
        <v>3.61</v>
      </c>
      <c r="U674" s="111" t="str">
        <f t="shared" si="155"/>
        <v/>
      </c>
      <c r="V674" t="str">
        <f t="array" ref="V674">INDEX(P:P,MAX(U$3:U674))</f>
        <v>9M#3DTR(B)</v>
      </c>
      <c r="W674" t="str">
        <f t="shared" ca="1" si="156"/>
        <v/>
      </c>
      <c r="X674">
        <f t="shared" si="157"/>
        <v>11.4</v>
      </c>
      <c r="Y674">
        <f t="shared" si="158"/>
        <v>183</v>
      </c>
      <c r="Z674" t="str">
        <f t="shared" si="162"/>
        <v>彰林</v>
      </c>
    </row>
    <row r="675" spans="1:26" x14ac:dyDescent="0.25">
      <c r="A675" s="118" t="s">
        <v>769</v>
      </c>
      <c r="B675" s="119" t="s">
        <v>788</v>
      </c>
      <c r="C675" s="119">
        <v>216</v>
      </c>
      <c r="D675" s="118" t="s">
        <v>179</v>
      </c>
      <c r="E675" s="118">
        <v>238</v>
      </c>
      <c r="F675" s="118" t="s">
        <v>179</v>
      </c>
      <c r="G675" s="118">
        <v>231</v>
      </c>
      <c r="H675" s="118" t="s">
        <v>179</v>
      </c>
      <c r="I675" s="378">
        <v>238</v>
      </c>
      <c r="J675" s="117">
        <v>40</v>
      </c>
      <c r="K675" s="117" t="s">
        <v>200</v>
      </c>
      <c r="L675" t="str">
        <f t="shared" si="149"/>
        <v>9M38</v>
      </c>
      <c r="M675" t="str">
        <f t="shared" si="159"/>
        <v/>
      </c>
      <c r="N675" t="str">
        <f t="shared" si="160"/>
        <v/>
      </c>
      <c r="O675" t="str">
        <f t="shared" si="161"/>
        <v/>
      </c>
      <c r="P675" s="113" t="str">
        <f t="shared" si="150"/>
        <v>9M38</v>
      </c>
      <c r="Q675" s="114">
        <f t="shared" si="151"/>
        <v>238</v>
      </c>
      <c r="R675" s="114">
        <f t="shared" si="152"/>
        <v>228.33333333333334</v>
      </c>
      <c r="S675" s="113">
        <f t="shared" si="153"/>
        <v>216</v>
      </c>
      <c r="T675" s="111">
        <f t="shared" ca="1" si="154"/>
        <v>4.7</v>
      </c>
      <c r="U675" s="111" t="str">
        <f t="shared" si="155"/>
        <v/>
      </c>
      <c r="V675" t="str">
        <f t="array" ref="V675">INDEX(P:P,MAX(U$3:U675))</f>
        <v>9M#3DTR(B)</v>
      </c>
      <c r="W675" t="str">
        <f t="shared" ca="1" si="156"/>
        <v/>
      </c>
      <c r="X675">
        <f t="shared" si="157"/>
        <v>11.4</v>
      </c>
      <c r="Y675">
        <f t="shared" si="158"/>
        <v>238</v>
      </c>
      <c r="Z675" t="str">
        <f t="shared" si="162"/>
        <v>彰林</v>
      </c>
    </row>
    <row r="676" spans="1:26" x14ac:dyDescent="0.25">
      <c r="A676" s="118" t="s">
        <v>769</v>
      </c>
      <c r="B676" s="119" t="s">
        <v>789</v>
      </c>
      <c r="C676" s="119">
        <v>76</v>
      </c>
      <c r="D676" s="118" t="s">
        <v>376</v>
      </c>
      <c r="E676" s="118">
        <v>79</v>
      </c>
      <c r="F676" s="118" t="s">
        <v>376</v>
      </c>
      <c r="G676" s="118">
        <v>81</v>
      </c>
      <c r="H676" s="118" t="s">
        <v>376</v>
      </c>
      <c r="I676" s="378">
        <v>81</v>
      </c>
      <c r="J676" s="117">
        <v>0</v>
      </c>
      <c r="K676" s="117" t="s">
        <v>194</v>
      </c>
      <c r="L676" t="str">
        <f t="shared" si="149"/>
        <v>9M39</v>
      </c>
      <c r="M676" t="str">
        <f t="shared" si="159"/>
        <v/>
      </c>
      <c r="N676" t="str">
        <f t="shared" si="160"/>
        <v/>
      </c>
      <c r="O676" t="str">
        <f t="shared" si="161"/>
        <v/>
      </c>
      <c r="P676" s="113" t="str">
        <f t="shared" si="150"/>
        <v>9M39</v>
      </c>
      <c r="Q676" s="114">
        <f t="shared" si="151"/>
        <v>81</v>
      </c>
      <c r="R676" s="114">
        <f t="shared" si="152"/>
        <v>78.666666666666671</v>
      </c>
      <c r="S676" s="113">
        <f t="shared" si="153"/>
        <v>76</v>
      </c>
      <c r="T676" s="111">
        <f t="shared" ca="1" si="154"/>
        <v>1.6</v>
      </c>
      <c r="U676" s="111" t="str">
        <f t="shared" si="155"/>
        <v/>
      </c>
      <c r="V676" t="str">
        <f t="array" ref="V676">INDEX(P:P,MAX(U$3:U676))</f>
        <v>9M#3DTR(B)</v>
      </c>
      <c r="W676" t="str">
        <f t="shared" ca="1" si="156"/>
        <v/>
      </c>
      <c r="X676">
        <f t="shared" si="157"/>
        <v>11.4</v>
      </c>
      <c r="Y676">
        <f t="shared" si="158"/>
        <v>81</v>
      </c>
      <c r="Z676" t="str">
        <f t="shared" si="162"/>
        <v>彰林</v>
      </c>
    </row>
    <row r="677" spans="1:26" x14ac:dyDescent="0.25">
      <c r="A677" s="118" t="s">
        <v>790</v>
      </c>
      <c r="B677" s="119" t="s">
        <v>175</v>
      </c>
      <c r="C677" s="119">
        <v>449</v>
      </c>
      <c r="D677" s="118" t="s">
        <v>177</v>
      </c>
      <c r="E677" s="118">
        <v>428</v>
      </c>
      <c r="F677" s="118" t="s">
        <v>177</v>
      </c>
      <c r="G677" s="118">
        <v>387</v>
      </c>
      <c r="H677" s="118" t="s">
        <v>177</v>
      </c>
      <c r="I677" s="378">
        <v>449</v>
      </c>
      <c r="J677" s="117"/>
      <c r="K677" s="117"/>
      <c r="L677" t="str">
        <f t="shared" si="149"/>
        <v>II#1MTR</v>
      </c>
      <c r="M677" t="str">
        <f t="shared" si="159"/>
        <v/>
      </c>
      <c r="N677" t="str">
        <f t="shared" si="160"/>
        <v>II#1MTR</v>
      </c>
      <c r="O677" t="str">
        <f t="shared" si="161"/>
        <v/>
      </c>
      <c r="P677" s="113" t="str">
        <f t="shared" si="150"/>
        <v>II#1MTR</v>
      </c>
      <c r="Q677" s="114">
        <f t="shared" si="151"/>
        <v>449</v>
      </c>
      <c r="R677" s="114">
        <f t="shared" si="152"/>
        <v>421.33333333333331</v>
      </c>
      <c r="S677" s="113">
        <f t="shared" si="153"/>
        <v>387</v>
      </c>
      <c r="T677" s="111">
        <f t="shared" ca="1" si="154"/>
        <v>8.8699999999999992</v>
      </c>
      <c r="U677" s="111">
        <f t="shared" si="155"/>
        <v>677</v>
      </c>
      <c r="V677" t="str">
        <f t="array" ref="V677">INDEX(P:P,MAX(U$3:U677))</f>
        <v>II#1MTR</v>
      </c>
      <c r="W677">
        <f t="shared" ca="1" si="156"/>
        <v>25</v>
      </c>
      <c r="X677" t="str">
        <f t="shared" si="157"/>
        <v/>
      </c>
      <c r="Y677">
        <f t="shared" si="158"/>
        <v>449</v>
      </c>
      <c r="Z677" t="str">
        <f t="shared" si="162"/>
        <v>彰南</v>
      </c>
    </row>
    <row r="678" spans="1:26" x14ac:dyDescent="0.25">
      <c r="A678" s="118" t="s">
        <v>790</v>
      </c>
      <c r="B678" s="119" t="s">
        <v>791</v>
      </c>
      <c r="C678" s="119">
        <v>59</v>
      </c>
      <c r="D678" s="118" t="s">
        <v>192</v>
      </c>
      <c r="E678" s="118">
        <v>67</v>
      </c>
      <c r="F678" s="118" t="s">
        <v>229</v>
      </c>
      <c r="G678" s="118">
        <v>55</v>
      </c>
      <c r="H678" s="118" t="s">
        <v>192</v>
      </c>
      <c r="I678" s="378">
        <v>67</v>
      </c>
      <c r="J678" s="117">
        <v>22</v>
      </c>
      <c r="K678" s="117" t="s">
        <v>229</v>
      </c>
      <c r="L678" t="str">
        <f t="shared" si="149"/>
        <v>II22</v>
      </c>
      <c r="M678" t="str">
        <f t="shared" si="159"/>
        <v/>
      </c>
      <c r="N678" t="str">
        <f t="shared" si="160"/>
        <v/>
      </c>
      <c r="O678" t="str">
        <f t="shared" si="161"/>
        <v/>
      </c>
      <c r="P678" s="113" t="str">
        <f t="shared" si="150"/>
        <v>II22</v>
      </c>
      <c r="Q678" s="114">
        <f t="shared" si="151"/>
        <v>67</v>
      </c>
      <c r="R678" s="114">
        <f t="shared" si="152"/>
        <v>60.333333333333336</v>
      </c>
      <c r="S678" s="113">
        <f t="shared" si="153"/>
        <v>55</v>
      </c>
      <c r="T678" s="111">
        <f t="shared" ca="1" si="154"/>
        <v>1.32</v>
      </c>
      <c r="U678" s="111" t="str">
        <f t="shared" si="155"/>
        <v/>
      </c>
      <c r="V678" t="str">
        <f t="array" ref="V678">INDEX(P:P,MAX(U$3:U678))</f>
        <v>II#1MTR</v>
      </c>
      <c r="W678" t="str">
        <f t="shared" ca="1" si="156"/>
        <v/>
      </c>
      <c r="X678">
        <f t="shared" si="157"/>
        <v>11.4</v>
      </c>
      <c r="Y678">
        <f t="shared" si="158"/>
        <v>67</v>
      </c>
      <c r="Z678" t="str">
        <f t="shared" si="162"/>
        <v>彰南</v>
      </c>
    </row>
    <row r="679" spans="1:26" x14ac:dyDescent="0.25">
      <c r="A679" s="118" t="s">
        <v>790</v>
      </c>
      <c r="B679" s="119" t="s">
        <v>792</v>
      </c>
      <c r="C679" s="119">
        <v>74</v>
      </c>
      <c r="D679" s="118" t="s">
        <v>177</v>
      </c>
      <c r="E679" s="118">
        <v>91</v>
      </c>
      <c r="F679" s="118" t="s">
        <v>184</v>
      </c>
      <c r="G679" s="118">
        <v>61</v>
      </c>
      <c r="H679" s="118" t="s">
        <v>188</v>
      </c>
      <c r="I679" s="378">
        <v>91</v>
      </c>
      <c r="J679" s="117">
        <v>42</v>
      </c>
      <c r="K679" s="117" t="s">
        <v>184</v>
      </c>
      <c r="L679" t="str">
        <f t="shared" si="149"/>
        <v>II25</v>
      </c>
      <c r="M679" t="str">
        <f t="shared" si="159"/>
        <v/>
      </c>
      <c r="N679" t="str">
        <f t="shared" si="160"/>
        <v/>
      </c>
      <c r="O679" t="str">
        <f t="shared" si="161"/>
        <v/>
      </c>
      <c r="P679" s="113" t="str">
        <f t="shared" si="150"/>
        <v>II25</v>
      </c>
      <c r="Q679" s="114">
        <f t="shared" si="151"/>
        <v>91</v>
      </c>
      <c r="R679" s="114">
        <f t="shared" si="152"/>
        <v>75.333333333333329</v>
      </c>
      <c r="S679" s="113">
        <f t="shared" si="153"/>
        <v>61</v>
      </c>
      <c r="T679" s="111">
        <f t="shared" ca="1" si="154"/>
        <v>1.8</v>
      </c>
      <c r="U679" s="111" t="str">
        <f t="shared" si="155"/>
        <v/>
      </c>
      <c r="V679" t="str">
        <f t="array" ref="V679">INDEX(P:P,MAX(U$3:U679))</f>
        <v>II#1MTR</v>
      </c>
      <c r="W679" t="str">
        <f t="shared" ca="1" si="156"/>
        <v/>
      </c>
      <c r="X679">
        <f t="shared" si="157"/>
        <v>11.4</v>
      </c>
      <c r="Y679">
        <f t="shared" si="158"/>
        <v>91</v>
      </c>
      <c r="Z679" t="str">
        <f t="shared" si="162"/>
        <v>彰南</v>
      </c>
    </row>
    <row r="680" spans="1:26" x14ac:dyDescent="0.25">
      <c r="A680" s="118" t="s">
        <v>790</v>
      </c>
      <c r="B680" s="119" t="s">
        <v>793</v>
      </c>
      <c r="C680" s="119">
        <v>198</v>
      </c>
      <c r="D680" s="118" t="s">
        <v>177</v>
      </c>
      <c r="E680" s="118">
        <v>204</v>
      </c>
      <c r="F680" s="118" t="s">
        <v>177</v>
      </c>
      <c r="G680" s="118">
        <v>204</v>
      </c>
      <c r="H680" s="118" t="s">
        <v>176</v>
      </c>
      <c r="I680" s="378">
        <v>204</v>
      </c>
      <c r="J680" s="117">
        <v>57</v>
      </c>
      <c r="K680" s="117" t="s">
        <v>188</v>
      </c>
      <c r="L680" t="str">
        <f t="shared" si="149"/>
        <v>II20</v>
      </c>
      <c r="M680" t="str">
        <f t="shared" si="159"/>
        <v/>
      </c>
      <c r="N680" t="str">
        <f t="shared" si="160"/>
        <v/>
      </c>
      <c r="O680" t="str">
        <f t="shared" si="161"/>
        <v/>
      </c>
      <c r="P680" s="113" t="str">
        <f t="shared" si="150"/>
        <v>II20</v>
      </c>
      <c r="Q680" s="114">
        <f t="shared" si="151"/>
        <v>204</v>
      </c>
      <c r="R680" s="114">
        <f t="shared" si="152"/>
        <v>202</v>
      </c>
      <c r="S680" s="113">
        <f t="shared" si="153"/>
        <v>198</v>
      </c>
      <c r="T680" s="111">
        <f t="shared" ca="1" si="154"/>
        <v>4.03</v>
      </c>
      <c r="U680" s="111" t="str">
        <f t="shared" si="155"/>
        <v/>
      </c>
      <c r="V680" t="str">
        <f t="array" ref="V680">INDEX(P:P,MAX(U$3:U680))</f>
        <v>II#1MTR</v>
      </c>
      <c r="W680" t="str">
        <f t="shared" ca="1" si="156"/>
        <v/>
      </c>
      <c r="X680">
        <f t="shared" si="157"/>
        <v>11.4</v>
      </c>
      <c r="Y680">
        <f t="shared" si="158"/>
        <v>204</v>
      </c>
      <c r="Z680" t="str">
        <f t="shared" si="162"/>
        <v>彰南</v>
      </c>
    </row>
    <row r="681" spans="1:26" x14ac:dyDescent="0.25">
      <c r="A681" s="118" t="s">
        <v>790</v>
      </c>
      <c r="B681" s="119" t="s">
        <v>794</v>
      </c>
      <c r="C681" s="119">
        <v>110</v>
      </c>
      <c r="D681" s="118" t="s">
        <v>177</v>
      </c>
      <c r="E681" s="118">
        <v>68</v>
      </c>
      <c r="F681" s="118" t="s">
        <v>177</v>
      </c>
      <c r="G681" s="118">
        <v>57</v>
      </c>
      <c r="H681" s="118" t="s">
        <v>192</v>
      </c>
      <c r="I681" s="378">
        <v>110</v>
      </c>
      <c r="J681" s="117">
        <v>60</v>
      </c>
      <c r="K681" s="117" t="s">
        <v>176</v>
      </c>
      <c r="L681" t="str">
        <f t="shared" si="149"/>
        <v>II26</v>
      </c>
      <c r="M681" t="str">
        <f t="shared" si="159"/>
        <v/>
      </c>
      <c r="N681" t="str">
        <f t="shared" si="160"/>
        <v/>
      </c>
      <c r="O681" t="str">
        <f t="shared" si="161"/>
        <v/>
      </c>
      <c r="P681" s="113" t="str">
        <f t="shared" si="150"/>
        <v>II26</v>
      </c>
      <c r="Q681" s="114">
        <f t="shared" si="151"/>
        <v>110</v>
      </c>
      <c r="R681" s="114">
        <f t="shared" si="152"/>
        <v>78.333333333333329</v>
      </c>
      <c r="S681" s="113">
        <f t="shared" si="153"/>
        <v>57</v>
      </c>
      <c r="T681" s="111">
        <f t="shared" ca="1" si="154"/>
        <v>2.17</v>
      </c>
      <c r="U681" s="111" t="str">
        <f t="shared" si="155"/>
        <v/>
      </c>
      <c r="V681" t="str">
        <f t="array" ref="V681">INDEX(P:P,MAX(U$3:U681))</f>
        <v>II#1MTR</v>
      </c>
      <c r="W681" t="str">
        <f t="shared" ca="1" si="156"/>
        <v/>
      </c>
      <c r="X681">
        <f t="shared" si="157"/>
        <v>11.4</v>
      </c>
      <c r="Y681">
        <f t="shared" si="158"/>
        <v>110</v>
      </c>
      <c r="Z681" t="str">
        <f t="shared" si="162"/>
        <v>彰南</v>
      </c>
    </row>
    <row r="682" spans="1:26" x14ac:dyDescent="0.25">
      <c r="A682" s="118" t="s">
        <v>790</v>
      </c>
      <c r="B682" s="119" t="s">
        <v>795</v>
      </c>
      <c r="C682" s="119">
        <v>41</v>
      </c>
      <c r="D682" s="118" t="s">
        <v>180</v>
      </c>
      <c r="E682" s="118">
        <v>39</v>
      </c>
      <c r="F682" s="118" t="s">
        <v>180</v>
      </c>
      <c r="G682" s="118">
        <v>40</v>
      </c>
      <c r="H682" s="118" t="s">
        <v>177</v>
      </c>
      <c r="I682" s="378">
        <v>41</v>
      </c>
      <c r="J682" s="117">
        <v>31</v>
      </c>
      <c r="K682" s="117" t="s">
        <v>203</v>
      </c>
      <c r="L682" t="str">
        <f t="shared" si="149"/>
        <v>II27</v>
      </c>
      <c r="M682" t="str">
        <f t="shared" si="159"/>
        <v/>
      </c>
      <c r="N682" t="str">
        <f t="shared" si="160"/>
        <v/>
      </c>
      <c r="O682" t="str">
        <f t="shared" si="161"/>
        <v/>
      </c>
      <c r="P682" s="113" t="str">
        <f t="shared" si="150"/>
        <v>II27</v>
      </c>
      <c r="Q682" s="114">
        <f t="shared" si="151"/>
        <v>41</v>
      </c>
      <c r="R682" s="114">
        <f t="shared" si="152"/>
        <v>40</v>
      </c>
      <c r="S682" s="113">
        <f t="shared" si="153"/>
        <v>39</v>
      </c>
      <c r="T682" s="111">
        <f t="shared" ca="1" si="154"/>
        <v>0.81</v>
      </c>
      <c r="U682" s="111" t="str">
        <f t="shared" si="155"/>
        <v/>
      </c>
      <c r="V682" t="str">
        <f t="array" ref="V682">INDEX(P:P,MAX(U$3:U682))</f>
        <v>II#1MTR</v>
      </c>
      <c r="W682" t="str">
        <f t="shared" ca="1" si="156"/>
        <v/>
      </c>
      <c r="X682">
        <f t="shared" si="157"/>
        <v>11.4</v>
      </c>
      <c r="Y682">
        <f t="shared" si="158"/>
        <v>41</v>
      </c>
      <c r="Z682" t="str">
        <f t="shared" si="162"/>
        <v>彰南</v>
      </c>
    </row>
    <row r="683" spans="1:26" x14ac:dyDescent="0.25">
      <c r="A683" s="118" t="s">
        <v>790</v>
      </c>
      <c r="B683" s="119" t="s">
        <v>187</v>
      </c>
      <c r="C683" s="119">
        <v>874</v>
      </c>
      <c r="D683" s="118" t="s">
        <v>183</v>
      </c>
      <c r="E683" s="118">
        <v>911</v>
      </c>
      <c r="F683" s="118" t="s">
        <v>177</v>
      </c>
      <c r="G683" s="118">
        <v>845</v>
      </c>
      <c r="H683" s="118" t="s">
        <v>177</v>
      </c>
      <c r="I683" s="378">
        <v>911</v>
      </c>
      <c r="J683" s="117"/>
      <c r="K683" s="117"/>
      <c r="L683" t="str">
        <f t="shared" si="149"/>
        <v>II#2MTR</v>
      </c>
      <c r="M683" t="str">
        <f t="shared" si="159"/>
        <v/>
      </c>
      <c r="N683" t="str">
        <f t="shared" si="160"/>
        <v>II#2MTR</v>
      </c>
      <c r="O683" t="str">
        <f t="shared" si="161"/>
        <v/>
      </c>
      <c r="P683" s="113" t="str">
        <f t="shared" si="150"/>
        <v>II#2MTR</v>
      </c>
      <c r="Q683" s="114">
        <f t="shared" si="151"/>
        <v>911</v>
      </c>
      <c r="R683" s="114">
        <f t="shared" si="152"/>
        <v>876.66666666666663</v>
      </c>
      <c r="S683" s="113">
        <f t="shared" si="153"/>
        <v>845</v>
      </c>
      <c r="T683" s="111">
        <f t="shared" ca="1" si="154"/>
        <v>17.989999999999998</v>
      </c>
      <c r="U683" s="111">
        <f t="shared" si="155"/>
        <v>683</v>
      </c>
      <c r="V683" t="str">
        <f t="array" ref="V683">INDEX(P:P,MAX(U$3:U683))</f>
        <v>II#2MTR</v>
      </c>
      <c r="W683">
        <f t="shared" ca="1" si="156"/>
        <v>25</v>
      </c>
      <c r="X683" t="str">
        <f t="shared" si="157"/>
        <v/>
      </c>
      <c r="Y683">
        <f t="shared" si="158"/>
        <v>911</v>
      </c>
      <c r="Z683" t="str">
        <f t="shared" si="162"/>
        <v>彰南</v>
      </c>
    </row>
    <row r="684" spans="1:26" x14ac:dyDescent="0.25">
      <c r="A684" s="118" t="s">
        <v>790</v>
      </c>
      <c r="B684" s="119" t="s">
        <v>796</v>
      </c>
      <c r="C684" s="119">
        <v>122</v>
      </c>
      <c r="D684" s="118" t="s">
        <v>180</v>
      </c>
      <c r="E684" s="118">
        <v>173</v>
      </c>
      <c r="F684" s="118" t="s">
        <v>183</v>
      </c>
      <c r="G684" s="118">
        <v>162</v>
      </c>
      <c r="H684" s="118" t="s">
        <v>183</v>
      </c>
      <c r="I684" s="378">
        <v>173</v>
      </c>
      <c r="J684" s="117">
        <v>67</v>
      </c>
      <c r="K684" s="117" t="s">
        <v>176</v>
      </c>
      <c r="L684" t="str">
        <f t="shared" si="149"/>
        <v>II32</v>
      </c>
      <c r="M684" t="str">
        <f t="shared" si="159"/>
        <v/>
      </c>
      <c r="N684" t="str">
        <f t="shared" si="160"/>
        <v/>
      </c>
      <c r="O684" t="str">
        <f t="shared" si="161"/>
        <v/>
      </c>
      <c r="P684" s="113" t="str">
        <f t="shared" si="150"/>
        <v>II32</v>
      </c>
      <c r="Q684" s="114">
        <f t="shared" si="151"/>
        <v>173</v>
      </c>
      <c r="R684" s="114">
        <f t="shared" si="152"/>
        <v>152.33333333333334</v>
      </c>
      <c r="S684" s="113">
        <f t="shared" si="153"/>
        <v>122</v>
      </c>
      <c r="T684" s="111">
        <f t="shared" ca="1" si="154"/>
        <v>3.42</v>
      </c>
      <c r="U684" s="111" t="str">
        <f t="shared" si="155"/>
        <v/>
      </c>
      <c r="V684" t="str">
        <f t="array" ref="V684">INDEX(P:P,MAX(U$3:U684))</f>
        <v>II#2MTR</v>
      </c>
      <c r="W684" t="str">
        <f t="shared" ca="1" si="156"/>
        <v/>
      </c>
      <c r="X684">
        <f t="shared" si="157"/>
        <v>11.4</v>
      </c>
      <c r="Y684">
        <f t="shared" si="158"/>
        <v>173</v>
      </c>
      <c r="Z684" t="str">
        <f t="shared" si="162"/>
        <v>彰南</v>
      </c>
    </row>
    <row r="685" spans="1:26" x14ac:dyDescent="0.25">
      <c r="A685" s="118" t="s">
        <v>790</v>
      </c>
      <c r="B685" s="119" t="s">
        <v>797</v>
      </c>
      <c r="C685" s="119">
        <v>204</v>
      </c>
      <c r="D685" s="118" t="s">
        <v>177</v>
      </c>
      <c r="E685" s="118">
        <v>183</v>
      </c>
      <c r="F685" s="118" t="s">
        <v>180</v>
      </c>
      <c r="G685" s="118">
        <v>222</v>
      </c>
      <c r="H685" s="118" t="s">
        <v>177</v>
      </c>
      <c r="I685" s="378">
        <v>222</v>
      </c>
      <c r="J685" s="117">
        <v>55</v>
      </c>
      <c r="K685" s="117" t="s">
        <v>176</v>
      </c>
      <c r="L685" t="str">
        <f t="shared" si="149"/>
        <v>II31</v>
      </c>
      <c r="M685" t="str">
        <f t="shared" si="159"/>
        <v/>
      </c>
      <c r="N685" t="str">
        <f t="shared" si="160"/>
        <v/>
      </c>
      <c r="O685" t="str">
        <f t="shared" si="161"/>
        <v/>
      </c>
      <c r="P685" s="113" t="str">
        <f t="shared" si="150"/>
        <v>II31</v>
      </c>
      <c r="Q685" s="114">
        <f t="shared" si="151"/>
        <v>222</v>
      </c>
      <c r="R685" s="114">
        <f t="shared" si="152"/>
        <v>203</v>
      </c>
      <c r="S685" s="113">
        <f t="shared" si="153"/>
        <v>183</v>
      </c>
      <c r="T685" s="111">
        <f t="shared" ca="1" si="154"/>
        <v>4.38</v>
      </c>
      <c r="U685" s="111" t="str">
        <f t="shared" si="155"/>
        <v/>
      </c>
      <c r="V685" t="str">
        <f t="array" ref="V685">INDEX(P:P,MAX(U$3:U685))</f>
        <v>II#2MTR</v>
      </c>
      <c r="W685" t="str">
        <f t="shared" ca="1" si="156"/>
        <v/>
      </c>
      <c r="X685">
        <f t="shared" si="157"/>
        <v>11.4</v>
      </c>
      <c r="Y685">
        <f t="shared" si="158"/>
        <v>222</v>
      </c>
      <c r="Z685" t="str">
        <f t="shared" si="162"/>
        <v>彰南</v>
      </c>
    </row>
    <row r="686" spans="1:26" x14ac:dyDescent="0.25">
      <c r="A686" s="118" t="s">
        <v>790</v>
      </c>
      <c r="B686" s="119" t="s">
        <v>798</v>
      </c>
      <c r="C686" s="119">
        <v>139</v>
      </c>
      <c r="D686" s="118" t="s">
        <v>183</v>
      </c>
      <c r="E686" s="118">
        <v>130</v>
      </c>
      <c r="F686" s="118" t="s">
        <v>180</v>
      </c>
      <c r="G686" s="118">
        <v>132</v>
      </c>
      <c r="H686" s="118" t="s">
        <v>183</v>
      </c>
      <c r="I686" s="378">
        <v>139</v>
      </c>
      <c r="J686" s="117">
        <v>31</v>
      </c>
      <c r="K686" s="117" t="s">
        <v>188</v>
      </c>
      <c r="L686" t="str">
        <f t="shared" si="149"/>
        <v>II34</v>
      </c>
      <c r="M686" t="str">
        <f t="shared" si="159"/>
        <v/>
      </c>
      <c r="N686" t="str">
        <f t="shared" si="160"/>
        <v/>
      </c>
      <c r="O686" t="str">
        <f t="shared" si="161"/>
        <v/>
      </c>
      <c r="P686" s="113" t="str">
        <f t="shared" si="150"/>
        <v>II34</v>
      </c>
      <c r="Q686" s="114">
        <f t="shared" si="151"/>
        <v>139</v>
      </c>
      <c r="R686" s="114">
        <f t="shared" si="152"/>
        <v>133.66666666666666</v>
      </c>
      <c r="S686" s="113">
        <f t="shared" si="153"/>
        <v>130</v>
      </c>
      <c r="T686" s="111">
        <f t="shared" ca="1" si="154"/>
        <v>2.74</v>
      </c>
      <c r="U686" s="111" t="str">
        <f t="shared" si="155"/>
        <v/>
      </c>
      <c r="V686" t="str">
        <f t="array" ref="V686">INDEX(P:P,MAX(U$3:U686))</f>
        <v>II#2MTR</v>
      </c>
      <c r="W686" t="str">
        <f t="shared" ca="1" si="156"/>
        <v/>
      </c>
      <c r="X686">
        <f t="shared" si="157"/>
        <v>11.4</v>
      </c>
      <c r="Y686">
        <f t="shared" si="158"/>
        <v>139</v>
      </c>
      <c r="Z686" t="str">
        <f t="shared" si="162"/>
        <v>彰南</v>
      </c>
    </row>
    <row r="687" spans="1:26" x14ac:dyDescent="0.25">
      <c r="A687" s="118" t="s">
        <v>790</v>
      </c>
      <c r="B687" s="119" t="s">
        <v>799</v>
      </c>
      <c r="C687" s="119">
        <v>236</v>
      </c>
      <c r="D687" s="118" t="s">
        <v>183</v>
      </c>
      <c r="E687" s="118">
        <v>242</v>
      </c>
      <c r="F687" s="118" t="s">
        <v>183</v>
      </c>
      <c r="G687" s="118">
        <v>168</v>
      </c>
      <c r="H687" s="118" t="s">
        <v>179</v>
      </c>
      <c r="I687" s="378">
        <v>242</v>
      </c>
      <c r="J687" s="117">
        <v>119</v>
      </c>
      <c r="K687" s="117" t="s">
        <v>183</v>
      </c>
      <c r="L687" t="str">
        <f t="shared" si="149"/>
        <v>II30</v>
      </c>
      <c r="M687" t="str">
        <f t="shared" si="159"/>
        <v/>
      </c>
      <c r="N687" t="str">
        <f t="shared" si="160"/>
        <v/>
      </c>
      <c r="O687" t="str">
        <f t="shared" si="161"/>
        <v/>
      </c>
      <c r="P687" s="113" t="str">
        <f t="shared" si="150"/>
        <v>II30</v>
      </c>
      <c r="Q687" s="114">
        <f t="shared" si="151"/>
        <v>242</v>
      </c>
      <c r="R687" s="114">
        <f t="shared" si="152"/>
        <v>215.33333333333334</v>
      </c>
      <c r="S687" s="113">
        <f t="shared" si="153"/>
        <v>168</v>
      </c>
      <c r="T687" s="111">
        <f t="shared" ca="1" si="154"/>
        <v>4.78</v>
      </c>
      <c r="U687" s="111" t="str">
        <f t="shared" si="155"/>
        <v/>
      </c>
      <c r="V687" t="str">
        <f t="array" ref="V687">INDEX(P:P,MAX(U$3:U687))</f>
        <v>II#2MTR</v>
      </c>
      <c r="W687" t="str">
        <f t="shared" ca="1" si="156"/>
        <v/>
      </c>
      <c r="X687">
        <f t="shared" si="157"/>
        <v>11.4</v>
      </c>
      <c r="Y687">
        <f t="shared" si="158"/>
        <v>242</v>
      </c>
      <c r="Z687" t="str">
        <f t="shared" si="162"/>
        <v>彰南</v>
      </c>
    </row>
    <row r="688" spans="1:26" x14ac:dyDescent="0.25">
      <c r="A688" s="118" t="s">
        <v>790</v>
      </c>
      <c r="B688" s="119" t="s">
        <v>800</v>
      </c>
      <c r="C688" s="119">
        <v>231</v>
      </c>
      <c r="D688" s="118" t="s">
        <v>188</v>
      </c>
      <c r="E688" s="118">
        <v>228</v>
      </c>
      <c r="F688" s="118" t="s">
        <v>188</v>
      </c>
      <c r="G688" s="118">
        <v>177</v>
      </c>
      <c r="H688" s="118" t="s">
        <v>188</v>
      </c>
      <c r="I688" s="378">
        <v>231</v>
      </c>
      <c r="J688" s="117">
        <v>83</v>
      </c>
      <c r="K688" s="117" t="s">
        <v>188</v>
      </c>
      <c r="L688" t="str">
        <f t="shared" si="149"/>
        <v>II28</v>
      </c>
      <c r="M688" t="str">
        <f t="shared" si="159"/>
        <v/>
      </c>
      <c r="N688" t="str">
        <f t="shared" si="160"/>
        <v/>
      </c>
      <c r="O688" t="str">
        <f t="shared" si="161"/>
        <v/>
      </c>
      <c r="P688" s="113" t="str">
        <f t="shared" si="150"/>
        <v>II28</v>
      </c>
      <c r="Q688" s="114">
        <f t="shared" si="151"/>
        <v>231</v>
      </c>
      <c r="R688" s="114">
        <f t="shared" si="152"/>
        <v>212</v>
      </c>
      <c r="S688" s="113">
        <f t="shared" si="153"/>
        <v>177</v>
      </c>
      <c r="T688" s="111">
        <f t="shared" ca="1" si="154"/>
        <v>4.5599999999999996</v>
      </c>
      <c r="U688" s="111" t="str">
        <f t="shared" si="155"/>
        <v/>
      </c>
      <c r="V688" t="str">
        <f t="array" ref="V688">INDEX(P:P,MAX(U$3:U688))</f>
        <v>II#2MTR</v>
      </c>
      <c r="W688" t="str">
        <f t="shared" ca="1" si="156"/>
        <v/>
      </c>
      <c r="X688">
        <f t="shared" si="157"/>
        <v>11.4</v>
      </c>
      <c r="Y688">
        <f t="shared" si="158"/>
        <v>231</v>
      </c>
      <c r="Z688" t="str">
        <f t="shared" si="162"/>
        <v>彰南</v>
      </c>
    </row>
    <row r="689" spans="1:26" x14ac:dyDescent="0.25">
      <c r="A689" s="118" t="s">
        <v>790</v>
      </c>
      <c r="B689" s="119" t="s">
        <v>197</v>
      </c>
      <c r="C689" s="119">
        <v>480</v>
      </c>
      <c r="D689" s="118" t="s">
        <v>192</v>
      </c>
      <c r="E689" s="118">
        <v>476</v>
      </c>
      <c r="F689" s="118" t="s">
        <v>192</v>
      </c>
      <c r="G689" s="118">
        <v>499</v>
      </c>
      <c r="H689" s="118" t="s">
        <v>192</v>
      </c>
      <c r="I689" s="378">
        <v>499</v>
      </c>
      <c r="J689" s="117"/>
      <c r="K689" s="117"/>
      <c r="L689" t="str">
        <f t="shared" si="149"/>
        <v>II#3MTR</v>
      </c>
      <c r="M689" t="str">
        <f t="shared" si="159"/>
        <v/>
      </c>
      <c r="N689" t="str">
        <f t="shared" si="160"/>
        <v>II#3MTR</v>
      </c>
      <c r="O689" t="str">
        <f t="shared" si="161"/>
        <v/>
      </c>
      <c r="P689" s="113" t="str">
        <f t="shared" si="150"/>
        <v>II#3MTR</v>
      </c>
      <c r="Q689" s="114">
        <f t="shared" si="151"/>
        <v>499</v>
      </c>
      <c r="R689" s="114">
        <f t="shared" si="152"/>
        <v>485</v>
      </c>
      <c r="S689" s="113">
        <f t="shared" si="153"/>
        <v>476</v>
      </c>
      <c r="T689" s="111">
        <f t="shared" ca="1" si="154"/>
        <v>9.85</v>
      </c>
      <c r="U689" s="111">
        <f t="shared" si="155"/>
        <v>689</v>
      </c>
      <c r="V689" t="str">
        <f t="array" ref="V689">INDEX(P:P,MAX(U$3:U689))</f>
        <v>II#3MTR</v>
      </c>
      <c r="W689">
        <f t="shared" ca="1" si="156"/>
        <v>25</v>
      </c>
      <c r="X689" t="str">
        <f t="shared" si="157"/>
        <v/>
      </c>
      <c r="Y689">
        <f t="shared" si="158"/>
        <v>499</v>
      </c>
      <c r="Z689" t="str">
        <f t="shared" si="162"/>
        <v>彰南</v>
      </c>
    </row>
    <row r="690" spans="1:26" x14ac:dyDescent="0.25">
      <c r="A690" s="118" t="s">
        <v>790</v>
      </c>
      <c r="B690" s="119" t="s">
        <v>801</v>
      </c>
      <c r="C690" s="119">
        <v>210</v>
      </c>
      <c r="D690" s="118" t="s">
        <v>180</v>
      </c>
      <c r="E690" s="118">
        <v>178</v>
      </c>
      <c r="F690" s="118" t="s">
        <v>192</v>
      </c>
      <c r="G690" s="118">
        <v>172</v>
      </c>
      <c r="H690" s="118" t="s">
        <v>180</v>
      </c>
      <c r="I690" s="378">
        <v>210</v>
      </c>
      <c r="J690" s="117">
        <v>58</v>
      </c>
      <c r="K690" s="117" t="s">
        <v>180</v>
      </c>
      <c r="L690" t="str">
        <f t="shared" si="149"/>
        <v>II24</v>
      </c>
      <c r="M690" t="str">
        <f t="shared" si="159"/>
        <v/>
      </c>
      <c r="N690" t="str">
        <f t="shared" si="160"/>
        <v/>
      </c>
      <c r="O690" t="str">
        <f t="shared" si="161"/>
        <v/>
      </c>
      <c r="P690" s="113" t="str">
        <f t="shared" si="150"/>
        <v>II24</v>
      </c>
      <c r="Q690" s="114">
        <f t="shared" si="151"/>
        <v>210</v>
      </c>
      <c r="R690" s="114">
        <f t="shared" si="152"/>
        <v>186.66666666666666</v>
      </c>
      <c r="S690" s="113">
        <f t="shared" si="153"/>
        <v>172</v>
      </c>
      <c r="T690" s="111">
        <f t="shared" ca="1" si="154"/>
        <v>4.1500000000000004</v>
      </c>
      <c r="U690" s="111" t="str">
        <f t="shared" si="155"/>
        <v/>
      </c>
      <c r="V690" t="str">
        <f t="array" ref="V690">INDEX(P:P,MAX(U$3:U690))</f>
        <v>II#3MTR</v>
      </c>
      <c r="W690" t="str">
        <f t="shared" ca="1" si="156"/>
        <v/>
      </c>
      <c r="X690">
        <f t="shared" si="157"/>
        <v>11.4</v>
      </c>
      <c r="Y690">
        <f t="shared" si="158"/>
        <v>210</v>
      </c>
      <c r="Z690" t="str">
        <f t="shared" si="162"/>
        <v>彰南</v>
      </c>
    </row>
    <row r="691" spans="1:26" x14ac:dyDescent="0.25">
      <c r="A691" s="118" t="s">
        <v>790</v>
      </c>
      <c r="B691" s="119" t="s">
        <v>802</v>
      </c>
      <c r="C691" s="119">
        <v>155</v>
      </c>
      <c r="D691" s="118" t="s">
        <v>192</v>
      </c>
      <c r="E691" s="118">
        <v>188</v>
      </c>
      <c r="F691" s="118" t="s">
        <v>177</v>
      </c>
      <c r="G691" s="118">
        <v>206</v>
      </c>
      <c r="H691" s="118" t="s">
        <v>183</v>
      </c>
      <c r="I691" s="378">
        <v>206</v>
      </c>
      <c r="J691" s="117">
        <v>75</v>
      </c>
      <c r="K691" s="117" t="s">
        <v>184</v>
      </c>
      <c r="L691" t="str">
        <f t="shared" si="149"/>
        <v>II33</v>
      </c>
      <c r="M691" t="str">
        <f t="shared" si="159"/>
        <v/>
      </c>
      <c r="N691" t="str">
        <f t="shared" si="160"/>
        <v/>
      </c>
      <c r="O691" t="str">
        <f t="shared" si="161"/>
        <v/>
      </c>
      <c r="P691" s="113" t="str">
        <f t="shared" si="150"/>
        <v>II33</v>
      </c>
      <c r="Q691" s="114">
        <f t="shared" si="151"/>
        <v>206</v>
      </c>
      <c r="R691" s="114">
        <f t="shared" si="152"/>
        <v>183</v>
      </c>
      <c r="S691" s="113">
        <f t="shared" si="153"/>
        <v>155</v>
      </c>
      <c r="T691" s="111">
        <f t="shared" ca="1" si="154"/>
        <v>4.07</v>
      </c>
      <c r="U691" s="111" t="str">
        <f t="shared" si="155"/>
        <v/>
      </c>
      <c r="V691" t="str">
        <f t="array" ref="V691">INDEX(P:P,MAX(U$3:U691))</f>
        <v>II#3MTR</v>
      </c>
      <c r="W691" t="str">
        <f t="shared" ca="1" si="156"/>
        <v/>
      </c>
      <c r="X691">
        <f t="shared" si="157"/>
        <v>11.4</v>
      </c>
      <c r="Y691">
        <f t="shared" si="158"/>
        <v>206</v>
      </c>
      <c r="Z691" t="str">
        <f t="shared" si="162"/>
        <v>彰南</v>
      </c>
    </row>
    <row r="692" spans="1:26" x14ac:dyDescent="0.25">
      <c r="A692" s="118" t="s">
        <v>790</v>
      </c>
      <c r="B692" s="119" t="s">
        <v>803</v>
      </c>
      <c r="C692" s="119">
        <v>18</v>
      </c>
      <c r="D692" s="118" t="s">
        <v>179</v>
      </c>
      <c r="E692" s="118">
        <v>24</v>
      </c>
      <c r="F692" s="118" t="s">
        <v>192</v>
      </c>
      <c r="G692" s="118">
        <v>41</v>
      </c>
      <c r="H692" s="118" t="s">
        <v>177</v>
      </c>
      <c r="I692" s="378">
        <v>41</v>
      </c>
      <c r="J692" s="117">
        <v>30</v>
      </c>
      <c r="K692" s="117" t="s">
        <v>207</v>
      </c>
      <c r="L692" t="str">
        <f t="shared" si="149"/>
        <v>II21</v>
      </c>
      <c r="M692" t="str">
        <f t="shared" si="159"/>
        <v/>
      </c>
      <c r="N692" t="str">
        <f t="shared" si="160"/>
        <v/>
      </c>
      <c r="O692" t="str">
        <f t="shared" si="161"/>
        <v/>
      </c>
      <c r="P692" s="113" t="str">
        <f t="shared" si="150"/>
        <v>II21</v>
      </c>
      <c r="Q692" s="114">
        <f t="shared" si="151"/>
        <v>41</v>
      </c>
      <c r="R692" s="114">
        <f t="shared" si="152"/>
        <v>27.666666666666668</v>
      </c>
      <c r="S692" s="113">
        <f t="shared" si="153"/>
        <v>18</v>
      </c>
      <c r="T692" s="111">
        <f t="shared" ca="1" si="154"/>
        <v>0.81</v>
      </c>
      <c r="U692" s="111" t="str">
        <f t="shared" si="155"/>
        <v/>
      </c>
      <c r="V692" t="str">
        <f t="array" ref="V692">INDEX(P:P,MAX(U$3:U692))</f>
        <v>II#3MTR</v>
      </c>
      <c r="W692" t="str">
        <f t="shared" ca="1" si="156"/>
        <v/>
      </c>
      <c r="X692">
        <f t="shared" si="157"/>
        <v>11.4</v>
      </c>
      <c r="Y692">
        <f t="shared" si="158"/>
        <v>41</v>
      </c>
      <c r="Z692" t="str">
        <f t="shared" si="162"/>
        <v>彰南</v>
      </c>
    </row>
    <row r="693" spans="1:26" x14ac:dyDescent="0.25">
      <c r="A693" s="118" t="s">
        <v>790</v>
      </c>
      <c r="B693" s="119" t="s">
        <v>804</v>
      </c>
      <c r="C693" s="119">
        <v>75</v>
      </c>
      <c r="D693" s="118" t="s">
        <v>196</v>
      </c>
      <c r="E693" s="118">
        <v>59</v>
      </c>
      <c r="F693" s="118" t="s">
        <v>188</v>
      </c>
      <c r="G693" s="118">
        <v>34</v>
      </c>
      <c r="H693" s="118" t="s">
        <v>203</v>
      </c>
      <c r="I693" s="378">
        <v>75</v>
      </c>
      <c r="J693" s="117">
        <v>43</v>
      </c>
      <c r="K693" s="117" t="s">
        <v>188</v>
      </c>
      <c r="L693" t="str">
        <f t="shared" si="149"/>
        <v>II29</v>
      </c>
      <c r="M693" t="str">
        <f t="shared" si="159"/>
        <v/>
      </c>
      <c r="N693" t="str">
        <f t="shared" si="160"/>
        <v/>
      </c>
      <c r="O693" t="str">
        <f t="shared" si="161"/>
        <v/>
      </c>
      <c r="P693" s="113" t="str">
        <f t="shared" si="150"/>
        <v>II29</v>
      </c>
      <c r="Q693" s="114">
        <f t="shared" si="151"/>
        <v>75</v>
      </c>
      <c r="R693" s="114">
        <f t="shared" si="152"/>
        <v>56</v>
      </c>
      <c r="S693" s="113">
        <f t="shared" si="153"/>
        <v>34</v>
      </c>
      <c r="T693" s="111">
        <f t="shared" ca="1" si="154"/>
        <v>1.48</v>
      </c>
      <c r="U693" s="111" t="str">
        <f t="shared" si="155"/>
        <v/>
      </c>
      <c r="V693" t="str">
        <f t="array" ref="V693">INDEX(P:P,MAX(U$3:U693))</f>
        <v>II#3MTR</v>
      </c>
      <c r="W693" t="str">
        <f t="shared" ca="1" si="156"/>
        <v/>
      </c>
      <c r="X693">
        <f t="shared" si="157"/>
        <v>11.4</v>
      </c>
      <c r="Y693">
        <f t="shared" si="158"/>
        <v>75</v>
      </c>
      <c r="Z693" t="str">
        <f t="shared" si="162"/>
        <v>彰南</v>
      </c>
    </row>
    <row r="694" spans="1:26" x14ac:dyDescent="0.25">
      <c r="A694" s="118" t="s">
        <v>790</v>
      </c>
      <c r="B694" s="119" t="s">
        <v>805</v>
      </c>
      <c r="C694" s="119">
        <v>61</v>
      </c>
      <c r="D694" s="118" t="s">
        <v>192</v>
      </c>
      <c r="E694" s="118">
        <v>64</v>
      </c>
      <c r="F694" s="118" t="s">
        <v>192</v>
      </c>
      <c r="G694" s="118">
        <v>66</v>
      </c>
      <c r="H694" s="118" t="s">
        <v>192</v>
      </c>
      <c r="I694" s="378">
        <v>66</v>
      </c>
      <c r="J694" s="117">
        <v>25</v>
      </c>
      <c r="K694" s="117" t="s">
        <v>179</v>
      </c>
      <c r="L694" t="str">
        <f t="shared" si="149"/>
        <v>II23</v>
      </c>
      <c r="M694" t="str">
        <f t="shared" si="159"/>
        <v/>
      </c>
      <c r="N694" t="str">
        <f t="shared" si="160"/>
        <v/>
      </c>
      <c r="O694" t="str">
        <f t="shared" si="161"/>
        <v/>
      </c>
      <c r="P694" s="113" t="str">
        <f t="shared" si="150"/>
        <v>II23</v>
      </c>
      <c r="Q694" s="114">
        <f t="shared" si="151"/>
        <v>66</v>
      </c>
      <c r="R694" s="114">
        <f t="shared" si="152"/>
        <v>63.666666666666664</v>
      </c>
      <c r="S694" s="113">
        <f t="shared" si="153"/>
        <v>61</v>
      </c>
      <c r="T694" s="111">
        <f t="shared" ca="1" si="154"/>
        <v>1.3</v>
      </c>
      <c r="U694" s="111" t="str">
        <f t="shared" si="155"/>
        <v/>
      </c>
      <c r="V694" t="str">
        <f t="array" ref="V694">INDEX(P:P,MAX(U$3:U694))</f>
        <v>II#3MTR</v>
      </c>
      <c r="W694" t="str">
        <f t="shared" ca="1" si="156"/>
        <v/>
      </c>
      <c r="X694">
        <f t="shared" si="157"/>
        <v>11.4</v>
      </c>
      <c r="Y694">
        <f t="shared" si="158"/>
        <v>66</v>
      </c>
      <c r="Z694" t="str">
        <f t="shared" si="162"/>
        <v>彰南</v>
      </c>
    </row>
    <row r="695" spans="1:26" x14ac:dyDescent="0.25">
      <c r="A695" s="118" t="s">
        <v>806</v>
      </c>
      <c r="B695" s="119" t="s">
        <v>175</v>
      </c>
      <c r="C695" s="119">
        <v>448</v>
      </c>
      <c r="D695" s="118" t="s">
        <v>177</v>
      </c>
      <c r="E695" s="118">
        <v>423</v>
      </c>
      <c r="F695" s="118" t="s">
        <v>179</v>
      </c>
      <c r="G695" s="118">
        <v>385</v>
      </c>
      <c r="H695" s="118" t="s">
        <v>177</v>
      </c>
      <c r="I695" s="378">
        <v>448</v>
      </c>
      <c r="J695" s="117"/>
      <c r="K695" s="117"/>
      <c r="L695" t="str">
        <f t="shared" si="149"/>
        <v>SI#1MTR</v>
      </c>
      <c r="M695" t="str">
        <f t="shared" si="159"/>
        <v/>
      </c>
      <c r="N695" t="str">
        <f t="shared" si="160"/>
        <v>SI#1MTR</v>
      </c>
      <c r="O695" t="str">
        <f t="shared" si="161"/>
        <v/>
      </c>
      <c r="P695" s="113" t="str">
        <f t="shared" si="150"/>
        <v>SI#1MTR</v>
      </c>
      <c r="Q695" s="114">
        <f t="shared" si="151"/>
        <v>448</v>
      </c>
      <c r="R695" s="114">
        <f t="shared" si="152"/>
        <v>418.66666666666669</v>
      </c>
      <c r="S695" s="113">
        <f t="shared" si="153"/>
        <v>385</v>
      </c>
      <c r="T695" s="111">
        <f t="shared" ca="1" si="154"/>
        <v>8.85</v>
      </c>
      <c r="U695" s="111">
        <f t="shared" si="155"/>
        <v>695</v>
      </c>
      <c r="V695" t="str">
        <f t="array" ref="V695">INDEX(P:P,MAX(U$3:U695))</f>
        <v>SI#1MTR</v>
      </c>
      <c r="W695">
        <f t="shared" ca="1" si="156"/>
        <v>25</v>
      </c>
      <c r="X695" t="str">
        <f t="shared" si="157"/>
        <v/>
      </c>
      <c r="Y695">
        <f t="shared" si="158"/>
        <v>448</v>
      </c>
      <c r="Z695" t="str">
        <f t="shared" si="162"/>
        <v>彰南</v>
      </c>
    </row>
    <row r="696" spans="1:26" x14ac:dyDescent="0.25">
      <c r="A696" s="118" t="s">
        <v>806</v>
      </c>
      <c r="B696" s="119" t="s">
        <v>807</v>
      </c>
      <c r="C696" s="119">
        <v>56</v>
      </c>
      <c r="D696" s="118" t="s">
        <v>207</v>
      </c>
      <c r="E696" s="118">
        <v>67</v>
      </c>
      <c r="F696" s="118" t="s">
        <v>183</v>
      </c>
      <c r="G696" s="118">
        <v>52</v>
      </c>
      <c r="H696" s="118" t="s">
        <v>180</v>
      </c>
      <c r="I696" s="378">
        <v>67</v>
      </c>
      <c r="J696" s="117">
        <v>20</v>
      </c>
      <c r="K696" s="117" t="s">
        <v>229</v>
      </c>
      <c r="L696" t="str">
        <f t="shared" si="149"/>
        <v>SI22</v>
      </c>
      <c r="M696" t="str">
        <f t="shared" si="159"/>
        <v/>
      </c>
      <c r="N696" t="str">
        <f t="shared" si="160"/>
        <v/>
      </c>
      <c r="O696" t="str">
        <f t="shared" si="161"/>
        <v/>
      </c>
      <c r="P696" s="113" t="str">
        <f t="shared" si="150"/>
        <v>SI22</v>
      </c>
      <c r="Q696" s="114">
        <f t="shared" si="151"/>
        <v>67</v>
      </c>
      <c r="R696" s="114">
        <f t="shared" si="152"/>
        <v>58.333333333333336</v>
      </c>
      <c r="S696" s="113">
        <f t="shared" si="153"/>
        <v>52</v>
      </c>
      <c r="T696" s="111">
        <f t="shared" ca="1" si="154"/>
        <v>1.32</v>
      </c>
      <c r="U696" s="111" t="str">
        <f t="shared" si="155"/>
        <v/>
      </c>
      <c r="V696" t="str">
        <f t="array" ref="V696">INDEX(P:P,MAX(U$3:U696))</f>
        <v>SI#1MTR</v>
      </c>
      <c r="W696" t="str">
        <f t="shared" ca="1" si="156"/>
        <v/>
      </c>
      <c r="X696">
        <f t="shared" si="157"/>
        <v>11.4</v>
      </c>
      <c r="Y696">
        <f t="shared" si="158"/>
        <v>67</v>
      </c>
      <c r="Z696" t="str">
        <f t="shared" si="162"/>
        <v>彰南</v>
      </c>
    </row>
    <row r="697" spans="1:26" x14ac:dyDescent="0.25">
      <c r="A697" s="118" t="s">
        <v>806</v>
      </c>
      <c r="B697" s="119" t="s">
        <v>808</v>
      </c>
      <c r="C697" s="119">
        <v>74</v>
      </c>
      <c r="D697" s="118" t="s">
        <v>177</v>
      </c>
      <c r="E697" s="118">
        <v>93</v>
      </c>
      <c r="F697" s="118" t="s">
        <v>184</v>
      </c>
      <c r="G697" s="118">
        <v>62</v>
      </c>
      <c r="H697" s="118" t="s">
        <v>179</v>
      </c>
      <c r="I697" s="378">
        <v>93</v>
      </c>
      <c r="J697" s="117">
        <v>38</v>
      </c>
      <c r="K697" s="117" t="s">
        <v>184</v>
      </c>
      <c r="L697" t="str">
        <f t="shared" si="149"/>
        <v>SI25</v>
      </c>
      <c r="M697" t="str">
        <f t="shared" si="159"/>
        <v/>
      </c>
      <c r="N697" t="str">
        <f t="shared" si="160"/>
        <v/>
      </c>
      <c r="O697" t="str">
        <f t="shared" si="161"/>
        <v/>
      </c>
      <c r="P697" s="113" t="str">
        <f t="shared" si="150"/>
        <v>SI25</v>
      </c>
      <c r="Q697" s="114">
        <f t="shared" si="151"/>
        <v>93</v>
      </c>
      <c r="R697" s="114">
        <f t="shared" si="152"/>
        <v>76.333333333333329</v>
      </c>
      <c r="S697" s="113">
        <f t="shared" si="153"/>
        <v>62</v>
      </c>
      <c r="T697" s="111">
        <f t="shared" ca="1" si="154"/>
        <v>1.84</v>
      </c>
      <c r="U697" s="111" t="str">
        <f t="shared" si="155"/>
        <v/>
      </c>
      <c r="V697" t="str">
        <f t="array" ref="V697">INDEX(P:P,MAX(U$3:U697))</f>
        <v>SI#1MTR</v>
      </c>
      <c r="W697" t="str">
        <f t="shared" ca="1" si="156"/>
        <v/>
      </c>
      <c r="X697">
        <f t="shared" si="157"/>
        <v>11.4</v>
      </c>
      <c r="Y697">
        <f t="shared" si="158"/>
        <v>93</v>
      </c>
      <c r="Z697" t="str">
        <f t="shared" si="162"/>
        <v>彰南</v>
      </c>
    </row>
    <row r="698" spans="1:26" x14ac:dyDescent="0.25">
      <c r="A698" s="118" t="s">
        <v>806</v>
      </c>
      <c r="B698" s="119" t="s">
        <v>809</v>
      </c>
      <c r="C698" s="119">
        <v>198</v>
      </c>
      <c r="D698" s="118" t="s">
        <v>177</v>
      </c>
      <c r="E698" s="118">
        <v>206</v>
      </c>
      <c r="F698" s="118" t="s">
        <v>179</v>
      </c>
      <c r="G698" s="118">
        <v>201</v>
      </c>
      <c r="H698" s="118" t="s">
        <v>177</v>
      </c>
      <c r="I698" s="378">
        <v>206</v>
      </c>
      <c r="J698" s="117">
        <v>30</v>
      </c>
      <c r="K698" s="117" t="s">
        <v>179</v>
      </c>
      <c r="L698" t="str">
        <f t="shared" si="149"/>
        <v>SI20</v>
      </c>
      <c r="M698" t="str">
        <f t="shared" si="159"/>
        <v/>
      </c>
      <c r="N698" t="str">
        <f t="shared" si="160"/>
        <v/>
      </c>
      <c r="O698" t="str">
        <f t="shared" si="161"/>
        <v/>
      </c>
      <c r="P698" s="113" t="str">
        <f t="shared" si="150"/>
        <v>SI20</v>
      </c>
      <c r="Q698" s="114">
        <f t="shared" si="151"/>
        <v>206</v>
      </c>
      <c r="R698" s="114">
        <f t="shared" si="152"/>
        <v>201.66666666666666</v>
      </c>
      <c r="S698" s="113">
        <f t="shared" si="153"/>
        <v>198</v>
      </c>
      <c r="T698" s="111">
        <f t="shared" ca="1" si="154"/>
        <v>4.07</v>
      </c>
      <c r="U698" s="111" t="str">
        <f t="shared" si="155"/>
        <v/>
      </c>
      <c r="V698" t="str">
        <f t="array" ref="V698">INDEX(P:P,MAX(U$3:U698))</f>
        <v>SI#1MTR</v>
      </c>
      <c r="W698" t="str">
        <f t="shared" ca="1" si="156"/>
        <v/>
      </c>
      <c r="X698">
        <f t="shared" si="157"/>
        <v>11.4</v>
      </c>
      <c r="Y698">
        <f t="shared" si="158"/>
        <v>206</v>
      </c>
      <c r="Z698" t="str">
        <f t="shared" si="162"/>
        <v>彰南</v>
      </c>
    </row>
    <row r="699" spans="1:26" x14ac:dyDescent="0.25">
      <c r="A699" s="118" t="s">
        <v>806</v>
      </c>
      <c r="B699" s="119" t="s">
        <v>810</v>
      </c>
      <c r="C699" s="119">
        <v>110</v>
      </c>
      <c r="D699" s="118" t="s">
        <v>177</v>
      </c>
      <c r="E699" s="118">
        <v>67</v>
      </c>
      <c r="F699" s="118" t="s">
        <v>177</v>
      </c>
      <c r="G699" s="118">
        <v>57</v>
      </c>
      <c r="H699" s="118" t="s">
        <v>198</v>
      </c>
      <c r="I699" s="378">
        <v>110</v>
      </c>
      <c r="J699" s="117">
        <v>59</v>
      </c>
      <c r="K699" s="117" t="s">
        <v>176</v>
      </c>
      <c r="L699" t="str">
        <f t="shared" si="149"/>
        <v>SI26</v>
      </c>
      <c r="M699" t="str">
        <f t="shared" si="159"/>
        <v/>
      </c>
      <c r="N699" t="str">
        <f t="shared" si="160"/>
        <v/>
      </c>
      <c r="O699" t="str">
        <f t="shared" si="161"/>
        <v/>
      </c>
      <c r="P699" s="113" t="str">
        <f t="shared" si="150"/>
        <v>SI26</v>
      </c>
      <c r="Q699" s="114">
        <f t="shared" si="151"/>
        <v>110</v>
      </c>
      <c r="R699" s="114">
        <f t="shared" si="152"/>
        <v>78</v>
      </c>
      <c r="S699" s="113">
        <f t="shared" si="153"/>
        <v>57</v>
      </c>
      <c r="T699" s="111">
        <f t="shared" ca="1" si="154"/>
        <v>2.17</v>
      </c>
      <c r="U699" s="111" t="str">
        <f t="shared" si="155"/>
        <v/>
      </c>
      <c r="V699" t="str">
        <f t="array" ref="V699">INDEX(P:P,MAX(U$3:U699))</f>
        <v>SI#1MTR</v>
      </c>
      <c r="W699" t="str">
        <f t="shared" ca="1" si="156"/>
        <v/>
      </c>
      <c r="X699">
        <f t="shared" si="157"/>
        <v>11.4</v>
      </c>
      <c r="Y699">
        <f t="shared" si="158"/>
        <v>110</v>
      </c>
      <c r="Z699" t="str">
        <f t="shared" si="162"/>
        <v>彰南</v>
      </c>
    </row>
    <row r="700" spans="1:26" x14ac:dyDescent="0.25">
      <c r="A700" s="118" t="s">
        <v>806</v>
      </c>
      <c r="B700" s="119" t="s">
        <v>811</v>
      </c>
      <c r="C700" s="119">
        <v>38</v>
      </c>
      <c r="D700" s="118" t="s">
        <v>192</v>
      </c>
      <c r="E700" s="118">
        <v>34</v>
      </c>
      <c r="F700" s="118" t="s">
        <v>183</v>
      </c>
      <c r="G700" s="118">
        <v>40</v>
      </c>
      <c r="H700" s="118" t="s">
        <v>177</v>
      </c>
      <c r="I700" s="378">
        <v>40</v>
      </c>
      <c r="J700" s="117">
        <v>29</v>
      </c>
      <c r="K700" s="117" t="s">
        <v>203</v>
      </c>
      <c r="L700" t="str">
        <f t="shared" si="149"/>
        <v>SI27</v>
      </c>
      <c r="M700" t="str">
        <f t="shared" si="159"/>
        <v/>
      </c>
      <c r="N700" t="str">
        <f t="shared" si="160"/>
        <v/>
      </c>
      <c r="O700" t="str">
        <f t="shared" si="161"/>
        <v/>
      </c>
      <c r="P700" s="113" t="str">
        <f t="shared" si="150"/>
        <v>SI27</v>
      </c>
      <c r="Q700" s="114">
        <f t="shared" si="151"/>
        <v>40</v>
      </c>
      <c r="R700" s="114">
        <f t="shared" si="152"/>
        <v>37.333333333333336</v>
      </c>
      <c r="S700" s="113">
        <f t="shared" si="153"/>
        <v>34</v>
      </c>
      <c r="T700" s="111">
        <f t="shared" ca="1" si="154"/>
        <v>0.79</v>
      </c>
      <c r="U700" s="111" t="str">
        <f t="shared" si="155"/>
        <v/>
      </c>
      <c r="V700" t="str">
        <f t="array" ref="V700">INDEX(P:P,MAX(U$3:U700))</f>
        <v>SI#1MTR</v>
      </c>
      <c r="W700" t="str">
        <f t="shared" ca="1" si="156"/>
        <v/>
      </c>
      <c r="X700">
        <f t="shared" si="157"/>
        <v>11.4</v>
      </c>
      <c r="Y700">
        <f t="shared" si="158"/>
        <v>40</v>
      </c>
      <c r="Z700" t="str">
        <f t="shared" si="162"/>
        <v>彰南</v>
      </c>
    </row>
    <row r="701" spans="1:26" x14ac:dyDescent="0.25">
      <c r="A701" s="118" t="s">
        <v>806</v>
      </c>
      <c r="B701" s="119" t="s">
        <v>187</v>
      </c>
      <c r="C701" s="119">
        <v>883</v>
      </c>
      <c r="D701" s="118" t="s">
        <v>183</v>
      </c>
      <c r="E701" s="118">
        <v>919</v>
      </c>
      <c r="F701" s="118" t="s">
        <v>177</v>
      </c>
      <c r="G701" s="118">
        <v>849</v>
      </c>
      <c r="H701" s="118" t="s">
        <v>177</v>
      </c>
      <c r="I701" s="378">
        <v>919</v>
      </c>
      <c r="J701" s="117"/>
      <c r="K701" s="117"/>
      <c r="L701" t="str">
        <f t="shared" si="149"/>
        <v>SI#2MTR</v>
      </c>
      <c r="M701" t="str">
        <f t="shared" si="159"/>
        <v/>
      </c>
      <c r="N701" t="str">
        <f t="shared" si="160"/>
        <v>SI#2MTR</v>
      </c>
      <c r="O701" t="str">
        <f t="shared" si="161"/>
        <v/>
      </c>
      <c r="P701" s="113" t="str">
        <f t="shared" si="150"/>
        <v>SI#2MTR</v>
      </c>
      <c r="Q701" s="114">
        <f t="shared" si="151"/>
        <v>919</v>
      </c>
      <c r="R701" s="114">
        <f t="shared" si="152"/>
        <v>883.66666666666663</v>
      </c>
      <c r="S701" s="113">
        <f t="shared" si="153"/>
        <v>849</v>
      </c>
      <c r="T701" s="111">
        <f t="shared" ca="1" si="154"/>
        <v>18.149999999999999</v>
      </c>
      <c r="U701" s="111">
        <f t="shared" si="155"/>
        <v>701</v>
      </c>
      <c r="V701" t="str">
        <f t="array" ref="V701">INDEX(P:P,MAX(U$3:U701))</f>
        <v>SI#2MTR</v>
      </c>
      <c r="W701">
        <f t="shared" ca="1" si="156"/>
        <v>25</v>
      </c>
      <c r="X701" t="str">
        <f t="shared" si="157"/>
        <v/>
      </c>
      <c r="Y701">
        <f t="shared" si="158"/>
        <v>919</v>
      </c>
      <c r="Z701" t="str">
        <f t="shared" si="162"/>
        <v>彰南</v>
      </c>
    </row>
    <row r="702" spans="1:26" x14ac:dyDescent="0.25">
      <c r="A702" s="118" t="s">
        <v>806</v>
      </c>
      <c r="B702" s="119" t="s">
        <v>812</v>
      </c>
      <c r="C702" s="119">
        <v>122</v>
      </c>
      <c r="D702" s="118" t="s">
        <v>183</v>
      </c>
      <c r="E702" s="118">
        <v>175</v>
      </c>
      <c r="F702" s="118" t="s">
        <v>183</v>
      </c>
      <c r="G702" s="118">
        <v>165</v>
      </c>
      <c r="H702" s="118" t="s">
        <v>183</v>
      </c>
      <c r="I702" s="378">
        <v>175</v>
      </c>
      <c r="J702" s="117">
        <v>68</v>
      </c>
      <c r="K702" s="117" t="s">
        <v>176</v>
      </c>
      <c r="L702" t="str">
        <f t="shared" si="149"/>
        <v>SI32</v>
      </c>
      <c r="M702" t="str">
        <f t="shared" si="159"/>
        <v/>
      </c>
      <c r="N702" t="str">
        <f t="shared" si="160"/>
        <v/>
      </c>
      <c r="O702" t="str">
        <f t="shared" si="161"/>
        <v/>
      </c>
      <c r="P702" s="113" t="str">
        <f t="shared" si="150"/>
        <v>SI32</v>
      </c>
      <c r="Q702" s="114">
        <f t="shared" si="151"/>
        <v>175</v>
      </c>
      <c r="R702" s="114">
        <f t="shared" si="152"/>
        <v>154</v>
      </c>
      <c r="S702" s="113">
        <f t="shared" si="153"/>
        <v>122</v>
      </c>
      <c r="T702" s="111">
        <f t="shared" ca="1" si="154"/>
        <v>3.46</v>
      </c>
      <c r="U702" s="111" t="str">
        <f t="shared" si="155"/>
        <v/>
      </c>
      <c r="V702" t="str">
        <f t="array" ref="V702">INDEX(P:P,MAX(U$3:U702))</f>
        <v>SI#2MTR</v>
      </c>
      <c r="W702" t="str">
        <f t="shared" ca="1" si="156"/>
        <v/>
      </c>
      <c r="X702">
        <f t="shared" si="157"/>
        <v>11.4</v>
      </c>
      <c r="Y702">
        <f t="shared" si="158"/>
        <v>175</v>
      </c>
      <c r="Z702" t="str">
        <f t="shared" si="162"/>
        <v>彰南</v>
      </c>
    </row>
    <row r="703" spans="1:26" x14ac:dyDescent="0.25">
      <c r="A703" s="118" t="s">
        <v>806</v>
      </c>
      <c r="B703" s="119" t="s">
        <v>813</v>
      </c>
      <c r="C703" s="119">
        <v>204</v>
      </c>
      <c r="D703" s="118" t="s">
        <v>179</v>
      </c>
      <c r="E703" s="118">
        <v>183</v>
      </c>
      <c r="F703" s="118" t="s">
        <v>180</v>
      </c>
      <c r="G703" s="118">
        <v>225</v>
      </c>
      <c r="H703" s="118" t="s">
        <v>177</v>
      </c>
      <c r="I703" s="378">
        <v>225</v>
      </c>
      <c r="J703" s="117">
        <v>41</v>
      </c>
      <c r="K703" s="117" t="s">
        <v>176</v>
      </c>
      <c r="L703" t="str">
        <f t="shared" si="149"/>
        <v>SI31</v>
      </c>
      <c r="M703" t="str">
        <f t="shared" si="159"/>
        <v/>
      </c>
      <c r="N703" t="str">
        <f t="shared" si="160"/>
        <v/>
      </c>
      <c r="O703" t="str">
        <f t="shared" si="161"/>
        <v/>
      </c>
      <c r="P703" s="113" t="str">
        <f t="shared" si="150"/>
        <v>SI31</v>
      </c>
      <c r="Q703" s="114">
        <f t="shared" si="151"/>
        <v>225</v>
      </c>
      <c r="R703" s="114">
        <f t="shared" si="152"/>
        <v>204</v>
      </c>
      <c r="S703" s="113">
        <f t="shared" si="153"/>
        <v>183</v>
      </c>
      <c r="T703" s="111">
        <f t="shared" ca="1" si="154"/>
        <v>4.4400000000000004</v>
      </c>
      <c r="U703" s="111" t="str">
        <f t="shared" si="155"/>
        <v/>
      </c>
      <c r="V703" t="str">
        <f t="array" ref="V703">INDEX(P:P,MAX(U$3:U703))</f>
        <v>SI#2MTR</v>
      </c>
      <c r="W703" t="str">
        <f t="shared" ca="1" si="156"/>
        <v/>
      </c>
      <c r="X703">
        <f t="shared" si="157"/>
        <v>11.4</v>
      </c>
      <c r="Y703">
        <f t="shared" si="158"/>
        <v>225</v>
      </c>
      <c r="Z703" t="str">
        <f t="shared" si="162"/>
        <v>彰南</v>
      </c>
    </row>
    <row r="704" spans="1:26" x14ac:dyDescent="0.25">
      <c r="A704" s="118" t="s">
        <v>806</v>
      </c>
      <c r="B704" s="119" t="s">
        <v>814</v>
      </c>
      <c r="C704" s="119">
        <v>139</v>
      </c>
      <c r="D704" s="118" t="s">
        <v>183</v>
      </c>
      <c r="E704" s="118">
        <v>129</v>
      </c>
      <c r="F704" s="118" t="s">
        <v>180</v>
      </c>
      <c r="G704" s="118">
        <v>133</v>
      </c>
      <c r="H704" s="118" t="s">
        <v>183</v>
      </c>
      <c r="I704" s="378">
        <v>139</v>
      </c>
      <c r="J704" s="117">
        <v>29</v>
      </c>
      <c r="K704" s="117" t="s">
        <v>188</v>
      </c>
      <c r="L704" t="str">
        <f t="shared" si="149"/>
        <v>SI34</v>
      </c>
      <c r="M704" t="str">
        <f t="shared" si="159"/>
        <v/>
      </c>
      <c r="N704" t="str">
        <f t="shared" si="160"/>
        <v/>
      </c>
      <c r="O704" t="str">
        <f t="shared" si="161"/>
        <v/>
      </c>
      <c r="P704" s="113" t="str">
        <f t="shared" si="150"/>
        <v>SI34</v>
      </c>
      <c r="Q704" s="114">
        <f t="shared" si="151"/>
        <v>139</v>
      </c>
      <c r="R704" s="114">
        <f t="shared" si="152"/>
        <v>133.66666666666666</v>
      </c>
      <c r="S704" s="113">
        <f t="shared" si="153"/>
        <v>129</v>
      </c>
      <c r="T704" s="111">
        <f t="shared" ca="1" si="154"/>
        <v>2.74</v>
      </c>
      <c r="U704" s="111" t="str">
        <f t="shared" si="155"/>
        <v/>
      </c>
      <c r="V704" t="str">
        <f t="array" ref="V704">INDEX(P:P,MAX(U$3:U704))</f>
        <v>SI#2MTR</v>
      </c>
      <c r="W704" t="str">
        <f t="shared" ca="1" si="156"/>
        <v/>
      </c>
      <c r="X704">
        <f t="shared" si="157"/>
        <v>11.4</v>
      </c>
      <c r="Y704">
        <f t="shared" si="158"/>
        <v>139</v>
      </c>
      <c r="Z704" t="str">
        <f t="shared" si="162"/>
        <v>彰南</v>
      </c>
    </row>
    <row r="705" spans="1:26" x14ac:dyDescent="0.25">
      <c r="A705" s="118" t="s">
        <v>806</v>
      </c>
      <c r="B705" s="119" t="s">
        <v>815</v>
      </c>
      <c r="C705" s="119">
        <v>239</v>
      </c>
      <c r="D705" s="118" t="s">
        <v>183</v>
      </c>
      <c r="E705" s="118">
        <v>243</v>
      </c>
      <c r="F705" s="118" t="s">
        <v>183</v>
      </c>
      <c r="G705" s="118">
        <v>169</v>
      </c>
      <c r="H705" s="118" t="s">
        <v>179</v>
      </c>
      <c r="I705" s="378">
        <v>243</v>
      </c>
      <c r="J705" s="117">
        <v>116</v>
      </c>
      <c r="K705" s="117" t="s">
        <v>180</v>
      </c>
      <c r="L705" t="str">
        <f t="shared" si="149"/>
        <v>SI30</v>
      </c>
      <c r="M705" t="str">
        <f t="shared" si="159"/>
        <v/>
      </c>
      <c r="N705" t="str">
        <f t="shared" si="160"/>
        <v/>
      </c>
      <c r="O705" t="str">
        <f t="shared" si="161"/>
        <v/>
      </c>
      <c r="P705" s="113" t="str">
        <f t="shared" si="150"/>
        <v>SI30</v>
      </c>
      <c r="Q705" s="114">
        <f t="shared" si="151"/>
        <v>243</v>
      </c>
      <c r="R705" s="114">
        <f t="shared" si="152"/>
        <v>217</v>
      </c>
      <c r="S705" s="113">
        <f t="shared" si="153"/>
        <v>169</v>
      </c>
      <c r="T705" s="111">
        <f t="shared" ca="1" si="154"/>
        <v>4.8</v>
      </c>
      <c r="U705" s="111" t="str">
        <f t="shared" si="155"/>
        <v/>
      </c>
      <c r="V705" t="str">
        <f t="array" ref="V705">INDEX(P:P,MAX(U$3:U705))</f>
        <v>SI#2MTR</v>
      </c>
      <c r="W705" t="str">
        <f t="shared" ca="1" si="156"/>
        <v/>
      </c>
      <c r="X705">
        <f t="shared" si="157"/>
        <v>11.4</v>
      </c>
      <c r="Y705">
        <f t="shared" si="158"/>
        <v>243</v>
      </c>
      <c r="Z705" t="str">
        <f t="shared" si="162"/>
        <v>彰南</v>
      </c>
    </row>
    <row r="706" spans="1:26" x14ac:dyDescent="0.25">
      <c r="A706" s="118" t="s">
        <v>806</v>
      </c>
      <c r="B706" s="119" t="s">
        <v>816</v>
      </c>
      <c r="C706" s="119">
        <v>229</v>
      </c>
      <c r="D706" s="118" t="s">
        <v>188</v>
      </c>
      <c r="E706" s="118">
        <v>228</v>
      </c>
      <c r="F706" s="118" t="s">
        <v>188</v>
      </c>
      <c r="G706" s="118">
        <v>178</v>
      </c>
      <c r="H706" s="118" t="s">
        <v>176</v>
      </c>
      <c r="I706" s="378">
        <v>229</v>
      </c>
      <c r="J706" s="117">
        <v>51</v>
      </c>
      <c r="K706" s="117" t="s">
        <v>188</v>
      </c>
      <c r="L706" t="str">
        <f t="shared" si="149"/>
        <v>SI28</v>
      </c>
      <c r="M706" t="str">
        <f t="shared" si="159"/>
        <v/>
      </c>
      <c r="N706" t="str">
        <f t="shared" si="160"/>
        <v/>
      </c>
      <c r="O706" t="str">
        <f t="shared" si="161"/>
        <v/>
      </c>
      <c r="P706" s="113" t="str">
        <f t="shared" si="150"/>
        <v>SI28</v>
      </c>
      <c r="Q706" s="114">
        <f t="shared" si="151"/>
        <v>229</v>
      </c>
      <c r="R706" s="114">
        <f t="shared" si="152"/>
        <v>211.66666666666666</v>
      </c>
      <c r="S706" s="113">
        <f t="shared" si="153"/>
        <v>178</v>
      </c>
      <c r="T706" s="111">
        <f t="shared" ca="1" si="154"/>
        <v>4.5199999999999996</v>
      </c>
      <c r="U706" s="111" t="str">
        <f t="shared" si="155"/>
        <v/>
      </c>
      <c r="V706" t="str">
        <f t="array" ref="V706">INDEX(P:P,MAX(U$3:U706))</f>
        <v>SI#2MTR</v>
      </c>
      <c r="W706" t="str">
        <f t="shared" ca="1" si="156"/>
        <v/>
      </c>
      <c r="X706">
        <f t="shared" si="157"/>
        <v>11.4</v>
      </c>
      <c r="Y706">
        <f t="shared" si="158"/>
        <v>229</v>
      </c>
      <c r="Z706" t="str">
        <f t="shared" si="162"/>
        <v>彰南</v>
      </c>
    </row>
    <row r="707" spans="1:26" x14ac:dyDescent="0.25">
      <c r="A707" s="118" t="s">
        <v>806</v>
      </c>
      <c r="B707" s="119" t="s">
        <v>197</v>
      </c>
      <c r="C707" s="119">
        <v>479</v>
      </c>
      <c r="D707" s="118" t="s">
        <v>192</v>
      </c>
      <c r="E707" s="118">
        <v>478</v>
      </c>
      <c r="F707" s="118" t="s">
        <v>192</v>
      </c>
      <c r="G707" s="118">
        <v>502</v>
      </c>
      <c r="H707" s="118" t="s">
        <v>192</v>
      </c>
      <c r="I707" s="378">
        <v>502</v>
      </c>
      <c r="J707" s="117"/>
      <c r="K707" s="117"/>
      <c r="L707" t="str">
        <f t="shared" ref="L707:L770" si="163">IF(COUNTIF(B707,"*TR*")&gt;0,SUBSTITUTE(RIGHT(TRIM(A707),2) &amp; B707," ",""),MID(B707,FIND("(",B707)+1,4))</f>
        <v>SI#3MTR</v>
      </c>
      <c r="M707" t="str">
        <f t="shared" si="159"/>
        <v/>
      </c>
      <c r="N707" t="str">
        <f t="shared" si="160"/>
        <v>SI#3MTR</v>
      </c>
      <c r="O707" t="str">
        <f t="shared" si="161"/>
        <v/>
      </c>
      <c r="P707" s="113" t="str">
        <f t="shared" ref="P707:P770" si="164">IF(COUNTIF(B707,"*TR*")&gt;0,SUBSTITUTE(RIGHT(TRIM(A707),2) &amp; B707," ",""),MID(B707,FIND("(",B707)+1,4))</f>
        <v>SI#3MTR</v>
      </c>
      <c r="Q707" s="114">
        <f t="shared" ref="Q707:Q770" si="165">VALUE(I707)</f>
        <v>502</v>
      </c>
      <c r="R707" s="114">
        <f t="shared" ref="R707:R770" si="166">AVERAGE(C707*1,E707*1,G707*1)</f>
        <v>486.33333333333331</v>
      </c>
      <c r="S707" s="113">
        <f t="shared" ref="S707:S770" si="167">MIN(C707*1,E707*1,G707*1)</f>
        <v>478</v>
      </c>
      <c r="T707" s="111">
        <f t="shared" ref="T707:T770" ca="1" si="168">IF(LEFT(TRIM(B707),1)="#",ROUND(OFFSET(X707,1,0,1,1)*Y707*SQRT(3)/1000,2),ROUND(Q707*X707*SQRT(3)/1000,2))</f>
        <v>9.91</v>
      </c>
      <c r="U707" s="111">
        <f t="shared" ref="U707:U770" si="169">IF(ISNUMBER(FIND("#",B707)),ROW(),"")</f>
        <v>707</v>
      </c>
      <c r="V707" t="str">
        <f t="array" ref="V707">INDEX(P:P,MAX(U$3:U707))</f>
        <v>SI#3MTR</v>
      </c>
      <c r="W707">
        <f t="shared" ref="W707:W770" ca="1" si="170">IF(LEFT(TRIM(B707),1)="#",IF(ISNUMBER(FIND("DTR",B707)),IF(MID(OFFSET(P707,1,0,1,1),3,1)*1&lt;5,30,60),25),"")</f>
        <v>25</v>
      </c>
      <c r="X707" t="str">
        <f t="shared" ref="X707:X770" si="171">IF(LEFT(TRIM(B707),1)= "#","",IF(MID(P707,3,1)*1&lt;5,11.4,22.8))</f>
        <v/>
      </c>
      <c r="Y707">
        <f t="shared" ref="Y707:Y770" si="172">SUMIF(L:L,L707,I:I)</f>
        <v>502</v>
      </c>
      <c r="Z707" t="str">
        <f t="shared" si="162"/>
        <v>彰南</v>
      </c>
    </row>
    <row r="708" spans="1:26" x14ac:dyDescent="0.25">
      <c r="A708" s="118" t="s">
        <v>806</v>
      </c>
      <c r="B708" s="119" t="s">
        <v>817</v>
      </c>
      <c r="C708" s="119">
        <v>212</v>
      </c>
      <c r="D708" s="118" t="s">
        <v>180</v>
      </c>
      <c r="E708" s="118">
        <v>177</v>
      </c>
      <c r="F708" s="118" t="s">
        <v>192</v>
      </c>
      <c r="G708" s="118">
        <v>173</v>
      </c>
      <c r="H708" s="118" t="s">
        <v>180</v>
      </c>
      <c r="I708" s="378">
        <v>212</v>
      </c>
      <c r="J708" s="117">
        <v>54</v>
      </c>
      <c r="K708" s="117" t="s">
        <v>180</v>
      </c>
      <c r="L708" t="str">
        <f t="shared" si="163"/>
        <v>SI24</v>
      </c>
      <c r="M708" t="str">
        <f t="shared" ref="M708:M771" si="173">IF(LEFT(B708,1)="#",IF(LEN(B708)&lt;&gt;5,MID(B708,6,3),""),"")</f>
        <v/>
      </c>
      <c r="N708" t="str">
        <f t="shared" ref="N708:N771" si="174">IF(LEFT(B708,1)="#",IF(LEN(B708)=5,RIGHT(A708,2)&amp;B708,RIGHT(A708,2)&amp;LEFT(B708,2)&amp;"DTR"),"")</f>
        <v/>
      </c>
      <c r="O708" t="str">
        <f t="shared" ref="O708:O771" si="175">IF(LEFT(B708,1)="#",IF(LEN(B708)&lt;&gt;5,IF(LEN(B708)&lt;&gt;7,MID(B708,6,3),"("&amp;MID(B708,3,2)&amp;")"),""),"")</f>
        <v/>
      </c>
      <c r="P708" s="113" t="str">
        <f t="shared" si="164"/>
        <v>SI24</v>
      </c>
      <c r="Q708" s="114">
        <f t="shared" si="165"/>
        <v>212</v>
      </c>
      <c r="R708" s="114">
        <f t="shared" si="166"/>
        <v>187.33333333333334</v>
      </c>
      <c r="S708" s="113">
        <f t="shared" si="167"/>
        <v>173</v>
      </c>
      <c r="T708" s="111">
        <f t="shared" ca="1" si="168"/>
        <v>4.1900000000000004</v>
      </c>
      <c r="U708" s="111" t="str">
        <f t="shared" si="169"/>
        <v/>
      </c>
      <c r="V708" t="str">
        <f t="array" ref="V708">INDEX(P:P,MAX(U$3:U708))</f>
        <v>SI#3MTR</v>
      </c>
      <c r="W708" t="str">
        <f t="shared" ca="1" si="170"/>
        <v/>
      </c>
      <c r="X708">
        <f t="shared" si="171"/>
        <v>11.4</v>
      </c>
      <c r="Y708">
        <f t="shared" si="172"/>
        <v>212</v>
      </c>
      <c r="Z708" t="str">
        <f t="shared" ref="Z708:Z771" si="176">LEFT(A708,2)</f>
        <v>彰南</v>
      </c>
    </row>
    <row r="709" spans="1:26" x14ac:dyDescent="0.25">
      <c r="A709" s="118" t="s">
        <v>806</v>
      </c>
      <c r="B709" s="119" t="s">
        <v>818</v>
      </c>
      <c r="C709" s="119">
        <v>153</v>
      </c>
      <c r="D709" s="118" t="s">
        <v>192</v>
      </c>
      <c r="E709" s="118">
        <v>187</v>
      </c>
      <c r="F709" s="118" t="s">
        <v>177</v>
      </c>
      <c r="G709" s="118">
        <v>208</v>
      </c>
      <c r="H709" s="118" t="s">
        <v>179</v>
      </c>
      <c r="I709" s="378">
        <v>208</v>
      </c>
      <c r="J709" s="117">
        <v>70</v>
      </c>
      <c r="K709" s="117" t="s">
        <v>184</v>
      </c>
      <c r="L709" t="str">
        <f t="shared" si="163"/>
        <v>SI33</v>
      </c>
      <c r="M709" t="str">
        <f t="shared" si="173"/>
        <v/>
      </c>
      <c r="N709" t="str">
        <f t="shared" si="174"/>
        <v/>
      </c>
      <c r="O709" t="str">
        <f t="shared" si="175"/>
        <v/>
      </c>
      <c r="P709" s="113" t="str">
        <f t="shared" si="164"/>
        <v>SI33</v>
      </c>
      <c r="Q709" s="114">
        <f t="shared" si="165"/>
        <v>208</v>
      </c>
      <c r="R709" s="114">
        <f t="shared" si="166"/>
        <v>182.66666666666666</v>
      </c>
      <c r="S709" s="113">
        <f t="shared" si="167"/>
        <v>153</v>
      </c>
      <c r="T709" s="111">
        <f t="shared" ca="1" si="168"/>
        <v>4.1100000000000003</v>
      </c>
      <c r="U709" s="111" t="str">
        <f t="shared" si="169"/>
        <v/>
      </c>
      <c r="V709" t="str">
        <f t="array" ref="V709">INDEX(P:P,MAX(U$3:U709))</f>
        <v>SI#3MTR</v>
      </c>
      <c r="W709" t="str">
        <f t="shared" ca="1" si="170"/>
        <v/>
      </c>
      <c r="X709">
        <f t="shared" si="171"/>
        <v>11.4</v>
      </c>
      <c r="Y709">
        <f t="shared" si="172"/>
        <v>208</v>
      </c>
      <c r="Z709" t="str">
        <f t="shared" si="176"/>
        <v>彰南</v>
      </c>
    </row>
    <row r="710" spans="1:26" x14ac:dyDescent="0.25">
      <c r="A710" s="118" t="s">
        <v>806</v>
      </c>
      <c r="B710" s="119" t="s">
        <v>819</v>
      </c>
      <c r="C710" s="119">
        <v>18</v>
      </c>
      <c r="D710" s="118" t="s">
        <v>179</v>
      </c>
      <c r="E710" s="118">
        <v>25</v>
      </c>
      <c r="F710" s="118" t="s">
        <v>180</v>
      </c>
      <c r="G710" s="118">
        <v>41</v>
      </c>
      <c r="H710" s="118" t="s">
        <v>179</v>
      </c>
      <c r="I710" s="378">
        <v>41</v>
      </c>
      <c r="J710" s="117">
        <v>29</v>
      </c>
      <c r="K710" s="117" t="s">
        <v>180</v>
      </c>
      <c r="L710" t="str">
        <f t="shared" si="163"/>
        <v>SI21</v>
      </c>
      <c r="M710" t="str">
        <f t="shared" si="173"/>
        <v/>
      </c>
      <c r="N710" t="str">
        <f t="shared" si="174"/>
        <v/>
      </c>
      <c r="O710" t="str">
        <f t="shared" si="175"/>
        <v/>
      </c>
      <c r="P710" s="113" t="str">
        <f t="shared" si="164"/>
        <v>SI21</v>
      </c>
      <c r="Q710" s="114">
        <f t="shared" si="165"/>
        <v>41</v>
      </c>
      <c r="R710" s="114">
        <f t="shared" si="166"/>
        <v>28</v>
      </c>
      <c r="S710" s="113">
        <f t="shared" si="167"/>
        <v>18</v>
      </c>
      <c r="T710" s="111">
        <f t="shared" ca="1" si="168"/>
        <v>0.81</v>
      </c>
      <c r="U710" s="111" t="str">
        <f t="shared" si="169"/>
        <v/>
      </c>
      <c r="V710" t="str">
        <f t="array" ref="V710">INDEX(P:P,MAX(U$3:U710))</f>
        <v>SI#3MTR</v>
      </c>
      <c r="W710" t="str">
        <f t="shared" ca="1" si="170"/>
        <v/>
      </c>
      <c r="X710">
        <f t="shared" si="171"/>
        <v>11.4</v>
      </c>
      <c r="Y710">
        <f t="shared" si="172"/>
        <v>41</v>
      </c>
      <c r="Z710" t="str">
        <f t="shared" si="176"/>
        <v>彰南</v>
      </c>
    </row>
    <row r="711" spans="1:26" x14ac:dyDescent="0.25">
      <c r="A711" s="118" t="s">
        <v>806</v>
      </c>
      <c r="B711" s="119" t="s">
        <v>820</v>
      </c>
      <c r="C711" s="119">
        <v>74</v>
      </c>
      <c r="D711" s="118" t="s">
        <v>196</v>
      </c>
      <c r="E711" s="118">
        <v>60</v>
      </c>
      <c r="F711" s="118" t="s">
        <v>188</v>
      </c>
      <c r="G711" s="118">
        <v>33</v>
      </c>
      <c r="H711" s="118" t="s">
        <v>203</v>
      </c>
      <c r="I711" s="378">
        <v>74</v>
      </c>
      <c r="J711" s="117">
        <v>40</v>
      </c>
      <c r="K711" s="117" t="s">
        <v>188</v>
      </c>
      <c r="L711" t="str">
        <f t="shared" si="163"/>
        <v>SI29</v>
      </c>
      <c r="M711" t="str">
        <f t="shared" si="173"/>
        <v/>
      </c>
      <c r="N711" t="str">
        <f t="shared" si="174"/>
        <v/>
      </c>
      <c r="O711" t="str">
        <f t="shared" si="175"/>
        <v/>
      </c>
      <c r="P711" s="113" t="str">
        <f t="shared" si="164"/>
        <v>SI29</v>
      </c>
      <c r="Q711" s="114">
        <f t="shared" si="165"/>
        <v>74</v>
      </c>
      <c r="R711" s="114">
        <f t="shared" si="166"/>
        <v>55.666666666666664</v>
      </c>
      <c r="S711" s="113">
        <f t="shared" si="167"/>
        <v>33</v>
      </c>
      <c r="T711" s="111">
        <f t="shared" ca="1" si="168"/>
        <v>1.46</v>
      </c>
      <c r="U711" s="111" t="str">
        <f t="shared" si="169"/>
        <v/>
      </c>
      <c r="V711" t="str">
        <f t="array" ref="V711">INDEX(P:P,MAX(U$3:U711))</f>
        <v>SI#3MTR</v>
      </c>
      <c r="W711" t="str">
        <f t="shared" ca="1" si="170"/>
        <v/>
      </c>
      <c r="X711">
        <f t="shared" si="171"/>
        <v>11.4</v>
      </c>
      <c r="Y711">
        <f t="shared" si="172"/>
        <v>74</v>
      </c>
      <c r="Z711" t="str">
        <f t="shared" si="176"/>
        <v>彰南</v>
      </c>
    </row>
    <row r="712" spans="1:26" x14ac:dyDescent="0.25">
      <c r="A712" s="118" t="s">
        <v>806</v>
      </c>
      <c r="B712" s="119" t="s">
        <v>821</v>
      </c>
      <c r="C712" s="119">
        <v>55</v>
      </c>
      <c r="D712" s="118" t="s">
        <v>207</v>
      </c>
      <c r="E712" s="118">
        <v>66</v>
      </c>
      <c r="F712" s="118" t="s">
        <v>192</v>
      </c>
      <c r="G712" s="118">
        <v>68</v>
      </c>
      <c r="H712" s="118" t="s">
        <v>192</v>
      </c>
      <c r="I712" s="378">
        <v>68</v>
      </c>
      <c r="J712" s="117">
        <v>26</v>
      </c>
      <c r="K712" s="117" t="s">
        <v>192</v>
      </c>
      <c r="L712" t="str">
        <f t="shared" si="163"/>
        <v>SI23</v>
      </c>
      <c r="M712" t="str">
        <f t="shared" si="173"/>
        <v/>
      </c>
      <c r="N712" t="str">
        <f t="shared" si="174"/>
        <v/>
      </c>
      <c r="O712" t="str">
        <f t="shared" si="175"/>
        <v/>
      </c>
      <c r="P712" s="113" t="str">
        <f t="shared" si="164"/>
        <v>SI23</v>
      </c>
      <c r="Q712" s="114">
        <f t="shared" si="165"/>
        <v>68</v>
      </c>
      <c r="R712" s="114">
        <f t="shared" si="166"/>
        <v>63</v>
      </c>
      <c r="S712" s="113">
        <f t="shared" si="167"/>
        <v>55</v>
      </c>
      <c r="T712" s="111">
        <f t="shared" ca="1" si="168"/>
        <v>1.34</v>
      </c>
      <c r="U712" s="111" t="str">
        <f t="shared" si="169"/>
        <v/>
      </c>
      <c r="V712" t="str">
        <f t="array" ref="V712">INDEX(P:P,MAX(U$3:U712))</f>
        <v>SI#3MTR</v>
      </c>
      <c r="W712" t="str">
        <f t="shared" ca="1" si="170"/>
        <v/>
      </c>
      <c r="X712">
        <f t="shared" si="171"/>
        <v>11.4</v>
      </c>
      <c r="Y712">
        <f t="shared" si="172"/>
        <v>68</v>
      </c>
      <c r="Z712" t="str">
        <f t="shared" si="176"/>
        <v>彰南</v>
      </c>
    </row>
    <row r="713" spans="1:26" x14ac:dyDescent="0.25">
      <c r="A713" s="118" t="s">
        <v>822</v>
      </c>
      <c r="B713" s="119" t="s">
        <v>254</v>
      </c>
      <c r="C713" s="119">
        <v>811</v>
      </c>
      <c r="D713" s="118" t="s">
        <v>198</v>
      </c>
      <c r="E713" s="118">
        <v>836</v>
      </c>
      <c r="F713" s="118" t="s">
        <v>192</v>
      </c>
      <c r="G713" s="118">
        <v>769</v>
      </c>
      <c r="H713" s="118" t="s">
        <v>198</v>
      </c>
      <c r="I713" s="378">
        <v>836</v>
      </c>
      <c r="J713" s="117"/>
      <c r="K713" s="117"/>
      <c r="L713" t="str">
        <f t="shared" si="163"/>
        <v>IA#1DTR(A)</v>
      </c>
      <c r="M713" t="str">
        <f t="shared" si="173"/>
        <v>(A)</v>
      </c>
      <c r="N713" t="str">
        <f t="shared" si="174"/>
        <v>IA#1DTR</v>
      </c>
      <c r="O713" t="str">
        <f t="shared" si="175"/>
        <v>(A)</v>
      </c>
      <c r="P713" s="113" t="str">
        <f t="shared" si="164"/>
        <v>IA#1DTR(A)</v>
      </c>
      <c r="Q713" s="114">
        <f t="shared" si="165"/>
        <v>836</v>
      </c>
      <c r="R713" s="114">
        <f t="shared" si="166"/>
        <v>805.33333333333337</v>
      </c>
      <c r="S713" s="113">
        <f t="shared" si="167"/>
        <v>769</v>
      </c>
      <c r="T713" s="111">
        <f t="shared" ca="1" si="168"/>
        <v>16.510000000000002</v>
      </c>
      <c r="U713" s="111">
        <f t="shared" si="169"/>
        <v>713</v>
      </c>
      <c r="V713" t="str">
        <f t="array" ref="V713">INDEX(P:P,MAX(U$3:U713))</f>
        <v>IA#1DTR(A)</v>
      </c>
      <c r="W713">
        <f t="shared" ca="1" si="170"/>
        <v>30</v>
      </c>
      <c r="X713" t="str">
        <f t="shared" si="171"/>
        <v/>
      </c>
      <c r="Y713">
        <f t="shared" si="172"/>
        <v>836</v>
      </c>
      <c r="Z713" t="str">
        <f t="shared" si="176"/>
        <v>彰新</v>
      </c>
    </row>
    <row r="714" spans="1:26" x14ac:dyDescent="0.25">
      <c r="A714" s="118" t="s">
        <v>822</v>
      </c>
      <c r="B714" s="119" t="s">
        <v>823</v>
      </c>
      <c r="C714" s="119">
        <v>158</v>
      </c>
      <c r="D714" s="118" t="s">
        <v>183</v>
      </c>
      <c r="E714" s="118">
        <v>179</v>
      </c>
      <c r="F714" s="118" t="s">
        <v>183</v>
      </c>
      <c r="G714" s="118">
        <v>169</v>
      </c>
      <c r="H714" s="118" t="s">
        <v>192</v>
      </c>
      <c r="I714" s="378">
        <v>179</v>
      </c>
      <c r="J714" s="117">
        <v>30</v>
      </c>
      <c r="K714" s="117" t="s">
        <v>200</v>
      </c>
      <c r="L714" t="str">
        <f t="shared" si="163"/>
        <v>IA28</v>
      </c>
      <c r="M714" t="str">
        <f t="shared" si="173"/>
        <v/>
      </c>
      <c r="N714" t="str">
        <f t="shared" si="174"/>
        <v/>
      </c>
      <c r="O714" t="str">
        <f t="shared" si="175"/>
        <v/>
      </c>
      <c r="P714" s="113" t="str">
        <f t="shared" si="164"/>
        <v>IA28</v>
      </c>
      <c r="Q714" s="114">
        <f t="shared" si="165"/>
        <v>179</v>
      </c>
      <c r="R714" s="114">
        <f t="shared" si="166"/>
        <v>168.66666666666666</v>
      </c>
      <c r="S714" s="113">
        <f t="shared" si="167"/>
        <v>158</v>
      </c>
      <c r="T714" s="111">
        <f t="shared" ca="1" si="168"/>
        <v>3.53</v>
      </c>
      <c r="U714" s="111" t="str">
        <f t="shared" si="169"/>
        <v/>
      </c>
      <c r="V714" t="str">
        <f t="array" ref="V714">INDEX(P:P,MAX(U$3:U714))</f>
        <v>IA#1DTR(A)</v>
      </c>
      <c r="W714" t="str">
        <f t="shared" ca="1" si="170"/>
        <v/>
      </c>
      <c r="X714">
        <f t="shared" si="171"/>
        <v>11.4</v>
      </c>
      <c r="Y714">
        <f t="shared" si="172"/>
        <v>179</v>
      </c>
      <c r="Z714" t="str">
        <f t="shared" si="176"/>
        <v>彰新</v>
      </c>
    </row>
    <row r="715" spans="1:26" x14ac:dyDescent="0.25">
      <c r="A715" s="118" t="s">
        <v>822</v>
      </c>
      <c r="B715" s="119" t="s">
        <v>824</v>
      </c>
      <c r="C715" s="119">
        <v>362</v>
      </c>
      <c r="D715" s="118" t="s">
        <v>176</v>
      </c>
      <c r="E715" s="118">
        <v>358</v>
      </c>
      <c r="F715" s="118" t="s">
        <v>198</v>
      </c>
      <c r="G715" s="118">
        <v>369</v>
      </c>
      <c r="H715" s="118" t="s">
        <v>176</v>
      </c>
      <c r="I715" s="378">
        <v>369</v>
      </c>
      <c r="J715" s="117">
        <v>68</v>
      </c>
      <c r="K715" s="117" t="s">
        <v>211</v>
      </c>
      <c r="L715" t="str">
        <f t="shared" si="163"/>
        <v>IA37</v>
      </c>
      <c r="M715" t="str">
        <f t="shared" si="173"/>
        <v/>
      </c>
      <c r="N715" t="str">
        <f t="shared" si="174"/>
        <v/>
      </c>
      <c r="O715" t="str">
        <f t="shared" si="175"/>
        <v/>
      </c>
      <c r="P715" s="113" t="str">
        <f t="shared" si="164"/>
        <v>IA37</v>
      </c>
      <c r="Q715" s="114">
        <f t="shared" si="165"/>
        <v>369</v>
      </c>
      <c r="R715" s="114">
        <f t="shared" si="166"/>
        <v>363</v>
      </c>
      <c r="S715" s="113">
        <f t="shared" si="167"/>
        <v>358</v>
      </c>
      <c r="T715" s="111">
        <f t="shared" ca="1" si="168"/>
        <v>7.29</v>
      </c>
      <c r="U715" s="111" t="str">
        <f t="shared" si="169"/>
        <v/>
      </c>
      <c r="V715" t="str">
        <f t="array" ref="V715">INDEX(P:P,MAX(U$3:U715))</f>
        <v>IA#1DTR(A)</v>
      </c>
      <c r="W715" t="str">
        <f t="shared" ca="1" si="170"/>
        <v/>
      </c>
      <c r="X715">
        <f t="shared" si="171"/>
        <v>11.4</v>
      </c>
      <c r="Y715">
        <f t="shared" si="172"/>
        <v>369</v>
      </c>
      <c r="Z715" t="str">
        <f t="shared" si="176"/>
        <v>彰新</v>
      </c>
    </row>
    <row r="716" spans="1:26" x14ac:dyDescent="0.25">
      <c r="A716" s="118" t="s">
        <v>822</v>
      </c>
      <c r="B716" s="119" t="s">
        <v>825</v>
      </c>
      <c r="C716" s="119">
        <v>121</v>
      </c>
      <c r="D716" s="118" t="s">
        <v>194</v>
      </c>
      <c r="E716" s="118">
        <v>142</v>
      </c>
      <c r="F716" s="118" t="s">
        <v>194</v>
      </c>
      <c r="G716" s="118">
        <v>109</v>
      </c>
      <c r="H716" s="118" t="s">
        <v>194</v>
      </c>
      <c r="I716" s="378">
        <v>142</v>
      </c>
      <c r="J716" s="117">
        <v>52</v>
      </c>
      <c r="K716" s="117" t="s">
        <v>196</v>
      </c>
      <c r="L716" t="str">
        <f t="shared" si="163"/>
        <v>IA30</v>
      </c>
      <c r="M716" t="str">
        <f t="shared" si="173"/>
        <v/>
      </c>
      <c r="N716" t="str">
        <f t="shared" si="174"/>
        <v/>
      </c>
      <c r="O716" t="str">
        <f t="shared" si="175"/>
        <v/>
      </c>
      <c r="P716" s="113" t="str">
        <f t="shared" si="164"/>
        <v>IA30</v>
      </c>
      <c r="Q716" s="114">
        <f t="shared" si="165"/>
        <v>142</v>
      </c>
      <c r="R716" s="114">
        <f t="shared" si="166"/>
        <v>124</v>
      </c>
      <c r="S716" s="113">
        <f t="shared" si="167"/>
        <v>109</v>
      </c>
      <c r="T716" s="111">
        <f t="shared" ca="1" si="168"/>
        <v>2.8</v>
      </c>
      <c r="U716" s="111" t="str">
        <f t="shared" si="169"/>
        <v/>
      </c>
      <c r="V716" t="str">
        <f t="array" ref="V716">INDEX(P:P,MAX(U$3:U716))</f>
        <v>IA#1DTR(A)</v>
      </c>
      <c r="W716" t="str">
        <f t="shared" ca="1" si="170"/>
        <v/>
      </c>
      <c r="X716">
        <f t="shared" si="171"/>
        <v>11.4</v>
      </c>
      <c r="Y716">
        <f t="shared" si="172"/>
        <v>142</v>
      </c>
      <c r="Z716" t="str">
        <f t="shared" si="176"/>
        <v>彰新</v>
      </c>
    </row>
    <row r="717" spans="1:26" x14ac:dyDescent="0.25">
      <c r="A717" s="118" t="s">
        <v>822</v>
      </c>
      <c r="B717" s="119" t="s">
        <v>826</v>
      </c>
      <c r="C717" s="119">
        <v>2</v>
      </c>
      <c r="D717" s="118" t="s">
        <v>247</v>
      </c>
      <c r="E717" s="118">
        <v>2</v>
      </c>
      <c r="F717" s="118" t="s">
        <v>250</v>
      </c>
      <c r="G717" s="118">
        <v>2</v>
      </c>
      <c r="H717" s="118" t="s">
        <v>183</v>
      </c>
      <c r="I717" s="378">
        <v>2</v>
      </c>
      <c r="J717" s="117">
        <v>0</v>
      </c>
      <c r="K717" s="117" t="s">
        <v>194</v>
      </c>
      <c r="L717" t="str">
        <f t="shared" si="163"/>
        <v>IA32</v>
      </c>
      <c r="M717" t="str">
        <f t="shared" si="173"/>
        <v/>
      </c>
      <c r="N717" t="str">
        <f t="shared" si="174"/>
        <v/>
      </c>
      <c r="O717" t="str">
        <f t="shared" si="175"/>
        <v/>
      </c>
      <c r="P717" s="113" t="str">
        <f t="shared" si="164"/>
        <v>IA32</v>
      </c>
      <c r="Q717" s="114">
        <f t="shared" si="165"/>
        <v>2</v>
      </c>
      <c r="R717" s="114">
        <f t="shared" si="166"/>
        <v>2</v>
      </c>
      <c r="S717" s="113">
        <f t="shared" si="167"/>
        <v>2</v>
      </c>
      <c r="T717" s="111">
        <f t="shared" ca="1" si="168"/>
        <v>0.04</v>
      </c>
      <c r="U717" s="111" t="str">
        <f t="shared" si="169"/>
        <v/>
      </c>
      <c r="V717" t="str">
        <f t="array" ref="V717">INDEX(P:P,MAX(U$3:U717))</f>
        <v>IA#1DTR(A)</v>
      </c>
      <c r="W717" t="str">
        <f t="shared" ca="1" si="170"/>
        <v/>
      </c>
      <c r="X717">
        <f t="shared" si="171"/>
        <v>11.4</v>
      </c>
      <c r="Y717">
        <f t="shared" si="172"/>
        <v>2</v>
      </c>
      <c r="Z717" t="str">
        <f t="shared" si="176"/>
        <v>彰新</v>
      </c>
    </row>
    <row r="718" spans="1:26" x14ac:dyDescent="0.25">
      <c r="A718" s="118" t="s">
        <v>822</v>
      </c>
      <c r="B718" s="119" t="s">
        <v>827</v>
      </c>
      <c r="C718" s="119">
        <v>237</v>
      </c>
      <c r="D718" s="118" t="s">
        <v>198</v>
      </c>
      <c r="E718" s="118">
        <v>235</v>
      </c>
      <c r="F718" s="118" t="s">
        <v>207</v>
      </c>
      <c r="G718" s="118">
        <v>195</v>
      </c>
      <c r="H718" s="118" t="s">
        <v>203</v>
      </c>
      <c r="I718" s="378">
        <v>237</v>
      </c>
      <c r="J718" s="117">
        <v>80</v>
      </c>
      <c r="K718" s="117" t="s">
        <v>200</v>
      </c>
      <c r="L718" t="str">
        <f t="shared" si="163"/>
        <v>IA35</v>
      </c>
      <c r="M718" t="str">
        <f t="shared" si="173"/>
        <v/>
      </c>
      <c r="N718" t="str">
        <f t="shared" si="174"/>
        <v/>
      </c>
      <c r="O718" t="str">
        <f t="shared" si="175"/>
        <v/>
      </c>
      <c r="P718" s="113" t="str">
        <f t="shared" si="164"/>
        <v>IA35</v>
      </c>
      <c r="Q718" s="114">
        <f t="shared" si="165"/>
        <v>237</v>
      </c>
      <c r="R718" s="114">
        <f t="shared" si="166"/>
        <v>222.33333333333334</v>
      </c>
      <c r="S718" s="113">
        <f t="shared" si="167"/>
        <v>195</v>
      </c>
      <c r="T718" s="111">
        <f t="shared" ca="1" si="168"/>
        <v>4.68</v>
      </c>
      <c r="U718" s="111" t="str">
        <f t="shared" si="169"/>
        <v/>
      </c>
      <c r="V718" t="str">
        <f t="array" ref="V718">INDEX(P:P,MAX(U$3:U718))</f>
        <v>IA#1DTR(A)</v>
      </c>
      <c r="W718" t="str">
        <f t="shared" ca="1" si="170"/>
        <v/>
      </c>
      <c r="X718">
        <f t="shared" si="171"/>
        <v>11.4</v>
      </c>
      <c r="Y718">
        <f t="shared" si="172"/>
        <v>237</v>
      </c>
      <c r="Z718" t="str">
        <f t="shared" si="176"/>
        <v>彰新</v>
      </c>
    </row>
    <row r="719" spans="1:26" x14ac:dyDescent="0.25">
      <c r="A719" s="118" t="s">
        <v>822</v>
      </c>
      <c r="B719" s="119" t="s">
        <v>295</v>
      </c>
      <c r="C719" s="119">
        <v>304</v>
      </c>
      <c r="D719" s="118" t="s">
        <v>207</v>
      </c>
      <c r="E719" s="118">
        <v>336</v>
      </c>
      <c r="F719" s="118" t="s">
        <v>192</v>
      </c>
      <c r="G719" s="118">
        <v>362</v>
      </c>
      <c r="H719" s="118" t="s">
        <v>192</v>
      </c>
      <c r="I719" s="378">
        <v>362</v>
      </c>
      <c r="J719" s="117"/>
      <c r="K719" s="117"/>
      <c r="L719" t="str">
        <f t="shared" si="163"/>
        <v>IA#1DTR(B)</v>
      </c>
      <c r="M719" t="str">
        <f t="shared" si="173"/>
        <v>(B)</v>
      </c>
      <c r="N719" t="str">
        <f t="shared" si="174"/>
        <v>IA#1DTR</v>
      </c>
      <c r="O719" t="str">
        <f t="shared" si="175"/>
        <v>(B)</v>
      </c>
      <c r="P719" s="113" t="str">
        <f t="shared" si="164"/>
        <v>IA#1DTR(B)</v>
      </c>
      <c r="Q719" s="114">
        <f t="shared" si="165"/>
        <v>362</v>
      </c>
      <c r="R719" s="114">
        <f t="shared" si="166"/>
        <v>334</v>
      </c>
      <c r="S719" s="113">
        <f t="shared" si="167"/>
        <v>304</v>
      </c>
      <c r="T719" s="111">
        <f t="shared" ca="1" si="168"/>
        <v>7.15</v>
      </c>
      <c r="U719" s="111">
        <f t="shared" si="169"/>
        <v>719</v>
      </c>
      <c r="V719" t="str">
        <f t="array" ref="V719">INDEX(P:P,MAX(U$3:U719))</f>
        <v>IA#1DTR(B)</v>
      </c>
      <c r="W719">
        <f t="shared" ca="1" si="170"/>
        <v>30</v>
      </c>
      <c r="X719" t="str">
        <f t="shared" si="171"/>
        <v/>
      </c>
      <c r="Y719">
        <f t="shared" si="172"/>
        <v>362</v>
      </c>
      <c r="Z719" t="str">
        <f t="shared" si="176"/>
        <v>彰新</v>
      </c>
    </row>
    <row r="720" spans="1:26" x14ac:dyDescent="0.25">
      <c r="A720" s="118" t="s">
        <v>822</v>
      </c>
      <c r="B720" s="119" t="s">
        <v>828</v>
      </c>
      <c r="C720" s="119">
        <v>44</v>
      </c>
      <c r="D720" s="118" t="s">
        <v>203</v>
      </c>
      <c r="E720" s="118">
        <v>69</v>
      </c>
      <c r="F720" s="118" t="s">
        <v>203</v>
      </c>
      <c r="G720" s="118">
        <v>66</v>
      </c>
      <c r="H720" s="118" t="s">
        <v>176</v>
      </c>
      <c r="I720" s="378">
        <v>69</v>
      </c>
      <c r="J720" s="117">
        <v>42</v>
      </c>
      <c r="K720" s="117" t="s">
        <v>176</v>
      </c>
      <c r="L720" t="str">
        <f t="shared" si="163"/>
        <v>IA39</v>
      </c>
      <c r="M720" t="str">
        <f t="shared" si="173"/>
        <v/>
      </c>
      <c r="N720" t="str">
        <f t="shared" si="174"/>
        <v/>
      </c>
      <c r="O720" t="str">
        <f t="shared" si="175"/>
        <v/>
      </c>
      <c r="P720" s="113" t="str">
        <f t="shared" si="164"/>
        <v>IA39</v>
      </c>
      <c r="Q720" s="114">
        <f t="shared" si="165"/>
        <v>69</v>
      </c>
      <c r="R720" s="114">
        <f t="shared" si="166"/>
        <v>59.666666666666664</v>
      </c>
      <c r="S720" s="113">
        <f t="shared" si="167"/>
        <v>44</v>
      </c>
      <c r="T720" s="111">
        <f t="shared" ca="1" si="168"/>
        <v>1.36</v>
      </c>
      <c r="U720" s="111" t="str">
        <f t="shared" si="169"/>
        <v/>
      </c>
      <c r="V720" t="str">
        <f t="array" ref="V720">INDEX(P:P,MAX(U$3:U720))</f>
        <v>IA#1DTR(B)</v>
      </c>
      <c r="W720" t="str">
        <f t="shared" ca="1" si="170"/>
        <v/>
      </c>
      <c r="X720">
        <f t="shared" si="171"/>
        <v>11.4</v>
      </c>
      <c r="Y720">
        <f t="shared" si="172"/>
        <v>69</v>
      </c>
      <c r="Z720" t="str">
        <f t="shared" si="176"/>
        <v>彰新</v>
      </c>
    </row>
    <row r="721" spans="1:26" x14ac:dyDescent="0.25">
      <c r="A721" s="118" t="s">
        <v>822</v>
      </c>
      <c r="B721" s="119" t="s">
        <v>829</v>
      </c>
      <c r="C721" s="119">
        <v>0</v>
      </c>
      <c r="D721" s="118" t="s">
        <v>194</v>
      </c>
      <c r="E721" s="118">
        <v>0</v>
      </c>
      <c r="F721" s="118" t="s">
        <v>194</v>
      </c>
      <c r="G721" s="118">
        <v>0</v>
      </c>
      <c r="H721" s="118" t="s">
        <v>194</v>
      </c>
      <c r="I721" s="378">
        <v>0</v>
      </c>
      <c r="J721" s="117">
        <v>0</v>
      </c>
      <c r="K721" s="117" t="s">
        <v>194</v>
      </c>
      <c r="L721" t="str">
        <f t="shared" si="163"/>
        <v>IA24</v>
      </c>
      <c r="M721" t="str">
        <f t="shared" si="173"/>
        <v/>
      </c>
      <c r="N721" t="str">
        <f t="shared" si="174"/>
        <v/>
      </c>
      <c r="O721" t="str">
        <f t="shared" si="175"/>
        <v/>
      </c>
      <c r="P721" s="113" t="str">
        <f t="shared" si="164"/>
        <v>IA24</v>
      </c>
      <c r="Q721" s="114">
        <f t="shared" si="165"/>
        <v>0</v>
      </c>
      <c r="R721" s="114">
        <f t="shared" si="166"/>
        <v>0</v>
      </c>
      <c r="S721" s="113">
        <f t="shared" si="167"/>
        <v>0</v>
      </c>
      <c r="T721" s="111">
        <f t="shared" ca="1" si="168"/>
        <v>0</v>
      </c>
      <c r="U721" s="111" t="str">
        <f t="shared" si="169"/>
        <v/>
      </c>
      <c r="V721" t="str">
        <f t="array" ref="V721">INDEX(P:P,MAX(U$3:U721))</f>
        <v>IA#1DTR(B)</v>
      </c>
      <c r="W721" t="str">
        <f t="shared" ca="1" si="170"/>
        <v/>
      </c>
      <c r="X721">
        <f t="shared" si="171"/>
        <v>11.4</v>
      </c>
      <c r="Y721">
        <f t="shared" si="172"/>
        <v>0</v>
      </c>
      <c r="Z721" t="str">
        <f t="shared" si="176"/>
        <v>彰新</v>
      </c>
    </row>
    <row r="722" spans="1:26" x14ac:dyDescent="0.25">
      <c r="A722" s="118" t="s">
        <v>822</v>
      </c>
      <c r="B722" s="119" t="s">
        <v>830</v>
      </c>
      <c r="C722" s="119">
        <v>119</v>
      </c>
      <c r="D722" s="118" t="s">
        <v>207</v>
      </c>
      <c r="E722" s="118">
        <v>126</v>
      </c>
      <c r="F722" s="118" t="s">
        <v>184</v>
      </c>
      <c r="G722" s="118">
        <v>125</v>
      </c>
      <c r="H722" s="118" t="s">
        <v>207</v>
      </c>
      <c r="I722" s="378">
        <v>126</v>
      </c>
      <c r="J722" s="117">
        <v>24</v>
      </c>
      <c r="K722" s="117" t="s">
        <v>188</v>
      </c>
      <c r="L722" t="str">
        <f t="shared" si="163"/>
        <v>IA29</v>
      </c>
      <c r="M722" t="str">
        <f t="shared" si="173"/>
        <v/>
      </c>
      <c r="N722" t="str">
        <f t="shared" si="174"/>
        <v/>
      </c>
      <c r="O722" t="str">
        <f t="shared" si="175"/>
        <v/>
      </c>
      <c r="P722" s="113" t="str">
        <f t="shared" si="164"/>
        <v>IA29</v>
      </c>
      <c r="Q722" s="114">
        <f t="shared" si="165"/>
        <v>126</v>
      </c>
      <c r="R722" s="114">
        <f t="shared" si="166"/>
        <v>123.33333333333333</v>
      </c>
      <c r="S722" s="113">
        <f t="shared" si="167"/>
        <v>119</v>
      </c>
      <c r="T722" s="111">
        <f t="shared" ca="1" si="168"/>
        <v>2.4900000000000002</v>
      </c>
      <c r="U722" s="111" t="str">
        <f t="shared" si="169"/>
        <v/>
      </c>
      <c r="V722" t="str">
        <f t="array" ref="V722">INDEX(P:P,MAX(U$3:U722))</f>
        <v>IA#1DTR(B)</v>
      </c>
      <c r="W722" t="str">
        <f t="shared" ca="1" si="170"/>
        <v/>
      </c>
      <c r="X722">
        <f t="shared" si="171"/>
        <v>11.4</v>
      </c>
      <c r="Y722">
        <f t="shared" si="172"/>
        <v>126</v>
      </c>
      <c r="Z722" t="str">
        <f t="shared" si="176"/>
        <v>彰新</v>
      </c>
    </row>
    <row r="723" spans="1:26" x14ac:dyDescent="0.25">
      <c r="A723" s="118" t="s">
        <v>822</v>
      </c>
      <c r="B723" s="119" t="s">
        <v>831</v>
      </c>
      <c r="C723" s="119">
        <v>62</v>
      </c>
      <c r="D723" s="118" t="s">
        <v>203</v>
      </c>
      <c r="E723" s="118">
        <v>36</v>
      </c>
      <c r="F723" s="118" t="s">
        <v>207</v>
      </c>
      <c r="G723" s="118">
        <v>62</v>
      </c>
      <c r="H723" s="118" t="s">
        <v>203</v>
      </c>
      <c r="I723" s="378">
        <v>62</v>
      </c>
      <c r="J723" s="117">
        <v>61</v>
      </c>
      <c r="K723" s="117" t="s">
        <v>180</v>
      </c>
      <c r="L723" t="str">
        <f t="shared" si="163"/>
        <v>IA33</v>
      </c>
      <c r="M723" t="str">
        <f t="shared" si="173"/>
        <v/>
      </c>
      <c r="N723" t="str">
        <f t="shared" si="174"/>
        <v/>
      </c>
      <c r="O723" t="str">
        <f t="shared" si="175"/>
        <v/>
      </c>
      <c r="P723" s="113" t="str">
        <f t="shared" si="164"/>
        <v>IA33</v>
      </c>
      <c r="Q723" s="114">
        <f t="shared" si="165"/>
        <v>62</v>
      </c>
      <c r="R723" s="114">
        <f t="shared" si="166"/>
        <v>53.333333333333336</v>
      </c>
      <c r="S723" s="113">
        <f t="shared" si="167"/>
        <v>36</v>
      </c>
      <c r="T723" s="111">
        <f t="shared" ca="1" si="168"/>
        <v>1.22</v>
      </c>
      <c r="U723" s="111" t="str">
        <f t="shared" si="169"/>
        <v/>
      </c>
      <c r="V723" t="str">
        <f t="array" ref="V723">INDEX(P:P,MAX(U$3:U723))</f>
        <v>IA#1DTR(B)</v>
      </c>
      <c r="W723" t="str">
        <f t="shared" ca="1" si="170"/>
        <v/>
      </c>
      <c r="X723">
        <f t="shared" si="171"/>
        <v>11.4</v>
      </c>
      <c r="Y723">
        <f t="shared" si="172"/>
        <v>62</v>
      </c>
      <c r="Z723" t="str">
        <f t="shared" si="176"/>
        <v>彰新</v>
      </c>
    </row>
    <row r="724" spans="1:26" x14ac:dyDescent="0.25">
      <c r="A724" s="118" t="s">
        <v>822</v>
      </c>
      <c r="B724" s="119" t="s">
        <v>832</v>
      </c>
      <c r="C724" s="119">
        <v>108</v>
      </c>
      <c r="D724" s="118" t="s">
        <v>192</v>
      </c>
      <c r="E724" s="118">
        <v>128</v>
      </c>
      <c r="F724" s="118" t="s">
        <v>183</v>
      </c>
      <c r="G724" s="118">
        <v>138</v>
      </c>
      <c r="H724" s="118" t="s">
        <v>192</v>
      </c>
      <c r="I724" s="378">
        <v>138</v>
      </c>
      <c r="J724" s="117">
        <v>65</v>
      </c>
      <c r="K724" s="117" t="s">
        <v>176</v>
      </c>
      <c r="L724" t="str">
        <f t="shared" si="163"/>
        <v>IA36</v>
      </c>
      <c r="M724" t="str">
        <f t="shared" si="173"/>
        <v/>
      </c>
      <c r="N724" t="str">
        <f t="shared" si="174"/>
        <v/>
      </c>
      <c r="O724" t="str">
        <f t="shared" si="175"/>
        <v/>
      </c>
      <c r="P724" s="113" t="str">
        <f t="shared" si="164"/>
        <v>IA36</v>
      </c>
      <c r="Q724" s="114">
        <f t="shared" si="165"/>
        <v>138</v>
      </c>
      <c r="R724" s="114">
        <f t="shared" si="166"/>
        <v>124.66666666666667</v>
      </c>
      <c r="S724" s="113">
        <f t="shared" si="167"/>
        <v>108</v>
      </c>
      <c r="T724" s="111">
        <f t="shared" ca="1" si="168"/>
        <v>2.72</v>
      </c>
      <c r="U724" s="111" t="str">
        <f t="shared" si="169"/>
        <v/>
      </c>
      <c r="V724" t="str">
        <f t="array" ref="V724">INDEX(P:P,MAX(U$3:U724))</f>
        <v>IA#1DTR(B)</v>
      </c>
      <c r="W724" t="str">
        <f t="shared" ca="1" si="170"/>
        <v/>
      </c>
      <c r="X724">
        <f t="shared" si="171"/>
        <v>11.4</v>
      </c>
      <c r="Y724">
        <f t="shared" si="172"/>
        <v>138</v>
      </c>
      <c r="Z724" t="str">
        <f t="shared" si="176"/>
        <v>彰新</v>
      </c>
    </row>
    <row r="725" spans="1:26" x14ac:dyDescent="0.25">
      <c r="A725" s="118" t="s">
        <v>822</v>
      </c>
      <c r="B725" s="119" t="s">
        <v>301</v>
      </c>
      <c r="C725" s="119">
        <v>822</v>
      </c>
      <c r="D725" s="118" t="s">
        <v>192</v>
      </c>
      <c r="E725" s="118">
        <v>815</v>
      </c>
      <c r="F725" s="118" t="s">
        <v>179</v>
      </c>
      <c r="G725" s="118">
        <v>787</v>
      </c>
      <c r="H725" s="118" t="s">
        <v>177</v>
      </c>
      <c r="I725" s="378">
        <v>822</v>
      </c>
      <c r="J725" s="117"/>
      <c r="K725" s="117"/>
      <c r="L725" t="str">
        <f t="shared" si="163"/>
        <v>IA#2DTR(A)</v>
      </c>
      <c r="M725" t="str">
        <f t="shared" si="173"/>
        <v>(A)</v>
      </c>
      <c r="N725" t="str">
        <f t="shared" si="174"/>
        <v>IA#2DTR</v>
      </c>
      <c r="O725" t="str">
        <f t="shared" si="175"/>
        <v>(A)</v>
      </c>
      <c r="P725" s="113" t="str">
        <f t="shared" si="164"/>
        <v>IA#2DTR(A)</v>
      </c>
      <c r="Q725" s="114">
        <f t="shared" si="165"/>
        <v>822</v>
      </c>
      <c r="R725" s="114">
        <f t="shared" si="166"/>
        <v>808</v>
      </c>
      <c r="S725" s="113">
        <f t="shared" si="167"/>
        <v>787</v>
      </c>
      <c r="T725" s="111">
        <f t="shared" ca="1" si="168"/>
        <v>16.23</v>
      </c>
      <c r="U725" s="111">
        <f t="shared" si="169"/>
        <v>725</v>
      </c>
      <c r="V725" t="str">
        <f t="array" ref="V725">INDEX(P:P,MAX(U$3:U725))</f>
        <v>IA#2DTR(A)</v>
      </c>
      <c r="W725">
        <f t="shared" ca="1" si="170"/>
        <v>30</v>
      </c>
      <c r="X725" t="str">
        <f t="shared" si="171"/>
        <v/>
      </c>
      <c r="Y725">
        <f t="shared" si="172"/>
        <v>822</v>
      </c>
      <c r="Z725" t="str">
        <f t="shared" si="176"/>
        <v>彰新</v>
      </c>
    </row>
    <row r="726" spans="1:26" x14ac:dyDescent="0.25">
      <c r="A726" s="118" t="s">
        <v>822</v>
      </c>
      <c r="B726" s="119" t="s">
        <v>833</v>
      </c>
      <c r="C726" s="119">
        <v>186</v>
      </c>
      <c r="D726" s="118" t="s">
        <v>177</v>
      </c>
      <c r="E726" s="118">
        <v>204</v>
      </c>
      <c r="F726" s="118" t="s">
        <v>177</v>
      </c>
      <c r="G726" s="118">
        <v>232</v>
      </c>
      <c r="H726" s="118" t="s">
        <v>176</v>
      </c>
      <c r="I726" s="378">
        <v>232</v>
      </c>
      <c r="J726" s="117">
        <v>74</v>
      </c>
      <c r="K726" s="117" t="s">
        <v>196</v>
      </c>
      <c r="L726" t="str">
        <f t="shared" si="163"/>
        <v>IA23</v>
      </c>
      <c r="M726" t="str">
        <f t="shared" si="173"/>
        <v/>
      </c>
      <c r="N726" t="str">
        <f t="shared" si="174"/>
        <v/>
      </c>
      <c r="O726" t="str">
        <f t="shared" si="175"/>
        <v/>
      </c>
      <c r="P726" s="113" t="str">
        <f t="shared" si="164"/>
        <v>IA23</v>
      </c>
      <c r="Q726" s="114">
        <f t="shared" si="165"/>
        <v>232</v>
      </c>
      <c r="R726" s="114">
        <f t="shared" si="166"/>
        <v>207.33333333333334</v>
      </c>
      <c r="S726" s="113">
        <f t="shared" si="167"/>
        <v>186</v>
      </c>
      <c r="T726" s="111">
        <f t="shared" ca="1" si="168"/>
        <v>4.58</v>
      </c>
      <c r="U726" s="111" t="str">
        <f t="shared" si="169"/>
        <v/>
      </c>
      <c r="V726" t="str">
        <f t="array" ref="V726">INDEX(P:P,MAX(U$3:U726))</f>
        <v>IA#2DTR(A)</v>
      </c>
      <c r="W726" t="str">
        <f t="shared" ca="1" si="170"/>
        <v/>
      </c>
      <c r="X726">
        <f t="shared" si="171"/>
        <v>11.4</v>
      </c>
      <c r="Y726">
        <f t="shared" si="172"/>
        <v>232</v>
      </c>
      <c r="Z726" t="str">
        <f t="shared" si="176"/>
        <v>彰新</v>
      </c>
    </row>
    <row r="727" spans="1:26" x14ac:dyDescent="0.25">
      <c r="A727" s="118" t="s">
        <v>822</v>
      </c>
      <c r="B727" s="119" t="s">
        <v>834</v>
      </c>
      <c r="C727" s="119">
        <v>234</v>
      </c>
      <c r="D727" s="118" t="s">
        <v>177</v>
      </c>
      <c r="E727" s="118">
        <v>202</v>
      </c>
      <c r="F727" s="118" t="s">
        <v>179</v>
      </c>
      <c r="G727" s="118">
        <v>166</v>
      </c>
      <c r="H727" s="118" t="s">
        <v>176</v>
      </c>
      <c r="I727" s="378">
        <v>234</v>
      </c>
      <c r="J727" s="117">
        <v>133</v>
      </c>
      <c r="K727" s="117" t="s">
        <v>203</v>
      </c>
      <c r="L727" t="str">
        <f t="shared" si="163"/>
        <v>IA26</v>
      </c>
      <c r="M727" t="str">
        <f t="shared" si="173"/>
        <v/>
      </c>
      <c r="N727" t="str">
        <f t="shared" si="174"/>
        <v/>
      </c>
      <c r="O727" t="str">
        <f t="shared" si="175"/>
        <v/>
      </c>
      <c r="P727" s="113" t="str">
        <f t="shared" si="164"/>
        <v>IA26</v>
      </c>
      <c r="Q727" s="114">
        <f t="shared" si="165"/>
        <v>234</v>
      </c>
      <c r="R727" s="114">
        <f t="shared" si="166"/>
        <v>200.66666666666666</v>
      </c>
      <c r="S727" s="113">
        <f t="shared" si="167"/>
        <v>166</v>
      </c>
      <c r="T727" s="111">
        <f t="shared" ca="1" si="168"/>
        <v>4.62</v>
      </c>
      <c r="U727" s="111" t="str">
        <f t="shared" si="169"/>
        <v/>
      </c>
      <c r="V727" t="str">
        <f t="array" ref="V727">INDEX(P:P,MAX(U$3:U727))</f>
        <v>IA#2DTR(A)</v>
      </c>
      <c r="W727" t="str">
        <f t="shared" ca="1" si="170"/>
        <v/>
      </c>
      <c r="X727">
        <f t="shared" si="171"/>
        <v>11.4</v>
      </c>
      <c r="Y727">
        <f t="shared" si="172"/>
        <v>234</v>
      </c>
      <c r="Z727" t="str">
        <f t="shared" si="176"/>
        <v>彰新</v>
      </c>
    </row>
    <row r="728" spans="1:26" x14ac:dyDescent="0.25">
      <c r="A728" s="118" t="s">
        <v>822</v>
      </c>
      <c r="B728" s="119" t="s">
        <v>835</v>
      </c>
      <c r="C728" s="119">
        <v>219</v>
      </c>
      <c r="D728" s="118" t="s">
        <v>192</v>
      </c>
      <c r="E728" s="118">
        <v>211</v>
      </c>
      <c r="F728" s="118" t="s">
        <v>192</v>
      </c>
      <c r="G728" s="118">
        <v>217</v>
      </c>
      <c r="H728" s="118" t="s">
        <v>207</v>
      </c>
      <c r="I728" s="378">
        <v>219</v>
      </c>
      <c r="J728" s="117">
        <v>51</v>
      </c>
      <c r="K728" s="117" t="s">
        <v>196</v>
      </c>
      <c r="L728" t="str">
        <f t="shared" si="163"/>
        <v>IA27</v>
      </c>
      <c r="M728" t="str">
        <f t="shared" si="173"/>
        <v/>
      </c>
      <c r="N728" t="str">
        <f t="shared" si="174"/>
        <v/>
      </c>
      <c r="O728" t="str">
        <f t="shared" si="175"/>
        <v/>
      </c>
      <c r="P728" s="113" t="str">
        <f t="shared" si="164"/>
        <v>IA27</v>
      </c>
      <c r="Q728" s="114">
        <f t="shared" si="165"/>
        <v>219</v>
      </c>
      <c r="R728" s="114">
        <f t="shared" si="166"/>
        <v>215.66666666666666</v>
      </c>
      <c r="S728" s="113">
        <f t="shared" si="167"/>
        <v>211</v>
      </c>
      <c r="T728" s="111">
        <f t="shared" ca="1" si="168"/>
        <v>4.32</v>
      </c>
      <c r="U728" s="111" t="str">
        <f t="shared" si="169"/>
        <v/>
      </c>
      <c r="V728" t="str">
        <f t="array" ref="V728">INDEX(P:P,MAX(U$3:U728))</f>
        <v>IA#2DTR(A)</v>
      </c>
      <c r="W728" t="str">
        <f t="shared" ca="1" si="170"/>
        <v/>
      </c>
      <c r="X728">
        <f t="shared" si="171"/>
        <v>11.4</v>
      </c>
      <c r="Y728">
        <f t="shared" si="172"/>
        <v>219</v>
      </c>
      <c r="Z728" t="str">
        <f t="shared" si="176"/>
        <v>彰新</v>
      </c>
    </row>
    <row r="729" spans="1:26" x14ac:dyDescent="0.25">
      <c r="A729" s="118" t="s">
        <v>822</v>
      </c>
      <c r="B729" s="119" t="s">
        <v>836</v>
      </c>
      <c r="C729" s="119">
        <v>166</v>
      </c>
      <c r="D729" s="118" t="s">
        <v>192</v>
      </c>
      <c r="E729" s="118">
        <v>170</v>
      </c>
      <c r="F729" s="118" t="s">
        <v>192</v>
      </c>
      <c r="G729" s="118">
        <v>153</v>
      </c>
      <c r="H729" s="118" t="s">
        <v>180</v>
      </c>
      <c r="I729" s="378">
        <v>170</v>
      </c>
      <c r="J729" s="117">
        <v>36</v>
      </c>
      <c r="K729" s="117" t="s">
        <v>203</v>
      </c>
      <c r="L729" t="str">
        <f t="shared" si="163"/>
        <v>IA34</v>
      </c>
      <c r="M729" t="str">
        <f t="shared" si="173"/>
        <v/>
      </c>
      <c r="N729" t="str">
        <f t="shared" si="174"/>
        <v/>
      </c>
      <c r="O729" t="str">
        <f t="shared" si="175"/>
        <v/>
      </c>
      <c r="P729" s="113" t="str">
        <f t="shared" si="164"/>
        <v>IA34</v>
      </c>
      <c r="Q729" s="114">
        <f t="shared" si="165"/>
        <v>170</v>
      </c>
      <c r="R729" s="114">
        <f t="shared" si="166"/>
        <v>163</v>
      </c>
      <c r="S729" s="113">
        <f t="shared" si="167"/>
        <v>153</v>
      </c>
      <c r="T729" s="111">
        <f t="shared" ca="1" si="168"/>
        <v>3.36</v>
      </c>
      <c r="U729" s="111" t="str">
        <f t="shared" si="169"/>
        <v/>
      </c>
      <c r="V729" t="str">
        <f t="array" ref="V729">INDEX(P:P,MAX(U$3:U729))</f>
        <v>IA#2DTR(A)</v>
      </c>
      <c r="W729" t="str">
        <f t="shared" ca="1" si="170"/>
        <v/>
      </c>
      <c r="X729">
        <f t="shared" si="171"/>
        <v>11.4</v>
      </c>
      <c r="Y729">
        <f t="shared" si="172"/>
        <v>170</v>
      </c>
      <c r="Z729" t="str">
        <f t="shared" si="176"/>
        <v>彰新</v>
      </c>
    </row>
    <row r="730" spans="1:26" x14ac:dyDescent="0.25">
      <c r="A730" s="118" t="s">
        <v>822</v>
      </c>
      <c r="B730" s="119" t="s">
        <v>837</v>
      </c>
      <c r="C730" s="119">
        <v>96</v>
      </c>
      <c r="D730" s="118" t="s">
        <v>203</v>
      </c>
      <c r="E730" s="118">
        <v>96</v>
      </c>
      <c r="F730" s="118" t="s">
        <v>198</v>
      </c>
      <c r="G730" s="118">
        <v>92</v>
      </c>
      <c r="H730" s="118" t="s">
        <v>203</v>
      </c>
      <c r="I730" s="378">
        <v>96</v>
      </c>
      <c r="J730" s="117">
        <v>27</v>
      </c>
      <c r="K730" s="117" t="s">
        <v>207</v>
      </c>
      <c r="L730" t="str">
        <f t="shared" si="163"/>
        <v>IA22</v>
      </c>
      <c r="M730" t="str">
        <f t="shared" si="173"/>
        <v/>
      </c>
      <c r="N730" t="str">
        <f t="shared" si="174"/>
        <v/>
      </c>
      <c r="O730" t="str">
        <f t="shared" si="175"/>
        <v/>
      </c>
      <c r="P730" s="113" t="str">
        <f t="shared" si="164"/>
        <v>IA22</v>
      </c>
      <c r="Q730" s="114">
        <f t="shared" si="165"/>
        <v>96</v>
      </c>
      <c r="R730" s="114">
        <f t="shared" si="166"/>
        <v>94.666666666666671</v>
      </c>
      <c r="S730" s="113">
        <f t="shared" si="167"/>
        <v>92</v>
      </c>
      <c r="T730" s="111">
        <f t="shared" ca="1" si="168"/>
        <v>1.9</v>
      </c>
      <c r="U730" s="111" t="str">
        <f t="shared" si="169"/>
        <v/>
      </c>
      <c r="V730" t="str">
        <f t="array" ref="V730">INDEX(P:P,MAX(U$3:U730))</f>
        <v>IA#2DTR(A)</v>
      </c>
      <c r="W730" t="str">
        <f t="shared" ca="1" si="170"/>
        <v/>
      </c>
      <c r="X730">
        <f t="shared" si="171"/>
        <v>11.4</v>
      </c>
      <c r="Y730">
        <f t="shared" si="172"/>
        <v>96</v>
      </c>
      <c r="Z730" t="str">
        <f t="shared" si="176"/>
        <v>彰新</v>
      </c>
    </row>
    <row r="731" spans="1:26" x14ac:dyDescent="0.25">
      <c r="A731" s="118" t="s">
        <v>822</v>
      </c>
      <c r="B731" s="119" t="s">
        <v>283</v>
      </c>
      <c r="C731" s="119">
        <v>613</v>
      </c>
      <c r="D731" s="118" t="s">
        <v>188</v>
      </c>
      <c r="E731" s="118">
        <v>592</v>
      </c>
      <c r="F731" s="118" t="s">
        <v>192</v>
      </c>
      <c r="G731" s="118">
        <v>550</v>
      </c>
      <c r="H731" s="118" t="s">
        <v>188</v>
      </c>
      <c r="I731" s="378">
        <v>613</v>
      </c>
      <c r="J731" s="117"/>
      <c r="K731" s="117"/>
      <c r="L731" t="str">
        <f t="shared" si="163"/>
        <v>IA#2DTR(B)</v>
      </c>
      <c r="M731" t="str">
        <f t="shared" si="173"/>
        <v>(B)</v>
      </c>
      <c r="N731" t="str">
        <f t="shared" si="174"/>
        <v>IA#2DTR</v>
      </c>
      <c r="O731" t="str">
        <f t="shared" si="175"/>
        <v>(B)</v>
      </c>
      <c r="P731" s="113" t="str">
        <f t="shared" si="164"/>
        <v>IA#2DTR(B)</v>
      </c>
      <c r="Q731" s="114">
        <f t="shared" si="165"/>
        <v>613</v>
      </c>
      <c r="R731" s="114">
        <f t="shared" si="166"/>
        <v>585</v>
      </c>
      <c r="S731" s="113">
        <f t="shared" si="167"/>
        <v>550</v>
      </c>
      <c r="T731" s="111">
        <f t="shared" ca="1" si="168"/>
        <v>12.1</v>
      </c>
      <c r="U731" s="111">
        <f t="shared" si="169"/>
        <v>731</v>
      </c>
      <c r="V731" t="str">
        <f t="array" ref="V731">INDEX(P:P,MAX(U$3:U731))</f>
        <v>IA#2DTR(B)</v>
      </c>
      <c r="W731">
        <f t="shared" ca="1" si="170"/>
        <v>30</v>
      </c>
      <c r="X731" t="str">
        <f t="shared" si="171"/>
        <v/>
      </c>
      <c r="Y731">
        <f t="shared" si="172"/>
        <v>613</v>
      </c>
      <c r="Z731" t="str">
        <f t="shared" si="176"/>
        <v>彰新</v>
      </c>
    </row>
    <row r="732" spans="1:26" x14ac:dyDescent="0.25">
      <c r="A732" s="118" t="s">
        <v>822</v>
      </c>
      <c r="B732" s="119" t="s">
        <v>838</v>
      </c>
      <c r="C732" s="119">
        <v>125</v>
      </c>
      <c r="D732" s="118" t="s">
        <v>188</v>
      </c>
      <c r="E732" s="118">
        <v>103</v>
      </c>
      <c r="F732" s="118" t="s">
        <v>188</v>
      </c>
      <c r="G732" s="118">
        <v>120</v>
      </c>
      <c r="H732" s="118" t="s">
        <v>188</v>
      </c>
      <c r="I732" s="378">
        <v>125</v>
      </c>
      <c r="J732" s="117">
        <v>52</v>
      </c>
      <c r="K732" s="117" t="s">
        <v>196</v>
      </c>
      <c r="L732" t="str">
        <f t="shared" si="163"/>
        <v>IA38</v>
      </c>
      <c r="M732" t="str">
        <f t="shared" si="173"/>
        <v/>
      </c>
      <c r="N732" t="str">
        <f t="shared" si="174"/>
        <v/>
      </c>
      <c r="O732" t="str">
        <f t="shared" si="175"/>
        <v/>
      </c>
      <c r="P732" s="113" t="str">
        <f t="shared" si="164"/>
        <v>IA38</v>
      </c>
      <c r="Q732" s="114">
        <f t="shared" si="165"/>
        <v>125</v>
      </c>
      <c r="R732" s="114">
        <f t="shared" si="166"/>
        <v>116</v>
      </c>
      <c r="S732" s="113">
        <f t="shared" si="167"/>
        <v>103</v>
      </c>
      <c r="T732" s="111">
        <f t="shared" ca="1" si="168"/>
        <v>2.4700000000000002</v>
      </c>
      <c r="U732" s="111" t="str">
        <f t="shared" si="169"/>
        <v/>
      </c>
      <c r="V732" t="str">
        <f t="array" ref="V732">INDEX(P:P,MAX(U$3:U732))</f>
        <v>IA#2DTR(B)</v>
      </c>
      <c r="W732" t="str">
        <f t="shared" ca="1" si="170"/>
        <v/>
      </c>
      <c r="X732">
        <f t="shared" si="171"/>
        <v>11.4</v>
      </c>
      <c r="Y732">
        <f t="shared" si="172"/>
        <v>125</v>
      </c>
      <c r="Z732" t="str">
        <f t="shared" si="176"/>
        <v>彰新</v>
      </c>
    </row>
    <row r="733" spans="1:26" x14ac:dyDescent="0.25">
      <c r="A733" s="118" t="s">
        <v>822</v>
      </c>
      <c r="B733" s="119" t="s">
        <v>839</v>
      </c>
      <c r="C733" s="119">
        <v>106</v>
      </c>
      <c r="D733" s="118" t="s">
        <v>198</v>
      </c>
      <c r="E733" s="118">
        <v>120</v>
      </c>
      <c r="F733" s="118" t="s">
        <v>198</v>
      </c>
      <c r="G733" s="118">
        <v>110</v>
      </c>
      <c r="H733" s="118" t="s">
        <v>207</v>
      </c>
      <c r="I733" s="378">
        <v>120</v>
      </c>
      <c r="J733" s="117">
        <v>25</v>
      </c>
      <c r="K733" s="117" t="s">
        <v>198</v>
      </c>
      <c r="L733" t="str">
        <f t="shared" si="163"/>
        <v>IA31</v>
      </c>
      <c r="M733" t="str">
        <f t="shared" si="173"/>
        <v/>
      </c>
      <c r="N733" t="str">
        <f t="shared" si="174"/>
        <v/>
      </c>
      <c r="O733" t="str">
        <f t="shared" si="175"/>
        <v/>
      </c>
      <c r="P733" s="113" t="str">
        <f t="shared" si="164"/>
        <v>IA31</v>
      </c>
      <c r="Q733" s="114">
        <f t="shared" si="165"/>
        <v>120</v>
      </c>
      <c r="R733" s="114">
        <f t="shared" si="166"/>
        <v>112</v>
      </c>
      <c r="S733" s="113">
        <f t="shared" si="167"/>
        <v>106</v>
      </c>
      <c r="T733" s="111">
        <f t="shared" ca="1" si="168"/>
        <v>2.37</v>
      </c>
      <c r="U733" s="111" t="str">
        <f t="shared" si="169"/>
        <v/>
      </c>
      <c r="V733" t="str">
        <f t="array" ref="V733">INDEX(P:P,MAX(U$3:U733))</f>
        <v>IA#2DTR(B)</v>
      </c>
      <c r="W733" t="str">
        <f t="shared" ca="1" si="170"/>
        <v/>
      </c>
      <c r="X733">
        <f t="shared" si="171"/>
        <v>11.4</v>
      </c>
      <c r="Y733">
        <f t="shared" si="172"/>
        <v>120</v>
      </c>
      <c r="Z733" t="str">
        <f t="shared" si="176"/>
        <v>彰新</v>
      </c>
    </row>
    <row r="734" spans="1:26" x14ac:dyDescent="0.25">
      <c r="A734" s="118" t="s">
        <v>822</v>
      </c>
      <c r="B734" s="119" t="s">
        <v>840</v>
      </c>
      <c r="C734" s="119">
        <v>129</v>
      </c>
      <c r="D734" s="118" t="s">
        <v>203</v>
      </c>
      <c r="E734" s="118">
        <v>110</v>
      </c>
      <c r="F734" s="118" t="s">
        <v>192</v>
      </c>
      <c r="G734" s="118">
        <v>132</v>
      </c>
      <c r="H734" s="118" t="s">
        <v>179</v>
      </c>
      <c r="I734" s="378">
        <v>132</v>
      </c>
      <c r="J734" s="117">
        <v>38</v>
      </c>
      <c r="K734" s="117" t="s">
        <v>229</v>
      </c>
      <c r="L734" t="str">
        <f t="shared" si="163"/>
        <v>IA21</v>
      </c>
      <c r="M734" t="str">
        <f t="shared" si="173"/>
        <v/>
      </c>
      <c r="N734" t="str">
        <f t="shared" si="174"/>
        <v/>
      </c>
      <c r="O734" t="str">
        <f t="shared" si="175"/>
        <v/>
      </c>
      <c r="P734" s="113" t="str">
        <f t="shared" si="164"/>
        <v>IA21</v>
      </c>
      <c r="Q734" s="114">
        <f t="shared" si="165"/>
        <v>132</v>
      </c>
      <c r="R734" s="114">
        <f t="shared" si="166"/>
        <v>123.66666666666667</v>
      </c>
      <c r="S734" s="113">
        <f t="shared" si="167"/>
        <v>110</v>
      </c>
      <c r="T734" s="111">
        <f t="shared" ca="1" si="168"/>
        <v>2.61</v>
      </c>
      <c r="U734" s="111" t="str">
        <f t="shared" si="169"/>
        <v/>
      </c>
      <c r="V734" t="str">
        <f t="array" ref="V734">INDEX(P:P,MAX(U$3:U734))</f>
        <v>IA#2DTR(B)</v>
      </c>
      <c r="W734" t="str">
        <f t="shared" ca="1" si="170"/>
        <v/>
      </c>
      <c r="X734">
        <f t="shared" si="171"/>
        <v>11.4</v>
      </c>
      <c r="Y734">
        <f t="shared" si="172"/>
        <v>132</v>
      </c>
      <c r="Z734" t="str">
        <f t="shared" si="176"/>
        <v>彰新</v>
      </c>
    </row>
    <row r="735" spans="1:26" x14ac:dyDescent="0.25">
      <c r="A735" s="118" t="s">
        <v>822</v>
      </c>
      <c r="B735" s="119" t="s">
        <v>841</v>
      </c>
      <c r="C735" s="119">
        <v>137</v>
      </c>
      <c r="D735" s="118" t="s">
        <v>179</v>
      </c>
      <c r="E735" s="118">
        <v>162</v>
      </c>
      <c r="F735" s="118" t="s">
        <v>188</v>
      </c>
      <c r="G735" s="118">
        <v>131</v>
      </c>
      <c r="H735" s="118" t="s">
        <v>177</v>
      </c>
      <c r="I735" s="378">
        <v>162</v>
      </c>
      <c r="J735" s="117">
        <v>44</v>
      </c>
      <c r="K735" s="117" t="s">
        <v>214</v>
      </c>
      <c r="L735" t="str">
        <f t="shared" si="163"/>
        <v>IA25</v>
      </c>
      <c r="M735" t="str">
        <f t="shared" si="173"/>
        <v/>
      </c>
      <c r="N735" t="str">
        <f t="shared" si="174"/>
        <v/>
      </c>
      <c r="O735" t="str">
        <f t="shared" si="175"/>
        <v/>
      </c>
      <c r="P735" s="113" t="str">
        <f t="shared" si="164"/>
        <v>IA25</v>
      </c>
      <c r="Q735" s="114">
        <f t="shared" si="165"/>
        <v>162</v>
      </c>
      <c r="R735" s="114">
        <f t="shared" si="166"/>
        <v>143.33333333333334</v>
      </c>
      <c r="S735" s="113">
        <f t="shared" si="167"/>
        <v>131</v>
      </c>
      <c r="T735" s="111">
        <f t="shared" ca="1" si="168"/>
        <v>3.2</v>
      </c>
      <c r="U735" s="111" t="str">
        <f t="shared" si="169"/>
        <v/>
      </c>
      <c r="V735" t="str">
        <f t="array" ref="V735">INDEX(P:P,MAX(U$3:U735))</f>
        <v>IA#2DTR(B)</v>
      </c>
      <c r="W735" t="str">
        <f t="shared" ca="1" si="170"/>
        <v/>
      </c>
      <c r="X735">
        <f t="shared" si="171"/>
        <v>11.4</v>
      </c>
      <c r="Y735">
        <f t="shared" si="172"/>
        <v>162</v>
      </c>
      <c r="Z735" t="str">
        <f t="shared" si="176"/>
        <v>彰新</v>
      </c>
    </row>
    <row r="736" spans="1:26" x14ac:dyDescent="0.25">
      <c r="A736" s="118" t="s">
        <v>822</v>
      </c>
      <c r="B736" s="119" t="s">
        <v>842</v>
      </c>
      <c r="C736" s="119">
        <v>162</v>
      </c>
      <c r="D736" s="118" t="s">
        <v>188</v>
      </c>
      <c r="E736" s="118">
        <v>167</v>
      </c>
      <c r="F736" s="118" t="s">
        <v>192</v>
      </c>
      <c r="G736" s="118">
        <v>113</v>
      </c>
      <c r="H736" s="118" t="s">
        <v>194</v>
      </c>
      <c r="I736" s="378">
        <v>167</v>
      </c>
      <c r="J736" s="117">
        <v>68</v>
      </c>
      <c r="K736" s="117" t="s">
        <v>188</v>
      </c>
      <c r="L736" t="str">
        <f t="shared" si="163"/>
        <v>IA20</v>
      </c>
      <c r="M736" t="str">
        <f t="shared" si="173"/>
        <v/>
      </c>
      <c r="N736" t="str">
        <f t="shared" si="174"/>
        <v/>
      </c>
      <c r="O736" t="str">
        <f t="shared" si="175"/>
        <v/>
      </c>
      <c r="P736" s="113" t="str">
        <f t="shared" si="164"/>
        <v>IA20</v>
      </c>
      <c r="Q736" s="114">
        <f t="shared" si="165"/>
        <v>167</v>
      </c>
      <c r="R736" s="114">
        <f t="shared" si="166"/>
        <v>147.33333333333334</v>
      </c>
      <c r="S736" s="113">
        <f t="shared" si="167"/>
        <v>113</v>
      </c>
      <c r="T736" s="111">
        <f t="shared" ca="1" si="168"/>
        <v>3.3</v>
      </c>
      <c r="U736" s="111" t="str">
        <f t="shared" si="169"/>
        <v/>
      </c>
      <c r="V736" t="str">
        <f t="array" ref="V736">INDEX(P:P,MAX(U$3:U736))</f>
        <v>IA#2DTR(B)</v>
      </c>
      <c r="W736" t="str">
        <f t="shared" ca="1" si="170"/>
        <v/>
      </c>
      <c r="X736">
        <f t="shared" si="171"/>
        <v>11.4</v>
      </c>
      <c r="Y736">
        <f t="shared" si="172"/>
        <v>167</v>
      </c>
      <c r="Z736" t="str">
        <f t="shared" si="176"/>
        <v>彰新</v>
      </c>
    </row>
    <row r="737" spans="1:26" x14ac:dyDescent="0.25">
      <c r="A737" s="118" t="s">
        <v>822</v>
      </c>
      <c r="B737" s="119" t="s">
        <v>369</v>
      </c>
      <c r="C737" s="119">
        <v>573</v>
      </c>
      <c r="D737" s="118" t="s">
        <v>203</v>
      </c>
      <c r="E737" s="118">
        <v>528</v>
      </c>
      <c r="F737" s="118" t="s">
        <v>203</v>
      </c>
      <c r="G737" s="118">
        <v>563</v>
      </c>
      <c r="H737" s="118" t="s">
        <v>192</v>
      </c>
      <c r="I737" s="378">
        <v>573</v>
      </c>
      <c r="J737" s="117"/>
      <c r="K737" s="117"/>
      <c r="L737" t="str">
        <f t="shared" si="163"/>
        <v>IA#3DTR(A)</v>
      </c>
      <c r="M737" t="str">
        <f t="shared" si="173"/>
        <v>(A)</v>
      </c>
      <c r="N737" t="str">
        <f t="shared" si="174"/>
        <v>IA#3DTR</v>
      </c>
      <c r="O737" t="str">
        <f t="shared" si="175"/>
        <v>(A)</v>
      </c>
      <c r="P737" s="113" t="str">
        <f t="shared" si="164"/>
        <v>IA#3DTR(A)</v>
      </c>
      <c r="Q737" s="114">
        <f t="shared" si="165"/>
        <v>573</v>
      </c>
      <c r="R737" s="114">
        <f t="shared" si="166"/>
        <v>554.66666666666663</v>
      </c>
      <c r="S737" s="113">
        <f t="shared" si="167"/>
        <v>528</v>
      </c>
      <c r="T737" s="111">
        <f t="shared" ca="1" si="168"/>
        <v>11.31</v>
      </c>
      <c r="U737" s="111">
        <f t="shared" si="169"/>
        <v>737</v>
      </c>
      <c r="V737" t="str">
        <f t="array" ref="V737">INDEX(P:P,MAX(U$3:U737))</f>
        <v>IA#3DTR(A)</v>
      </c>
      <c r="W737">
        <f t="shared" ca="1" si="170"/>
        <v>30</v>
      </c>
      <c r="X737" t="str">
        <f t="shared" si="171"/>
        <v/>
      </c>
      <c r="Y737">
        <f t="shared" si="172"/>
        <v>573</v>
      </c>
      <c r="Z737" t="str">
        <f t="shared" si="176"/>
        <v>彰新</v>
      </c>
    </row>
    <row r="738" spans="1:26" x14ac:dyDescent="0.25">
      <c r="A738" s="118" t="s">
        <v>822</v>
      </c>
      <c r="B738" s="119" t="s">
        <v>843</v>
      </c>
      <c r="C738" s="119">
        <v>283</v>
      </c>
      <c r="D738" s="118" t="s">
        <v>203</v>
      </c>
      <c r="E738" s="118">
        <v>235</v>
      </c>
      <c r="F738" s="118" t="s">
        <v>192</v>
      </c>
      <c r="G738" s="118">
        <v>267</v>
      </c>
      <c r="H738" s="118" t="s">
        <v>203</v>
      </c>
      <c r="I738" s="378">
        <v>283</v>
      </c>
      <c r="J738" s="117">
        <v>89</v>
      </c>
      <c r="K738" s="117" t="s">
        <v>183</v>
      </c>
      <c r="L738" t="str">
        <f t="shared" si="163"/>
        <v>IA40</v>
      </c>
      <c r="M738" t="str">
        <f t="shared" si="173"/>
        <v/>
      </c>
      <c r="N738" t="str">
        <f t="shared" si="174"/>
        <v/>
      </c>
      <c r="O738" t="str">
        <f t="shared" si="175"/>
        <v/>
      </c>
      <c r="P738" s="113" t="str">
        <f t="shared" si="164"/>
        <v>IA40</v>
      </c>
      <c r="Q738" s="114">
        <f t="shared" si="165"/>
        <v>283</v>
      </c>
      <c r="R738" s="114">
        <f t="shared" si="166"/>
        <v>261.66666666666669</v>
      </c>
      <c r="S738" s="113">
        <f t="shared" si="167"/>
        <v>235</v>
      </c>
      <c r="T738" s="111">
        <f t="shared" ca="1" si="168"/>
        <v>5.59</v>
      </c>
      <c r="U738" s="111" t="str">
        <f t="shared" si="169"/>
        <v/>
      </c>
      <c r="V738" t="str">
        <f t="array" ref="V738">INDEX(P:P,MAX(U$3:U738))</f>
        <v>IA#3DTR(A)</v>
      </c>
      <c r="W738" t="str">
        <f t="shared" ca="1" si="170"/>
        <v/>
      </c>
      <c r="X738">
        <f t="shared" si="171"/>
        <v>11.4</v>
      </c>
      <c r="Y738">
        <f t="shared" si="172"/>
        <v>283</v>
      </c>
      <c r="Z738" t="str">
        <f t="shared" si="176"/>
        <v>彰新</v>
      </c>
    </row>
    <row r="739" spans="1:26" x14ac:dyDescent="0.25">
      <c r="A739" s="118" t="s">
        <v>822</v>
      </c>
      <c r="B739" s="119" t="s">
        <v>844</v>
      </c>
      <c r="C739" s="119">
        <v>162</v>
      </c>
      <c r="D739" s="118" t="s">
        <v>203</v>
      </c>
      <c r="E739" s="118">
        <v>174</v>
      </c>
      <c r="F739" s="118" t="s">
        <v>180</v>
      </c>
      <c r="G739" s="118">
        <v>141</v>
      </c>
      <c r="H739" s="118" t="s">
        <v>192</v>
      </c>
      <c r="I739" s="378">
        <v>174</v>
      </c>
      <c r="J739" s="117">
        <v>75</v>
      </c>
      <c r="K739" s="117" t="s">
        <v>183</v>
      </c>
      <c r="L739" t="str">
        <f t="shared" si="163"/>
        <v>IA41</v>
      </c>
      <c r="M739" t="str">
        <f t="shared" si="173"/>
        <v/>
      </c>
      <c r="N739" t="str">
        <f t="shared" si="174"/>
        <v/>
      </c>
      <c r="O739" t="str">
        <f t="shared" si="175"/>
        <v/>
      </c>
      <c r="P739" s="113" t="str">
        <f t="shared" si="164"/>
        <v>IA41</v>
      </c>
      <c r="Q739" s="114">
        <f t="shared" si="165"/>
        <v>174</v>
      </c>
      <c r="R739" s="114">
        <f t="shared" si="166"/>
        <v>159</v>
      </c>
      <c r="S739" s="113">
        <f t="shared" si="167"/>
        <v>141</v>
      </c>
      <c r="T739" s="111">
        <f t="shared" ca="1" si="168"/>
        <v>3.44</v>
      </c>
      <c r="U739" s="111" t="str">
        <f t="shared" si="169"/>
        <v/>
      </c>
      <c r="V739" t="str">
        <f t="array" ref="V739">INDEX(P:P,MAX(U$3:U739))</f>
        <v>IA#3DTR(A)</v>
      </c>
      <c r="W739" t="str">
        <f t="shared" ca="1" si="170"/>
        <v/>
      </c>
      <c r="X739">
        <f t="shared" si="171"/>
        <v>11.4</v>
      </c>
      <c r="Y739">
        <f t="shared" si="172"/>
        <v>174</v>
      </c>
      <c r="Z739" t="str">
        <f t="shared" si="176"/>
        <v>彰新</v>
      </c>
    </row>
    <row r="740" spans="1:26" x14ac:dyDescent="0.25">
      <c r="A740" s="118" t="s">
        <v>822</v>
      </c>
      <c r="B740" s="119" t="s">
        <v>845</v>
      </c>
      <c r="C740" s="119">
        <v>136</v>
      </c>
      <c r="D740" s="118" t="s">
        <v>205</v>
      </c>
      <c r="E740" s="118">
        <v>126</v>
      </c>
      <c r="F740" s="118" t="s">
        <v>205</v>
      </c>
      <c r="G740" s="118">
        <v>142</v>
      </c>
      <c r="H740" s="118" t="s">
        <v>177</v>
      </c>
      <c r="I740" s="378">
        <v>142</v>
      </c>
      <c r="J740" s="117">
        <v>22</v>
      </c>
      <c r="K740" s="117" t="s">
        <v>211</v>
      </c>
      <c r="L740" t="str">
        <f t="shared" si="163"/>
        <v>IA42</v>
      </c>
      <c r="M740" t="str">
        <f t="shared" si="173"/>
        <v/>
      </c>
      <c r="N740" t="str">
        <f t="shared" si="174"/>
        <v/>
      </c>
      <c r="O740" t="str">
        <f t="shared" si="175"/>
        <v/>
      </c>
      <c r="P740" s="113" t="str">
        <f t="shared" si="164"/>
        <v>IA42</v>
      </c>
      <c r="Q740" s="114">
        <f t="shared" si="165"/>
        <v>142</v>
      </c>
      <c r="R740" s="114">
        <f t="shared" si="166"/>
        <v>134.66666666666666</v>
      </c>
      <c r="S740" s="113">
        <f t="shared" si="167"/>
        <v>126</v>
      </c>
      <c r="T740" s="111">
        <f t="shared" ca="1" si="168"/>
        <v>2.8</v>
      </c>
      <c r="U740" s="111" t="str">
        <f t="shared" si="169"/>
        <v/>
      </c>
      <c r="V740" t="str">
        <f t="array" ref="V740">INDEX(P:P,MAX(U$3:U740))</f>
        <v>IA#3DTR(A)</v>
      </c>
      <c r="W740" t="str">
        <f t="shared" ca="1" si="170"/>
        <v/>
      </c>
      <c r="X740">
        <f t="shared" si="171"/>
        <v>11.4</v>
      </c>
      <c r="Y740">
        <f t="shared" si="172"/>
        <v>142</v>
      </c>
      <c r="Z740" t="str">
        <f t="shared" si="176"/>
        <v>彰新</v>
      </c>
    </row>
    <row r="741" spans="1:26" x14ac:dyDescent="0.25">
      <c r="A741" s="118" t="s">
        <v>822</v>
      </c>
      <c r="B741" s="119" t="s">
        <v>846</v>
      </c>
      <c r="C741" s="119">
        <v>111</v>
      </c>
      <c r="D741" s="118" t="s">
        <v>180</v>
      </c>
      <c r="E741" s="118">
        <v>82</v>
      </c>
      <c r="F741" s="118" t="s">
        <v>198</v>
      </c>
      <c r="G741" s="118">
        <v>112</v>
      </c>
      <c r="H741" s="118" t="s">
        <v>192</v>
      </c>
      <c r="I741" s="378">
        <v>112</v>
      </c>
      <c r="J741" s="117">
        <v>51</v>
      </c>
      <c r="K741" s="117" t="s">
        <v>183</v>
      </c>
      <c r="L741" t="str">
        <f t="shared" si="163"/>
        <v>IA43</v>
      </c>
      <c r="M741" t="str">
        <f t="shared" si="173"/>
        <v/>
      </c>
      <c r="N741" t="str">
        <f t="shared" si="174"/>
        <v/>
      </c>
      <c r="O741" t="str">
        <f t="shared" si="175"/>
        <v/>
      </c>
      <c r="P741" s="113" t="str">
        <f t="shared" si="164"/>
        <v>IA43</v>
      </c>
      <c r="Q741" s="114">
        <f t="shared" si="165"/>
        <v>112</v>
      </c>
      <c r="R741" s="114">
        <f t="shared" si="166"/>
        <v>101.66666666666667</v>
      </c>
      <c r="S741" s="113">
        <f t="shared" si="167"/>
        <v>82</v>
      </c>
      <c r="T741" s="111">
        <f t="shared" ca="1" si="168"/>
        <v>2.21</v>
      </c>
      <c r="U741" s="111" t="str">
        <f t="shared" si="169"/>
        <v/>
      </c>
      <c r="V741" t="str">
        <f t="array" ref="V741">INDEX(P:P,MAX(U$3:U741))</f>
        <v>IA#3DTR(A)</v>
      </c>
      <c r="W741" t="str">
        <f t="shared" ca="1" si="170"/>
        <v/>
      </c>
      <c r="X741">
        <f t="shared" si="171"/>
        <v>11.4</v>
      </c>
      <c r="Y741">
        <f t="shared" si="172"/>
        <v>112</v>
      </c>
      <c r="Z741" t="str">
        <f t="shared" si="176"/>
        <v>彰新</v>
      </c>
    </row>
    <row r="742" spans="1:26" x14ac:dyDescent="0.25">
      <c r="A742" s="118" t="s">
        <v>822</v>
      </c>
      <c r="B742" s="119" t="s">
        <v>847</v>
      </c>
      <c r="C742" s="119">
        <v>219</v>
      </c>
      <c r="D742" s="118" t="s">
        <v>203</v>
      </c>
      <c r="E742" s="118">
        <v>209</v>
      </c>
      <c r="F742" s="118" t="s">
        <v>203</v>
      </c>
      <c r="G742" s="118">
        <v>220</v>
      </c>
      <c r="H742" s="118" t="s">
        <v>205</v>
      </c>
      <c r="I742" s="378">
        <v>220</v>
      </c>
      <c r="J742" s="117">
        <v>12</v>
      </c>
      <c r="K742" s="117" t="s">
        <v>177</v>
      </c>
      <c r="L742" t="str">
        <f t="shared" si="163"/>
        <v>IA44</v>
      </c>
      <c r="M742" t="str">
        <f t="shared" si="173"/>
        <v/>
      </c>
      <c r="N742" t="str">
        <f t="shared" si="174"/>
        <v/>
      </c>
      <c r="O742" t="str">
        <f t="shared" si="175"/>
        <v/>
      </c>
      <c r="P742" s="113" t="str">
        <f t="shared" si="164"/>
        <v>IA44</v>
      </c>
      <c r="Q742" s="114">
        <f t="shared" si="165"/>
        <v>220</v>
      </c>
      <c r="R742" s="114">
        <f t="shared" si="166"/>
        <v>216</v>
      </c>
      <c r="S742" s="113">
        <f t="shared" si="167"/>
        <v>209</v>
      </c>
      <c r="T742" s="111">
        <f t="shared" ca="1" si="168"/>
        <v>4.34</v>
      </c>
      <c r="U742" s="111" t="str">
        <f t="shared" si="169"/>
        <v/>
      </c>
      <c r="V742" t="str">
        <f t="array" ref="V742">INDEX(P:P,MAX(U$3:U742))</f>
        <v>IA#3DTR(A)</v>
      </c>
      <c r="W742" t="str">
        <f t="shared" ca="1" si="170"/>
        <v/>
      </c>
      <c r="X742">
        <f t="shared" si="171"/>
        <v>11.4</v>
      </c>
      <c r="Y742">
        <f t="shared" si="172"/>
        <v>220</v>
      </c>
      <c r="Z742" t="str">
        <f t="shared" si="176"/>
        <v>彰新</v>
      </c>
    </row>
    <row r="743" spans="1:26" x14ac:dyDescent="0.25">
      <c r="A743" s="118" t="s">
        <v>822</v>
      </c>
      <c r="B743" s="119" t="s">
        <v>373</v>
      </c>
      <c r="C743" s="119">
        <v>517</v>
      </c>
      <c r="D743" s="118" t="s">
        <v>176</v>
      </c>
      <c r="E743" s="118">
        <v>460</v>
      </c>
      <c r="F743" s="118" t="s">
        <v>192</v>
      </c>
      <c r="G743" s="118">
        <v>412</v>
      </c>
      <c r="H743" s="118" t="s">
        <v>198</v>
      </c>
      <c r="I743" s="378">
        <v>517</v>
      </c>
      <c r="J743" s="117"/>
      <c r="K743" s="117"/>
      <c r="L743" t="str">
        <f t="shared" si="163"/>
        <v>IA#3DTR(B)</v>
      </c>
      <c r="M743" t="str">
        <f t="shared" si="173"/>
        <v>(B)</v>
      </c>
      <c r="N743" t="str">
        <f t="shared" si="174"/>
        <v>IA#3DTR</v>
      </c>
      <c r="O743" t="str">
        <f t="shared" si="175"/>
        <v>(B)</v>
      </c>
      <c r="P743" s="113" t="str">
        <f t="shared" si="164"/>
        <v>IA#3DTR(B)</v>
      </c>
      <c r="Q743" s="114">
        <f t="shared" si="165"/>
        <v>517</v>
      </c>
      <c r="R743" s="114">
        <f t="shared" si="166"/>
        <v>463</v>
      </c>
      <c r="S743" s="113">
        <f t="shared" si="167"/>
        <v>412</v>
      </c>
      <c r="T743" s="111">
        <f t="shared" ca="1" si="168"/>
        <v>10.210000000000001</v>
      </c>
      <c r="U743" s="111">
        <f t="shared" si="169"/>
        <v>743</v>
      </c>
      <c r="V743" t="str">
        <f t="array" ref="V743">INDEX(P:P,MAX(U$3:U743))</f>
        <v>IA#3DTR(B)</v>
      </c>
      <c r="W743">
        <f t="shared" ca="1" si="170"/>
        <v>30</v>
      </c>
      <c r="X743" t="str">
        <f t="shared" si="171"/>
        <v/>
      </c>
      <c r="Y743">
        <f t="shared" si="172"/>
        <v>517</v>
      </c>
      <c r="Z743" t="str">
        <f t="shared" si="176"/>
        <v>彰新</v>
      </c>
    </row>
    <row r="744" spans="1:26" x14ac:dyDescent="0.25">
      <c r="A744" s="118" t="s">
        <v>822</v>
      </c>
      <c r="B744" s="119" t="s">
        <v>848</v>
      </c>
      <c r="C744" s="119">
        <v>167</v>
      </c>
      <c r="D744" s="118" t="s">
        <v>188</v>
      </c>
      <c r="E744" s="118">
        <v>135</v>
      </c>
      <c r="F744" s="118" t="s">
        <v>188</v>
      </c>
      <c r="G744" s="118">
        <v>132</v>
      </c>
      <c r="H744" s="118" t="s">
        <v>229</v>
      </c>
      <c r="I744" s="378">
        <v>167</v>
      </c>
      <c r="J744" s="117">
        <v>51</v>
      </c>
      <c r="K744" s="117" t="s">
        <v>176</v>
      </c>
      <c r="L744" t="str">
        <f t="shared" si="163"/>
        <v>IA45</v>
      </c>
      <c r="M744" t="str">
        <f t="shared" si="173"/>
        <v/>
      </c>
      <c r="N744" t="str">
        <f t="shared" si="174"/>
        <v/>
      </c>
      <c r="O744" t="str">
        <f t="shared" si="175"/>
        <v/>
      </c>
      <c r="P744" s="113" t="str">
        <f t="shared" si="164"/>
        <v>IA45</v>
      </c>
      <c r="Q744" s="114">
        <f t="shared" si="165"/>
        <v>167</v>
      </c>
      <c r="R744" s="114">
        <f t="shared" si="166"/>
        <v>144.66666666666666</v>
      </c>
      <c r="S744" s="113">
        <f t="shared" si="167"/>
        <v>132</v>
      </c>
      <c r="T744" s="111">
        <f t="shared" ca="1" si="168"/>
        <v>3.3</v>
      </c>
      <c r="U744" s="111" t="str">
        <f t="shared" si="169"/>
        <v/>
      </c>
      <c r="V744" t="str">
        <f t="array" ref="V744">INDEX(P:P,MAX(U$3:U744))</f>
        <v>IA#3DTR(B)</v>
      </c>
      <c r="W744" t="str">
        <f t="shared" ca="1" si="170"/>
        <v/>
      </c>
      <c r="X744">
        <f t="shared" si="171"/>
        <v>11.4</v>
      </c>
      <c r="Y744">
        <f t="shared" si="172"/>
        <v>167</v>
      </c>
      <c r="Z744" t="str">
        <f t="shared" si="176"/>
        <v>彰新</v>
      </c>
    </row>
    <row r="745" spans="1:26" x14ac:dyDescent="0.25">
      <c r="A745" s="118" t="s">
        <v>822</v>
      </c>
      <c r="B745" s="119" t="s">
        <v>849</v>
      </c>
      <c r="C745" s="119">
        <v>220</v>
      </c>
      <c r="D745" s="118" t="s">
        <v>192</v>
      </c>
      <c r="E745" s="118">
        <v>204</v>
      </c>
      <c r="F745" s="118" t="s">
        <v>192</v>
      </c>
      <c r="G745" s="118">
        <v>226</v>
      </c>
      <c r="H745" s="118" t="s">
        <v>198</v>
      </c>
      <c r="I745" s="378">
        <v>226</v>
      </c>
      <c r="J745" s="117">
        <v>42</v>
      </c>
      <c r="K745" s="117" t="s">
        <v>198</v>
      </c>
      <c r="L745" t="str">
        <f t="shared" si="163"/>
        <v>IA46</v>
      </c>
      <c r="M745" t="str">
        <f t="shared" si="173"/>
        <v/>
      </c>
      <c r="N745" t="str">
        <f t="shared" si="174"/>
        <v/>
      </c>
      <c r="O745" t="str">
        <f t="shared" si="175"/>
        <v/>
      </c>
      <c r="P745" s="113" t="str">
        <f t="shared" si="164"/>
        <v>IA46</v>
      </c>
      <c r="Q745" s="114">
        <f t="shared" si="165"/>
        <v>226</v>
      </c>
      <c r="R745" s="114">
        <f t="shared" si="166"/>
        <v>216.66666666666666</v>
      </c>
      <c r="S745" s="113">
        <f t="shared" si="167"/>
        <v>204</v>
      </c>
      <c r="T745" s="111">
        <f t="shared" ca="1" si="168"/>
        <v>4.46</v>
      </c>
      <c r="U745" s="111" t="str">
        <f t="shared" si="169"/>
        <v/>
      </c>
      <c r="V745" t="str">
        <f t="array" ref="V745">INDEX(P:P,MAX(U$3:U745))</f>
        <v>IA#3DTR(B)</v>
      </c>
      <c r="W745" t="str">
        <f t="shared" ca="1" si="170"/>
        <v/>
      </c>
      <c r="X745">
        <f t="shared" si="171"/>
        <v>11.4</v>
      </c>
      <c r="Y745">
        <f t="shared" si="172"/>
        <v>226</v>
      </c>
      <c r="Z745" t="str">
        <f t="shared" si="176"/>
        <v>彰新</v>
      </c>
    </row>
    <row r="746" spans="1:26" x14ac:dyDescent="0.25">
      <c r="A746" s="118" t="s">
        <v>822</v>
      </c>
      <c r="B746" s="119" t="s">
        <v>850</v>
      </c>
      <c r="C746" s="119">
        <v>158</v>
      </c>
      <c r="D746" s="118" t="s">
        <v>176</v>
      </c>
      <c r="E746" s="118">
        <v>149</v>
      </c>
      <c r="F746" s="118" t="s">
        <v>205</v>
      </c>
      <c r="G746" s="118">
        <v>99</v>
      </c>
      <c r="H746" s="118" t="s">
        <v>176</v>
      </c>
      <c r="I746" s="378">
        <v>158</v>
      </c>
      <c r="J746" s="117">
        <v>63</v>
      </c>
      <c r="K746" s="117" t="s">
        <v>180</v>
      </c>
      <c r="L746" t="str">
        <f t="shared" si="163"/>
        <v>IA47</v>
      </c>
      <c r="M746" t="str">
        <f t="shared" si="173"/>
        <v/>
      </c>
      <c r="N746" t="str">
        <f t="shared" si="174"/>
        <v/>
      </c>
      <c r="O746" t="str">
        <f t="shared" si="175"/>
        <v/>
      </c>
      <c r="P746" s="113" t="str">
        <f t="shared" si="164"/>
        <v>IA47</v>
      </c>
      <c r="Q746" s="114">
        <f t="shared" si="165"/>
        <v>158</v>
      </c>
      <c r="R746" s="114">
        <f t="shared" si="166"/>
        <v>135.33333333333334</v>
      </c>
      <c r="S746" s="113">
        <f t="shared" si="167"/>
        <v>99</v>
      </c>
      <c r="T746" s="111">
        <f t="shared" ca="1" si="168"/>
        <v>3.12</v>
      </c>
      <c r="U746" s="111" t="str">
        <f t="shared" si="169"/>
        <v/>
      </c>
      <c r="V746" t="str">
        <f t="array" ref="V746">INDEX(P:P,MAX(U$3:U746))</f>
        <v>IA#3DTR(B)</v>
      </c>
      <c r="W746" t="str">
        <f t="shared" ca="1" si="170"/>
        <v/>
      </c>
      <c r="X746">
        <f t="shared" si="171"/>
        <v>11.4</v>
      </c>
      <c r="Y746">
        <f t="shared" si="172"/>
        <v>158</v>
      </c>
      <c r="Z746" t="str">
        <f t="shared" si="176"/>
        <v>彰新</v>
      </c>
    </row>
    <row r="747" spans="1:26" x14ac:dyDescent="0.25">
      <c r="A747" s="118" t="s">
        <v>822</v>
      </c>
      <c r="B747" s="119" t="s">
        <v>851</v>
      </c>
      <c r="C747" s="119">
        <v>100</v>
      </c>
      <c r="D747" s="118" t="s">
        <v>192</v>
      </c>
      <c r="E747" s="118">
        <v>108</v>
      </c>
      <c r="F747" s="118" t="s">
        <v>205</v>
      </c>
      <c r="G747" s="118">
        <v>65</v>
      </c>
      <c r="H747" s="118" t="s">
        <v>183</v>
      </c>
      <c r="I747" s="378">
        <v>108</v>
      </c>
      <c r="J747" s="117">
        <v>54</v>
      </c>
      <c r="K747" s="117" t="s">
        <v>198</v>
      </c>
      <c r="L747" t="str">
        <f t="shared" si="163"/>
        <v>IA48</v>
      </c>
      <c r="M747" t="str">
        <f t="shared" si="173"/>
        <v/>
      </c>
      <c r="N747" t="str">
        <f t="shared" si="174"/>
        <v/>
      </c>
      <c r="O747" t="str">
        <f t="shared" si="175"/>
        <v/>
      </c>
      <c r="P747" s="113" t="str">
        <f t="shared" si="164"/>
        <v>IA48</v>
      </c>
      <c r="Q747" s="114">
        <f t="shared" si="165"/>
        <v>108</v>
      </c>
      <c r="R747" s="114">
        <f t="shared" si="166"/>
        <v>91</v>
      </c>
      <c r="S747" s="113">
        <f t="shared" si="167"/>
        <v>65</v>
      </c>
      <c r="T747" s="111">
        <f t="shared" ca="1" si="168"/>
        <v>2.13</v>
      </c>
      <c r="U747" s="111" t="str">
        <f t="shared" si="169"/>
        <v/>
      </c>
      <c r="V747" t="str">
        <f t="array" ref="V747">INDEX(P:P,MAX(U$3:U747))</f>
        <v>IA#3DTR(B)</v>
      </c>
      <c r="W747" t="str">
        <f t="shared" ca="1" si="170"/>
        <v/>
      </c>
      <c r="X747">
        <f t="shared" si="171"/>
        <v>11.4</v>
      </c>
      <c r="Y747">
        <f t="shared" si="172"/>
        <v>108</v>
      </c>
      <c r="Z747" t="str">
        <f t="shared" si="176"/>
        <v>彰新</v>
      </c>
    </row>
    <row r="748" spans="1:26" x14ac:dyDescent="0.25">
      <c r="A748" s="118" t="s">
        <v>822</v>
      </c>
      <c r="B748" s="119" t="s">
        <v>852</v>
      </c>
      <c r="C748" s="119">
        <v>250</v>
      </c>
      <c r="D748" s="118" t="s">
        <v>188</v>
      </c>
      <c r="E748" s="118">
        <v>182</v>
      </c>
      <c r="F748" s="118" t="s">
        <v>188</v>
      </c>
      <c r="G748" s="118">
        <v>190</v>
      </c>
      <c r="H748" s="118" t="s">
        <v>188</v>
      </c>
      <c r="I748" s="378">
        <v>250</v>
      </c>
      <c r="J748" s="117">
        <v>101</v>
      </c>
      <c r="K748" s="117" t="s">
        <v>196</v>
      </c>
      <c r="L748" t="str">
        <f t="shared" si="163"/>
        <v>IA49</v>
      </c>
      <c r="M748" t="str">
        <f t="shared" si="173"/>
        <v/>
      </c>
      <c r="N748" t="str">
        <f t="shared" si="174"/>
        <v/>
      </c>
      <c r="O748" t="str">
        <f t="shared" si="175"/>
        <v/>
      </c>
      <c r="P748" s="113" t="str">
        <f t="shared" si="164"/>
        <v>IA49</v>
      </c>
      <c r="Q748" s="114">
        <f t="shared" si="165"/>
        <v>250</v>
      </c>
      <c r="R748" s="114">
        <f t="shared" si="166"/>
        <v>207.33333333333334</v>
      </c>
      <c r="S748" s="113">
        <f t="shared" si="167"/>
        <v>182</v>
      </c>
      <c r="T748" s="111">
        <f t="shared" ca="1" si="168"/>
        <v>4.9400000000000004</v>
      </c>
      <c r="U748" s="111" t="str">
        <f t="shared" si="169"/>
        <v/>
      </c>
      <c r="V748" t="str">
        <f t="array" ref="V748">INDEX(P:P,MAX(U$3:U748))</f>
        <v>IA#3DTR(B)</v>
      </c>
      <c r="W748" t="str">
        <f t="shared" ca="1" si="170"/>
        <v/>
      </c>
      <c r="X748">
        <f t="shared" si="171"/>
        <v>11.4</v>
      </c>
      <c r="Y748">
        <f t="shared" si="172"/>
        <v>250</v>
      </c>
      <c r="Z748" t="str">
        <f t="shared" si="176"/>
        <v>彰新</v>
      </c>
    </row>
    <row r="749" spans="1:26" x14ac:dyDescent="0.25">
      <c r="A749" s="118" t="s">
        <v>853</v>
      </c>
      <c r="B749" s="119" t="s">
        <v>360</v>
      </c>
      <c r="C749" s="119">
        <v>103</v>
      </c>
      <c r="D749" s="118" t="s">
        <v>198</v>
      </c>
      <c r="E749" s="118">
        <v>107</v>
      </c>
      <c r="F749" s="118" t="s">
        <v>198</v>
      </c>
      <c r="G749" s="118">
        <v>101</v>
      </c>
      <c r="H749" s="118" t="s">
        <v>198</v>
      </c>
      <c r="I749" s="378">
        <v>107</v>
      </c>
      <c r="J749" s="117"/>
      <c r="K749" s="117"/>
      <c r="L749" t="str">
        <f t="shared" si="163"/>
        <v>9A#2DTR</v>
      </c>
      <c r="M749" t="str">
        <f t="shared" si="173"/>
        <v/>
      </c>
      <c r="N749" t="str">
        <f t="shared" si="174"/>
        <v>9A#2DTR</v>
      </c>
      <c r="O749" t="str">
        <f t="shared" si="175"/>
        <v/>
      </c>
      <c r="P749" s="113" t="str">
        <f t="shared" si="164"/>
        <v>9A#2DTR</v>
      </c>
      <c r="Q749" s="114">
        <f t="shared" si="165"/>
        <v>107</v>
      </c>
      <c r="R749" s="114">
        <f t="shared" si="166"/>
        <v>103.66666666666667</v>
      </c>
      <c r="S749" s="113">
        <f t="shared" si="167"/>
        <v>101</v>
      </c>
      <c r="T749" s="111">
        <f t="shared" ca="1" si="168"/>
        <v>4.2300000000000004</v>
      </c>
      <c r="U749" s="111">
        <f t="shared" si="169"/>
        <v>749</v>
      </c>
      <c r="V749" t="str">
        <f t="array" ref="V749">INDEX(P:P,MAX(U$3:U749))</f>
        <v>9A#2DTR</v>
      </c>
      <c r="W749">
        <f t="shared" ca="1" si="170"/>
        <v>60</v>
      </c>
      <c r="X749" t="str">
        <f t="shared" si="171"/>
        <v/>
      </c>
      <c r="Y749">
        <f t="shared" si="172"/>
        <v>107</v>
      </c>
      <c r="Z749" t="str">
        <f t="shared" si="176"/>
        <v>彰濱</v>
      </c>
    </row>
    <row r="750" spans="1:26" x14ac:dyDescent="0.25">
      <c r="A750" s="118" t="s">
        <v>853</v>
      </c>
      <c r="B750" s="119" t="s">
        <v>854</v>
      </c>
      <c r="C750" s="119">
        <v>0</v>
      </c>
      <c r="D750" s="118" t="s">
        <v>211</v>
      </c>
      <c r="E750" s="118">
        <v>0</v>
      </c>
      <c r="F750" s="118" t="s">
        <v>263</v>
      </c>
      <c r="G750" s="118">
        <v>0</v>
      </c>
      <c r="H750" s="118" t="s">
        <v>247</v>
      </c>
      <c r="I750" s="378">
        <v>0</v>
      </c>
      <c r="J750" s="117">
        <v>0</v>
      </c>
      <c r="K750" s="117" t="s">
        <v>194</v>
      </c>
      <c r="L750" t="str">
        <f t="shared" si="163"/>
        <v>9A70</v>
      </c>
      <c r="M750" t="str">
        <f t="shared" si="173"/>
        <v/>
      </c>
      <c r="N750" t="str">
        <f t="shared" si="174"/>
        <v/>
      </c>
      <c r="O750" t="str">
        <f t="shared" si="175"/>
        <v/>
      </c>
      <c r="P750" s="113" t="str">
        <f t="shared" si="164"/>
        <v>9A70</v>
      </c>
      <c r="Q750" s="114">
        <f t="shared" si="165"/>
        <v>0</v>
      </c>
      <c r="R750" s="114">
        <f t="shared" si="166"/>
        <v>0</v>
      </c>
      <c r="S750" s="113">
        <f t="shared" si="167"/>
        <v>0</v>
      </c>
      <c r="T750" s="111">
        <f t="shared" ca="1" si="168"/>
        <v>0</v>
      </c>
      <c r="U750" s="111" t="str">
        <f t="shared" si="169"/>
        <v/>
      </c>
      <c r="V750" t="str">
        <f t="array" ref="V750">INDEX(P:P,MAX(U$3:U750))</f>
        <v>9A#2DTR</v>
      </c>
      <c r="W750" t="str">
        <f t="shared" ca="1" si="170"/>
        <v/>
      </c>
      <c r="X750">
        <f t="shared" si="171"/>
        <v>22.8</v>
      </c>
      <c r="Y750">
        <f t="shared" si="172"/>
        <v>0</v>
      </c>
      <c r="Z750" t="str">
        <f t="shared" si="176"/>
        <v>彰濱</v>
      </c>
    </row>
    <row r="751" spans="1:26" x14ac:dyDescent="0.25">
      <c r="A751" s="118" t="s">
        <v>853</v>
      </c>
      <c r="B751" s="119" t="s">
        <v>855</v>
      </c>
      <c r="C751" s="119">
        <v>21</v>
      </c>
      <c r="D751" s="118" t="s">
        <v>198</v>
      </c>
      <c r="E751" s="118">
        <v>22</v>
      </c>
      <c r="F751" s="118" t="s">
        <v>198</v>
      </c>
      <c r="G751" s="118">
        <v>22</v>
      </c>
      <c r="H751" s="118" t="s">
        <v>198</v>
      </c>
      <c r="I751" s="378">
        <v>22</v>
      </c>
      <c r="J751" s="117">
        <v>0</v>
      </c>
      <c r="K751" s="117" t="s">
        <v>194</v>
      </c>
      <c r="L751" t="str">
        <f t="shared" si="163"/>
        <v>9A71</v>
      </c>
      <c r="M751" t="str">
        <f t="shared" si="173"/>
        <v/>
      </c>
      <c r="N751" t="str">
        <f t="shared" si="174"/>
        <v/>
      </c>
      <c r="O751" t="str">
        <f t="shared" si="175"/>
        <v/>
      </c>
      <c r="P751" s="113" t="str">
        <f t="shared" si="164"/>
        <v>9A71</v>
      </c>
      <c r="Q751" s="114">
        <f t="shared" si="165"/>
        <v>22</v>
      </c>
      <c r="R751" s="114">
        <f t="shared" si="166"/>
        <v>21.666666666666668</v>
      </c>
      <c r="S751" s="113">
        <f t="shared" si="167"/>
        <v>21</v>
      </c>
      <c r="T751" s="111">
        <f t="shared" ca="1" si="168"/>
        <v>0.87</v>
      </c>
      <c r="U751" s="111" t="str">
        <f t="shared" si="169"/>
        <v/>
      </c>
      <c r="V751" t="str">
        <f t="array" ref="V751">INDEX(P:P,MAX(U$3:U751))</f>
        <v>9A#2DTR</v>
      </c>
      <c r="W751" t="str">
        <f t="shared" ca="1" si="170"/>
        <v/>
      </c>
      <c r="X751">
        <f t="shared" si="171"/>
        <v>22.8</v>
      </c>
      <c r="Y751">
        <f t="shared" si="172"/>
        <v>22</v>
      </c>
      <c r="Z751" t="str">
        <f t="shared" si="176"/>
        <v>彰濱</v>
      </c>
    </row>
    <row r="752" spans="1:26" x14ac:dyDescent="0.25">
      <c r="A752" s="118" t="s">
        <v>853</v>
      </c>
      <c r="B752" s="119" t="s">
        <v>856</v>
      </c>
      <c r="C752" s="119">
        <v>15</v>
      </c>
      <c r="D752" s="118" t="s">
        <v>203</v>
      </c>
      <c r="E752" s="118">
        <v>15</v>
      </c>
      <c r="F752" s="118" t="s">
        <v>203</v>
      </c>
      <c r="G752" s="118">
        <v>15</v>
      </c>
      <c r="H752" s="118" t="s">
        <v>203</v>
      </c>
      <c r="I752" s="378">
        <v>15</v>
      </c>
      <c r="J752" s="117">
        <v>0</v>
      </c>
      <c r="K752" s="117" t="s">
        <v>194</v>
      </c>
      <c r="L752" t="str">
        <f t="shared" si="163"/>
        <v>9A72</v>
      </c>
      <c r="M752" t="str">
        <f t="shared" si="173"/>
        <v/>
      </c>
      <c r="N752" t="str">
        <f t="shared" si="174"/>
        <v/>
      </c>
      <c r="O752" t="str">
        <f t="shared" si="175"/>
        <v/>
      </c>
      <c r="P752" s="113" t="str">
        <f t="shared" si="164"/>
        <v>9A72</v>
      </c>
      <c r="Q752" s="114">
        <f t="shared" si="165"/>
        <v>15</v>
      </c>
      <c r="R752" s="114">
        <f t="shared" si="166"/>
        <v>15</v>
      </c>
      <c r="S752" s="113">
        <f t="shared" si="167"/>
        <v>15</v>
      </c>
      <c r="T752" s="111">
        <f t="shared" ca="1" si="168"/>
        <v>0.59</v>
      </c>
      <c r="U752" s="111" t="str">
        <f t="shared" si="169"/>
        <v/>
      </c>
      <c r="V752" t="str">
        <f t="array" ref="V752">INDEX(P:P,MAX(U$3:U752))</f>
        <v>9A#2DTR</v>
      </c>
      <c r="W752" t="str">
        <f t="shared" ca="1" si="170"/>
        <v/>
      </c>
      <c r="X752">
        <f t="shared" si="171"/>
        <v>22.8</v>
      </c>
      <c r="Y752">
        <f t="shared" si="172"/>
        <v>15</v>
      </c>
      <c r="Z752" t="str">
        <f t="shared" si="176"/>
        <v>彰濱</v>
      </c>
    </row>
    <row r="753" spans="1:26" x14ac:dyDescent="0.25">
      <c r="A753" s="118" t="s">
        <v>853</v>
      </c>
      <c r="B753" s="119" t="s">
        <v>857</v>
      </c>
      <c r="C753" s="119">
        <v>13</v>
      </c>
      <c r="D753" s="118" t="s">
        <v>198</v>
      </c>
      <c r="E753" s="118">
        <v>13</v>
      </c>
      <c r="F753" s="118" t="s">
        <v>198</v>
      </c>
      <c r="G753" s="118">
        <v>12</v>
      </c>
      <c r="H753" s="118" t="s">
        <v>198</v>
      </c>
      <c r="I753" s="378">
        <v>13</v>
      </c>
      <c r="J753" s="117">
        <v>0</v>
      </c>
      <c r="K753" s="117" t="s">
        <v>194</v>
      </c>
      <c r="L753" t="str">
        <f t="shared" si="163"/>
        <v>9A73</v>
      </c>
      <c r="M753" t="str">
        <f t="shared" si="173"/>
        <v/>
      </c>
      <c r="N753" t="str">
        <f t="shared" si="174"/>
        <v/>
      </c>
      <c r="O753" t="str">
        <f t="shared" si="175"/>
        <v/>
      </c>
      <c r="P753" s="113" t="str">
        <f t="shared" si="164"/>
        <v>9A73</v>
      </c>
      <c r="Q753" s="114">
        <f t="shared" si="165"/>
        <v>13</v>
      </c>
      <c r="R753" s="114">
        <f t="shared" si="166"/>
        <v>12.666666666666666</v>
      </c>
      <c r="S753" s="113">
        <f t="shared" si="167"/>
        <v>12</v>
      </c>
      <c r="T753" s="111">
        <f t="shared" ca="1" si="168"/>
        <v>0.51</v>
      </c>
      <c r="U753" s="111" t="str">
        <f t="shared" si="169"/>
        <v/>
      </c>
      <c r="V753" t="str">
        <f t="array" ref="V753">INDEX(P:P,MAX(U$3:U753))</f>
        <v>9A#2DTR</v>
      </c>
      <c r="W753" t="str">
        <f t="shared" ca="1" si="170"/>
        <v/>
      </c>
      <c r="X753">
        <f t="shared" si="171"/>
        <v>22.8</v>
      </c>
      <c r="Y753">
        <f t="shared" si="172"/>
        <v>13</v>
      </c>
      <c r="Z753" t="str">
        <f t="shared" si="176"/>
        <v>彰濱</v>
      </c>
    </row>
    <row r="754" spans="1:26" x14ac:dyDescent="0.25">
      <c r="A754" s="118" t="s">
        <v>853</v>
      </c>
      <c r="B754" s="119" t="s">
        <v>858</v>
      </c>
      <c r="C754" s="119">
        <v>23</v>
      </c>
      <c r="D754" s="118" t="s">
        <v>198</v>
      </c>
      <c r="E754" s="118">
        <v>24</v>
      </c>
      <c r="F754" s="118" t="s">
        <v>198</v>
      </c>
      <c r="G754" s="118">
        <v>23</v>
      </c>
      <c r="H754" s="118" t="s">
        <v>198</v>
      </c>
      <c r="I754" s="378">
        <v>24</v>
      </c>
      <c r="J754" s="117">
        <v>1</v>
      </c>
      <c r="K754" s="117" t="s">
        <v>194</v>
      </c>
      <c r="L754" t="str">
        <f t="shared" si="163"/>
        <v>9A74</v>
      </c>
      <c r="M754" t="str">
        <f t="shared" si="173"/>
        <v/>
      </c>
      <c r="N754" t="str">
        <f t="shared" si="174"/>
        <v/>
      </c>
      <c r="O754" t="str">
        <f t="shared" si="175"/>
        <v/>
      </c>
      <c r="P754" s="113" t="str">
        <f t="shared" si="164"/>
        <v>9A74</v>
      </c>
      <c r="Q754" s="114">
        <f t="shared" si="165"/>
        <v>24</v>
      </c>
      <c r="R754" s="114">
        <f t="shared" si="166"/>
        <v>23.333333333333332</v>
      </c>
      <c r="S754" s="113">
        <f t="shared" si="167"/>
        <v>23</v>
      </c>
      <c r="T754" s="111">
        <f t="shared" ca="1" si="168"/>
        <v>0.95</v>
      </c>
      <c r="U754" s="111" t="str">
        <f t="shared" si="169"/>
        <v/>
      </c>
      <c r="V754" t="str">
        <f t="array" ref="V754">INDEX(P:P,MAX(U$3:U754))</f>
        <v>9A#2DTR</v>
      </c>
      <c r="W754" t="str">
        <f t="shared" ca="1" si="170"/>
        <v/>
      </c>
      <c r="X754">
        <f t="shared" si="171"/>
        <v>22.8</v>
      </c>
      <c r="Y754">
        <f t="shared" si="172"/>
        <v>24</v>
      </c>
      <c r="Z754" t="str">
        <f t="shared" si="176"/>
        <v>彰濱</v>
      </c>
    </row>
    <row r="755" spans="1:26" x14ac:dyDescent="0.25">
      <c r="A755" s="118" t="s">
        <v>853</v>
      </c>
      <c r="B755" s="119" t="s">
        <v>859</v>
      </c>
      <c r="C755" s="119">
        <v>20</v>
      </c>
      <c r="D755" s="118" t="s">
        <v>198</v>
      </c>
      <c r="E755" s="118">
        <v>20</v>
      </c>
      <c r="F755" s="118" t="s">
        <v>198</v>
      </c>
      <c r="G755" s="118">
        <v>19</v>
      </c>
      <c r="H755" s="118" t="s">
        <v>198</v>
      </c>
      <c r="I755" s="378">
        <v>20</v>
      </c>
      <c r="J755" s="117">
        <v>1</v>
      </c>
      <c r="K755" s="117" t="s">
        <v>194</v>
      </c>
      <c r="L755" t="str">
        <f t="shared" si="163"/>
        <v>9A75</v>
      </c>
      <c r="M755" t="str">
        <f t="shared" si="173"/>
        <v/>
      </c>
      <c r="N755" t="str">
        <f t="shared" si="174"/>
        <v/>
      </c>
      <c r="O755" t="str">
        <f t="shared" si="175"/>
        <v/>
      </c>
      <c r="P755" s="113" t="str">
        <f t="shared" si="164"/>
        <v>9A75</v>
      </c>
      <c r="Q755" s="114">
        <f t="shared" si="165"/>
        <v>20</v>
      </c>
      <c r="R755" s="114">
        <f t="shared" si="166"/>
        <v>19.666666666666668</v>
      </c>
      <c r="S755" s="113">
        <f t="shared" si="167"/>
        <v>19</v>
      </c>
      <c r="T755" s="111">
        <f t="shared" ca="1" si="168"/>
        <v>0.79</v>
      </c>
      <c r="U755" s="111" t="str">
        <f t="shared" si="169"/>
        <v/>
      </c>
      <c r="V755" t="str">
        <f t="array" ref="V755">INDEX(P:P,MAX(U$3:U755))</f>
        <v>9A#2DTR</v>
      </c>
      <c r="W755" t="str">
        <f t="shared" ca="1" si="170"/>
        <v/>
      </c>
      <c r="X755">
        <f t="shared" si="171"/>
        <v>22.8</v>
      </c>
      <c r="Y755">
        <f t="shared" si="172"/>
        <v>20</v>
      </c>
      <c r="Z755" t="str">
        <f t="shared" si="176"/>
        <v>彰濱</v>
      </c>
    </row>
    <row r="756" spans="1:26" x14ac:dyDescent="0.25">
      <c r="A756" s="118" t="s">
        <v>853</v>
      </c>
      <c r="B756" s="119" t="s">
        <v>860</v>
      </c>
      <c r="C756" s="119">
        <v>16</v>
      </c>
      <c r="D756" s="118" t="s">
        <v>198</v>
      </c>
      <c r="E756" s="118">
        <v>16</v>
      </c>
      <c r="F756" s="118" t="s">
        <v>198</v>
      </c>
      <c r="G756" s="118">
        <v>16</v>
      </c>
      <c r="H756" s="118" t="s">
        <v>198</v>
      </c>
      <c r="I756" s="378">
        <v>16</v>
      </c>
      <c r="J756" s="117">
        <v>1</v>
      </c>
      <c r="K756" s="117" t="s">
        <v>194</v>
      </c>
      <c r="L756" t="str">
        <f t="shared" si="163"/>
        <v>9A76</v>
      </c>
      <c r="M756" t="str">
        <f t="shared" si="173"/>
        <v/>
      </c>
      <c r="N756" t="str">
        <f t="shared" si="174"/>
        <v/>
      </c>
      <c r="O756" t="str">
        <f t="shared" si="175"/>
        <v/>
      </c>
      <c r="P756" s="113" t="str">
        <f t="shared" si="164"/>
        <v>9A76</v>
      </c>
      <c r="Q756" s="114">
        <f t="shared" si="165"/>
        <v>16</v>
      </c>
      <c r="R756" s="114">
        <f t="shared" si="166"/>
        <v>16</v>
      </c>
      <c r="S756" s="113">
        <f t="shared" si="167"/>
        <v>16</v>
      </c>
      <c r="T756" s="111">
        <f t="shared" ca="1" si="168"/>
        <v>0.63</v>
      </c>
      <c r="U756" s="111" t="str">
        <f t="shared" si="169"/>
        <v/>
      </c>
      <c r="V756" t="str">
        <f t="array" ref="V756">INDEX(P:P,MAX(U$3:U756))</f>
        <v>9A#2DTR</v>
      </c>
      <c r="W756" t="str">
        <f t="shared" ca="1" si="170"/>
        <v/>
      </c>
      <c r="X756">
        <f t="shared" si="171"/>
        <v>22.8</v>
      </c>
      <c r="Y756">
        <f t="shared" si="172"/>
        <v>16</v>
      </c>
      <c r="Z756" t="str">
        <f t="shared" si="176"/>
        <v>彰濱</v>
      </c>
    </row>
    <row r="757" spans="1:26" x14ac:dyDescent="0.25">
      <c r="A757" s="118" t="s">
        <v>853</v>
      </c>
      <c r="B757" s="119" t="s">
        <v>861</v>
      </c>
      <c r="C757" s="119">
        <v>1</v>
      </c>
      <c r="D757" s="118" t="s">
        <v>194</v>
      </c>
      <c r="E757" s="118">
        <v>1</v>
      </c>
      <c r="F757" s="118" t="s">
        <v>194</v>
      </c>
      <c r="G757" s="118">
        <v>1</v>
      </c>
      <c r="H757" s="118" t="s">
        <v>194</v>
      </c>
      <c r="I757" s="378">
        <v>1</v>
      </c>
      <c r="J757" s="117">
        <v>1</v>
      </c>
      <c r="K757" s="117" t="s">
        <v>194</v>
      </c>
      <c r="L757" t="str">
        <f t="shared" si="163"/>
        <v>9A77</v>
      </c>
      <c r="M757" t="str">
        <f t="shared" si="173"/>
        <v/>
      </c>
      <c r="N757" t="str">
        <f t="shared" si="174"/>
        <v/>
      </c>
      <c r="O757" t="str">
        <f t="shared" si="175"/>
        <v/>
      </c>
      <c r="P757" s="113" t="str">
        <f t="shared" si="164"/>
        <v>9A77</v>
      </c>
      <c r="Q757" s="114">
        <f t="shared" si="165"/>
        <v>1</v>
      </c>
      <c r="R757" s="114">
        <f t="shared" si="166"/>
        <v>1</v>
      </c>
      <c r="S757" s="113">
        <f t="shared" si="167"/>
        <v>1</v>
      </c>
      <c r="T757" s="111">
        <f t="shared" ca="1" si="168"/>
        <v>0.04</v>
      </c>
      <c r="U757" s="111" t="str">
        <f t="shared" si="169"/>
        <v/>
      </c>
      <c r="V757" t="str">
        <f t="array" ref="V757">INDEX(P:P,MAX(U$3:U757))</f>
        <v>9A#2DTR</v>
      </c>
      <c r="W757" t="str">
        <f t="shared" ca="1" si="170"/>
        <v/>
      </c>
      <c r="X757">
        <f t="shared" si="171"/>
        <v>22.8</v>
      </c>
      <c r="Y757">
        <f t="shared" si="172"/>
        <v>1</v>
      </c>
      <c r="Z757" t="str">
        <f t="shared" si="176"/>
        <v>彰濱</v>
      </c>
    </row>
    <row r="758" spans="1:26" x14ac:dyDescent="0.25">
      <c r="A758" s="118" t="s">
        <v>853</v>
      </c>
      <c r="B758" s="119" t="s">
        <v>369</v>
      </c>
      <c r="C758" s="119">
        <v>160</v>
      </c>
      <c r="D758" s="118" t="s">
        <v>179</v>
      </c>
      <c r="E758" s="118">
        <v>156</v>
      </c>
      <c r="F758" s="118" t="s">
        <v>179</v>
      </c>
      <c r="G758" s="118">
        <v>159</v>
      </c>
      <c r="H758" s="118" t="s">
        <v>179</v>
      </c>
      <c r="I758" s="378">
        <v>160</v>
      </c>
      <c r="J758" s="117"/>
      <c r="K758" s="117"/>
      <c r="L758" t="str">
        <f t="shared" si="163"/>
        <v>9A#3DTR(A)</v>
      </c>
      <c r="M758" t="str">
        <f t="shared" si="173"/>
        <v>(A)</v>
      </c>
      <c r="N758" t="str">
        <f t="shared" si="174"/>
        <v>9A#3DTR</v>
      </c>
      <c r="O758" t="str">
        <f t="shared" si="175"/>
        <v>(A)</v>
      </c>
      <c r="P758" s="113" t="str">
        <f t="shared" si="164"/>
        <v>9A#3DTR(A)</v>
      </c>
      <c r="Q758" s="114">
        <f t="shared" si="165"/>
        <v>160</v>
      </c>
      <c r="R758" s="114">
        <f t="shared" si="166"/>
        <v>158.33333333333334</v>
      </c>
      <c r="S758" s="113">
        <f t="shared" si="167"/>
        <v>156</v>
      </c>
      <c r="T758" s="111">
        <f t="shared" ca="1" si="168"/>
        <v>6.32</v>
      </c>
      <c r="U758" s="111">
        <f t="shared" si="169"/>
        <v>758</v>
      </c>
      <c r="V758" t="str">
        <f t="array" ref="V758">INDEX(P:P,MAX(U$3:U758))</f>
        <v>9A#3DTR(A)</v>
      </c>
      <c r="W758">
        <f t="shared" ca="1" si="170"/>
        <v>60</v>
      </c>
      <c r="X758" t="str">
        <f t="shared" si="171"/>
        <v/>
      </c>
      <c r="Y758">
        <f t="shared" si="172"/>
        <v>160</v>
      </c>
      <c r="Z758" t="str">
        <f t="shared" si="176"/>
        <v>彰濱</v>
      </c>
    </row>
    <row r="759" spans="1:26" x14ac:dyDescent="0.25">
      <c r="A759" s="118" t="s">
        <v>853</v>
      </c>
      <c r="B759" s="119" t="s">
        <v>862</v>
      </c>
      <c r="C759" s="119">
        <v>50</v>
      </c>
      <c r="D759" s="118" t="s">
        <v>183</v>
      </c>
      <c r="E759" s="118">
        <v>48</v>
      </c>
      <c r="F759" s="118" t="s">
        <v>183</v>
      </c>
      <c r="G759" s="118">
        <v>49</v>
      </c>
      <c r="H759" s="118" t="s">
        <v>183</v>
      </c>
      <c r="I759" s="378">
        <v>50</v>
      </c>
      <c r="J759" s="117">
        <v>0</v>
      </c>
      <c r="K759" s="117" t="s">
        <v>194</v>
      </c>
      <c r="L759" t="str">
        <f t="shared" si="163"/>
        <v>9A61</v>
      </c>
      <c r="M759" t="str">
        <f t="shared" si="173"/>
        <v/>
      </c>
      <c r="N759" t="str">
        <f t="shared" si="174"/>
        <v/>
      </c>
      <c r="O759" t="str">
        <f t="shared" si="175"/>
        <v/>
      </c>
      <c r="P759" s="113" t="str">
        <f t="shared" si="164"/>
        <v>9A61</v>
      </c>
      <c r="Q759" s="114">
        <f t="shared" si="165"/>
        <v>50</v>
      </c>
      <c r="R759" s="114">
        <f t="shared" si="166"/>
        <v>49</v>
      </c>
      <c r="S759" s="113">
        <f t="shared" si="167"/>
        <v>48</v>
      </c>
      <c r="T759" s="111">
        <f t="shared" ca="1" si="168"/>
        <v>1.97</v>
      </c>
      <c r="U759" s="111" t="str">
        <f t="shared" si="169"/>
        <v/>
      </c>
      <c r="V759" t="str">
        <f t="array" ref="V759">INDEX(P:P,MAX(U$3:U759))</f>
        <v>9A#3DTR(A)</v>
      </c>
      <c r="W759" t="str">
        <f t="shared" ca="1" si="170"/>
        <v/>
      </c>
      <c r="X759">
        <f t="shared" si="171"/>
        <v>22.8</v>
      </c>
      <c r="Y759">
        <f t="shared" si="172"/>
        <v>50</v>
      </c>
      <c r="Z759" t="str">
        <f t="shared" si="176"/>
        <v>彰濱</v>
      </c>
    </row>
    <row r="760" spans="1:26" x14ac:dyDescent="0.25">
      <c r="A760" s="118" t="s">
        <v>853</v>
      </c>
      <c r="B760" s="119" t="s">
        <v>863</v>
      </c>
      <c r="C760" s="119">
        <v>69</v>
      </c>
      <c r="D760" s="118" t="s">
        <v>179</v>
      </c>
      <c r="E760" s="118">
        <v>66</v>
      </c>
      <c r="F760" s="118" t="s">
        <v>179</v>
      </c>
      <c r="G760" s="118">
        <v>68</v>
      </c>
      <c r="H760" s="118" t="s">
        <v>179</v>
      </c>
      <c r="I760" s="378">
        <v>69</v>
      </c>
      <c r="J760" s="117">
        <v>0</v>
      </c>
      <c r="K760" s="117" t="s">
        <v>194</v>
      </c>
      <c r="L760" t="str">
        <f t="shared" si="163"/>
        <v>9A62</v>
      </c>
      <c r="M760" t="str">
        <f t="shared" si="173"/>
        <v/>
      </c>
      <c r="N760" t="str">
        <f t="shared" si="174"/>
        <v/>
      </c>
      <c r="O760" t="str">
        <f t="shared" si="175"/>
        <v/>
      </c>
      <c r="P760" s="113" t="str">
        <f t="shared" si="164"/>
        <v>9A62</v>
      </c>
      <c r="Q760" s="114">
        <f t="shared" si="165"/>
        <v>69</v>
      </c>
      <c r="R760" s="114">
        <f t="shared" si="166"/>
        <v>67.666666666666671</v>
      </c>
      <c r="S760" s="113">
        <f t="shared" si="167"/>
        <v>66</v>
      </c>
      <c r="T760" s="111">
        <f t="shared" ca="1" si="168"/>
        <v>2.72</v>
      </c>
      <c r="U760" s="111" t="str">
        <f t="shared" si="169"/>
        <v/>
      </c>
      <c r="V760" t="str">
        <f t="array" ref="V760">INDEX(P:P,MAX(U$3:U760))</f>
        <v>9A#3DTR(A)</v>
      </c>
      <c r="W760" t="str">
        <f t="shared" ca="1" si="170"/>
        <v/>
      </c>
      <c r="X760">
        <f t="shared" si="171"/>
        <v>22.8</v>
      </c>
      <c r="Y760">
        <f t="shared" si="172"/>
        <v>69</v>
      </c>
      <c r="Z760" t="str">
        <f t="shared" si="176"/>
        <v>彰濱</v>
      </c>
    </row>
    <row r="761" spans="1:26" x14ac:dyDescent="0.25">
      <c r="A761" s="118" t="s">
        <v>853</v>
      </c>
      <c r="B761" s="119" t="s">
        <v>864</v>
      </c>
      <c r="C761" s="119">
        <v>16</v>
      </c>
      <c r="D761" s="118" t="s">
        <v>179</v>
      </c>
      <c r="E761" s="118">
        <v>15</v>
      </c>
      <c r="F761" s="118" t="s">
        <v>179</v>
      </c>
      <c r="G761" s="118">
        <v>16</v>
      </c>
      <c r="H761" s="118" t="s">
        <v>179</v>
      </c>
      <c r="I761" s="378">
        <v>16</v>
      </c>
      <c r="J761" s="117">
        <v>0</v>
      </c>
      <c r="K761" s="117" t="s">
        <v>194</v>
      </c>
      <c r="L761" t="str">
        <f t="shared" si="163"/>
        <v>9A63</v>
      </c>
      <c r="M761" t="str">
        <f t="shared" si="173"/>
        <v/>
      </c>
      <c r="N761" t="str">
        <f t="shared" si="174"/>
        <v/>
      </c>
      <c r="O761" t="str">
        <f t="shared" si="175"/>
        <v/>
      </c>
      <c r="P761" s="113" t="str">
        <f t="shared" si="164"/>
        <v>9A63</v>
      </c>
      <c r="Q761" s="114">
        <f t="shared" si="165"/>
        <v>16</v>
      </c>
      <c r="R761" s="114">
        <f t="shared" si="166"/>
        <v>15.666666666666666</v>
      </c>
      <c r="S761" s="113">
        <f t="shared" si="167"/>
        <v>15</v>
      </c>
      <c r="T761" s="111">
        <f t="shared" ca="1" si="168"/>
        <v>0.63</v>
      </c>
      <c r="U761" s="111" t="str">
        <f t="shared" si="169"/>
        <v/>
      </c>
      <c r="V761" t="str">
        <f t="array" ref="V761">INDEX(P:P,MAX(U$3:U761))</f>
        <v>9A#3DTR(A)</v>
      </c>
      <c r="W761" t="str">
        <f t="shared" ca="1" si="170"/>
        <v/>
      </c>
      <c r="X761">
        <f t="shared" si="171"/>
        <v>22.8</v>
      </c>
      <c r="Y761">
        <f t="shared" si="172"/>
        <v>16</v>
      </c>
      <c r="Z761" t="str">
        <f t="shared" si="176"/>
        <v>彰濱</v>
      </c>
    </row>
    <row r="762" spans="1:26" x14ac:dyDescent="0.25">
      <c r="A762" s="118" t="s">
        <v>853</v>
      </c>
      <c r="B762" s="119" t="s">
        <v>373</v>
      </c>
      <c r="C762" s="119"/>
      <c r="D762" s="118"/>
      <c r="E762" s="118"/>
      <c r="F762" s="118"/>
      <c r="G762" s="118"/>
      <c r="H762" s="118"/>
      <c r="I762" s="378"/>
      <c r="J762" s="117"/>
      <c r="K762" s="117"/>
      <c r="L762" t="str">
        <f t="shared" si="163"/>
        <v>9A#3DTR(B)</v>
      </c>
      <c r="M762" t="str">
        <f t="shared" si="173"/>
        <v>(B)</v>
      </c>
      <c r="N762" t="str">
        <f t="shared" si="174"/>
        <v>9A#3DTR</v>
      </c>
      <c r="O762" t="str">
        <f t="shared" si="175"/>
        <v>(B)</v>
      </c>
      <c r="P762" s="113" t="str">
        <f t="shared" si="164"/>
        <v>9A#3DTR(B)</v>
      </c>
      <c r="Q762" s="114">
        <f t="shared" si="165"/>
        <v>0</v>
      </c>
      <c r="R762" s="114">
        <f t="shared" si="166"/>
        <v>0</v>
      </c>
      <c r="S762" s="113">
        <f t="shared" si="167"/>
        <v>0</v>
      </c>
      <c r="T762" s="111">
        <f t="shared" ca="1" si="168"/>
        <v>0</v>
      </c>
      <c r="U762" s="111">
        <f t="shared" si="169"/>
        <v>762</v>
      </c>
      <c r="V762" t="str">
        <f t="array" ref="V762">INDEX(P:P,MAX(U$3:U762))</f>
        <v>9A#3DTR(B)</v>
      </c>
      <c r="W762">
        <f t="shared" ca="1" si="170"/>
        <v>60</v>
      </c>
      <c r="X762" t="str">
        <f t="shared" si="171"/>
        <v/>
      </c>
      <c r="Y762">
        <f t="shared" si="172"/>
        <v>0</v>
      </c>
      <c r="Z762" t="str">
        <f t="shared" si="176"/>
        <v>彰濱</v>
      </c>
    </row>
    <row r="763" spans="1:26" x14ac:dyDescent="0.25">
      <c r="A763" s="118" t="s">
        <v>853</v>
      </c>
      <c r="B763" s="119" t="s">
        <v>865</v>
      </c>
      <c r="C763" s="119">
        <v>71</v>
      </c>
      <c r="D763" s="118" t="s">
        <v>179</v>
      </c>
      <c r="E763" s="118">
        <v>70</v>
      </c>
      <c r="F763" s="118" t="s">
        <v>179</v>
      </c>
      <c r="G763" s="118">
        <v>70</v>
      </c>
      <c r="H763" s="118" t="s">
        <v>179</v>
      </c>
      <c r="I763" s="378">
        <v>71</v>
      </c>
      <c r="J763" s="117">
        <v>0</v>
      </c>
      <c r="K763" s="117" t="s">
        <v>194</v>
      </c>
      <c r="L763" t="str">
        <f t="shared" si="163"/>
        <v>9A64</v>
      </c>
      <c r="M763" t="str">
        <f t="shared" si="173"/>
        <v/>
      </c>
      <c r="N763" t="str">
        <f t="shared" si="174"/>
        <v/>
      </c>
      <c r="O763" t="str">
        <f t="shared" si="175"/>
        <v/>
      </c>
      <c r="P763" s="113" t="str">
        <f t="shared" si="164"/>
        <v>9A64</v>
      </c>
      <c r="Q763" s="114">
        <f t="shared" si="165"/>
        <v>71</v>
      </c>
      <c r="R763" s="114">
        <f t="shared" si="166"/>
        <v>70.333333333333329</v>
      </c>
      <c r="S763" s="113">
        <f t="shared" si="167"/>
        <v>70</v>
      </c>
      <c r="T763" s="111">
        <f t="shared" ca="1" si="168"/>
        <v>2.8</v>
      </c>
      <c r="U763" s="111" t="str">
        <f t="shared" si="169"/>
        <v/>
      </c>
      <c r="V763" t="str">
        <f t="array" ref="V763">INDEX(P:P,MAX(U$3:U763))</f>
        <v>9A#3DTR(B)</v>
      </c>
      <c r="W763" t="str">
        <f t="shared" ca="1" si="170"/>
        <v/>
      </c>
      <c r="X763">
        <f t="shared" si="171"/>
        <v>22.8</v>
      </c>
      <c r="Y763">
        <f t="shared" si="172"/>
        <v>71</v>
      </c>
      <c r="Z763" t="str">
        <f t="shared" si="176"/>
        <v>彰濱</v>
      </c>
    </row>
    <row r="764" spans="1:26" x14ac:dyDescent="0.25">
      <c r="A764" s="118" t="s">
        <v>853</v>
      </c>
      <c r="B764" s="119" t="s">
        <v>866</v>
      </c>
      <c r="C764" s="119">
        <v>42</v>
      </c>
      <c r="D764" s="118" t="s">
        <v>196</v>
      </c>
      <c r="E764" s="118">
        <v>42</v>
      </c>
      <c r="F764" s="118" t="s">
        <v>237</v>
      </c>
      <c r="G764" s="118">
        <v>42</v>
      </c>
      <c r="H764" s="118" t="s">
        <v>196</v>
      </c>
      <c r="I764" s="378">
        <v>42</v>
      </c>
      <c r="J764" s="117">
        <v>0</v>
      </c>
      <c r="K764" s="117" t="s">
        <v>194</v>
      </c>
      <c r="L764" t="str">
        <f t="shared" si="163"/>
        <v>9A65</v>
      </c>
      <c r="M764" t="str">
        <f t="shared" si="173"/>
        <v/>
      </c>
      <c r="N764" t="str">
        <f t="shared" si="174"/>
        <v/>
      </c>
      <c r="O764" t="str">
        <f t="shared" si="175"/>
        <v/>
      </c>
      <c r="P764" s="113" t="str">
        <f t="shared" si="164"/>
        <v>9A65</v>
      </c>
      <c r="Q764" s="114">
        <f t="shared" si="165"/>
        <v>42</v>
      </c>
      <c r="R764" s="114">
        <f t="shared" si="166"/>
        <v>42</v>
      </c>
      <c r="S764" s="113">
        <f t="shared" si="167"/>
        <v>42</v>
      </c>
      <c r="T764" s="111">
        <f t="shared" ca="1" si="168"/>
        <v>1.66</v>
      </c>
      <c r="U764" s="111" t="str">
        <f t="shared" si="169"/>
        <v/>
      </c>
      <c r="V764" t="str">
        <f t="array" ref="V764">INDEX(P:P,MAX(U$3:U764))</f>
        <v>9A#3DTR(B)</v>
      </c>
      <c r="W764" t="str">
        <f t="shared" ca="1" si="170"/>
        <v/>
      </c>
      <c r="X764">
        <f t="shared" si="171"/>
        <v>22.8</v>
      </c>
      <c r="Y764">
        <f t="shared" si="172"/>
        <v>42</v>
      </c>
      <c r="Z764" t="str">
        <f t="shared" si="176"/>
        <v>彰濱</v>
      </c>
    </row>
    <row r="765" spans="1:26" x14ac:dyDescent="0.25">
      <c r="A765" s="118" t="s">
        <v>853</v>
      </c>
      <c r="B765" s="119" t="s">
        <v>867</v>
      </c>
      <c r="C765" s="119">
        <v>0</v>
      </c>
      <c r="D765" s="118" t="s">
        <v>194</v>
      </c>
      <c r="E765" s="118">
        <v>0</v>
      </c>
      <c r="F765" s="118" t="s">
        <v>194</v>
      </c>
      <c r="G765" s="118">
        <v>0</v>
      </c>
      <c r="H765" s="118" t="s">
        <v>194</v>
      </c>
      <c r="I765" s="378">
        <v>0</v>
      </c>
      <c r="J765" s="117">
        <v>0</v>
      </c>
      <c r="K765" s="117" t="s">
        <v>194</v>
      </c>
      <c r="L765" t="str">
        <f t="shared" si="163"/>
        <v>9A66</v>
      </c>
      <c r="M765" t="str">
        <f t="shared" si="173"/>
        <v/>
      </c>
      <c r="N765" t="str">
        <f t="shared" si="174"/>
        <v/>
      </c>
      <c r="O765" t="str">
        <f t="shared" si="175"/>
        <v/>
      </c>
      <c r="P765" s="113" t="str">
        <f t="shared" si="164"/>
        <v>9A66</v>
      </c>
      <c r="Q765" s="114">
        <f t="shared" si="165"/>
        <v>0</v>
      </c>
      <c r="R765" s="114">
        <f t="shared" si="166"/>
        <v>0</v>
      </c>
      <c r="S765" s="113">
        <f t="shared" si="167"/>
        <v>0</v>
      </c>
      <c r="T765" s="111">
        <f t="shared" ca="1" si="168"/>
        <v>0</v>
      </c>
      <c r="U765" s="111" t="str">
        <f t="shared" si="169"/>
        <v/>
      </c>
      <c r="V765" t="str">
        <f t="array" ref="V765">INDEX(P:P,MAX(U$3:U765))</f>
        <v>9A#3DTR(B)</v>
      </c>
      <c r="W765" t="str">
        <f t="shared" ca="1" si="170"/>
        <v/>
      </c>
      <c r="X765">
        <f t="shared" si="171"/>
        <v>22.8</v>
      </c>
      <c r="Y765">
        <f t="shared" si="172"/>
        <v>0</v>
      </c>
      <c r="Z765" t="str">
        <f t="shared" si="176"/>
        <v>彰濱</v>
      </c>
    </row>
    <row r="766" spans="1:26" x14ac:dyDescent="0.25">
      <c r="A766" s="118" t="s">
        <v>853</v>
      </c>
      <c r="B766" s="119" t="s">
        <v>868</v>
      </c>
      <c r="C766" s="119">
        <v>66</v>
      </c>
      <c r="D766" s="118" t="s">
        <v>180</v>
      </c>
      <c r="E766" s="118">
        <v>69</v>
      </c>
      <c r="F766" s="118" t="s">
        <v>180</v>
      </c>
      <c r="G766" s="118">
        <v>69</v>
      </c>
      <c r="H766" s="118" t="s">
        <v>180</v>
      </c>
      <c r="I766" s="378">
        <v>69</v>
      </c>
      <c r="J766" s="117"/>
      <c r="K766" s="117"/>
      <c r="L766" t="str">
        <f t="shared" si="163"/>
        <v>9A#4DTR(A)</v>
      </c>
      <c r="M766" t="str">
        <f t="shared" si="173"/>
        <v>(A)</v>
      </c>
      <c r="N766" t="str">
        <f t="shared" si="174"/>
        <v>9A#4DTR</v>
      </c>
      <c r="O766" t="str">
        <f t="shared" si="175"/>
        <v>(A)</v>
      </c>
      <c r="P766" s="113" t="str">
        <f t="shared" si="164"/>
        <v>9A#4DTR(A)</v>
      </c>
      <c r="Q766" s="114">
        <f t="shared" si="165"/>
        <v>69</v>
      </c>
      <c r="R766" s="114">
        <f t="shared" si="166"/>
        <v>68</v>
      </c>
      <c r="S766" s="113">
        <f t="shared" si="167"/>
        <v>66</v>
      </c>
      <c r="T766" s="111">
        <f t="shared" ca="1" si="168"/>
        <v>2.72</v>
      </c>
      <c r="U766" s="111">
        <f t="shared" si="169"/>
        <v>766</v>
      </c>
      <c r="V766" t="str">
        <f t="array" ref="V766">INDEX(P:P,MAX(U$3:U766))</f>
        <v>9A#4DTR(A)</v>
      </c>
      <c r="W766">
        <f t="shared" ca="1" si="170"/>
        <v>60</v>
      </c>
      <c r="X766" t="str">
        <f t="shared" si="171"/>
        <v/>
      </c>
      <c r="Y766">
        <f t="shared" si="172"/>
        <v>69</v>
      </c>
      <c r="Z766" t="str">
        <f t="shared" si="176"/>
        <v>彰濱</v>
      </c>
    </row>
    <row r="767" spans="1:26" x14ac:dyDescent="0.25">
      <c r="A767" s="118" t="s">
        <v>853</v>
      </c>
      <c r="B767" s="119" t="s">
        <v>869</v>
      </c>
      <c r="C767" s="119">
        <v>82</v>
      </c>
      <c r="D767" s="118" t="s">
        <v>183</v>
      </c>
      <c r="E767" s="118">
        <v>84</v>
      </c>
      <c r="F767" s="118" t="s">
        <v>183</v>
      </c>
      <c r="G767" s="118">
        <v>84</v>
      </c>
      <c r="H767" s="118" t="s">
        <v>183</v>
      </c>
      <c r="I767" s="378">
        <v>84</v>
      </c>
      <c r="J767" s="117">
        <v>0</v>
      </c>
      <c r="K767" s="117" t="s">
        <v>194</v>
      </c>
      <c r="L767" t="str">
        <f t="shared" si="163"/>
        <v>9A51</v>
      </c>
      <c r="M767" t="str">
        <f t="shared" si="173"/>
        <v/>
      </c>
      <c r="N767" t="str">
        <f t="shared" si="174"/>
        <v/>
      </c>
      <c r="O767" t="str">
        <f t="shared" si="175"/>
        <v/>
      </c>
      <c r="P767" s="113" t="str">
        <f t="shared" si="164"/>
        <v>9A51</v>
      </c>
      <c r="Q767" s="114">
        <f t="shared" si="165"/>
        <v>84</v>
      </c>
      <c r="R767" s="114">
        <f t="shared" si="166"/>
        <v>83.333333333333329</v>
      </c>
      <c r="S767" s="113">
        <f t="shared" si="167"/>
        <v>82</v>
      </c>
      <c r="T767" s="111">
        <f t="shared" ca="1" si="168"/>
        <v>3.32</v>
      </c>
      <c r="U767" s="111" t="str">
        <f t="shared" si="169"/>
        <v/>
      </c>
      <c r="V767" t="str">
        <f t="array" ref="V767">INDEX(P:P,MAX(U$3:U767))</f>
        <v>9A#4DTR(A)</v>
      </c>
      <c r="W767" t="str">
        <f t="shared" ca="1" si="170"/>
        <v/>
      </c>
      <c r="X767">
        <f t="shared" si="171"/>
        <v>22.8</v>
      </c>
      <c r="Y767">
        <f t="shared" si="172"/>
        <v>84</v>
      </c>
      <c r="Z767" t="str">
        <f t="shared" si="176"/>
        <v>彰濱</v>
      </c>
    </row>
    <row r="768" spans="1:26" x14ac:dyDescent="0.25">
      <c r="A768" s="118" t="s">
        <v>853</v>
      </c>
      <c r="B768" s="119" t="s">
        <v>870</v>
      </c>
      <c r="C768" s="119">
        <v>26</v>
      </c>
      <c r="D768" s="118" t="s">
        <v>179</v>
      </c>
      <c r="E768" s="118">
        <v>26</v>
      </c>
      <c r="F768" s="118" t="s">
        <v>180</v>
      </c>
      <c r="G768" s="118">
        <v>26</v>
      </c>
      <c r="H768" s="118" t="s">
        <v>179</v>
      </c>
      <c r="I768" s="378">
        <v>26</v>
      </c>
      <c r="J768" s="117">
        <v>0</v>
      </c>
      <c r="K768" s="117" t="s">
        <v>194</v>
      </c>
      <c r="L768" t="str">
        <f t="shared" si="163"/>
        <v>9A52</v>
      </c>
      <c r="M768" t="str">
        <f t="shared" si="173"/>
        <v/>
      </c>
      <c r="N768" t="str">
        <f t="shared" si="174"/>
        <v/>
      </c>
      <c r="O768" t="str">
        <f t="shared" si="175"/>
        <v/>
      </c>
      <c r="P768" s="113" t="str">
        <f t="shared" si="164"/>
        <v>9A52</v>
      </c>
      <c r="Q768" s="114">
        <f t="shared" si="165"/>
        <v>26</v>
      </c>
      <c r="R768" s="114">
        <f t="shared" si="166"/>
        <v>26</v>
      </c>
      <c r="S768" s="113">
        <f t="shared" si="167"/>
        <v>26</v>
      </c>
      <c r="T768" s="111">
        <f t="shared" ca="1" si="168"/>
        <v>1.03</v>
      </c>
      <c r="U768" s="111" t="str">
        <f t="shared" si="169"/>
        <v/>
      </c>
      <c r="V768" t="str">
        <f t="array" ref="V768">INDEX(P:P,MAX(U$3:U768))</f>
        <v>9A#4DTR(A)</v>
      </c>
      <c r="W768" t="str">
        <f t="shared" ca="1" si="170"/>
        <v/>
      </c>
      <c r="X768">
        <f t="shared" si="171"/>
        <v>22.8</v>
      </c>
      <c r="Y768">
        <f t="shared" si="172"/>
        <v>26</v>
      </c>
      <c r="Z768" t="str">
        <f t="shared" si="176"/>
        <v>彰濱</v>
      </c>
    </row>
    <row r="769" spans="1:26" x14ac:dyDescent="0.25">
      <c r="A769" s="118" t="s">
        <v>853</v>
      </c>
      <c r="B769" s="119" t="s">
        <v>871</v>
      </c>
      <c r="C769" s="119">
        <v>35</v>
      </c>
      <c r="D769" s="118" t="s">
        <v>203</v>
      </c>
      <c r="E769" s="118">
        <v>30</v>
      </c>
      <c r="F769" s="118" t="s">
        <v>203</v>
      </c>
      <c r="G769" s="118">
        <v>32</v>
      </c>
      <c r="H769" s="118" t="s">
        <v>203</v>
      </c>
      <c r="I769" s="378">
        <v>35</v>
      </c>
      <c r="J769" s="117">
        <v>0</v>
      </c>
      <c r="K769" s="117" t="s">
        <v>194</v>
      </c>
      <c r="L769" t="str">
        <f t="shared" si="163"/>
        <v>9A53</v>
      </c>
      <c r="M769" t="str">
        <f t="shared" si="173"/>
        <v/>
      </c>
      <c r="N769" t="str">
        <f t="shared" si="174"/>
        <v/>
      </c>
      <c r="O769" t="str">
        <f t="shared" si="175"/>
        <v/>
      </c>
      <c r="P769" s="113" t="str">
        <f t="shared" si="164"/>
        <v>9A53</v>
      </c>
      <c r="Q769" s="114">
        <f t="shared" si="165"/>
        <v>35</v>
      </c>
      <c r="R769" s="114">
        <f t="shared" si="166"/>
        <v>32.333333333333336</v>
      </c>
      <c r="S769" s="113">
        <f t="shared" si="167"/>
        <v>30</v>
      </c>
      <c r="T769" s="111">
        <f t="shared" ca="1" si="168"/>
        <v>1.38</v>
      </c>
      <c r="U769" s="111" t="str">
        <f t="shared" si="169"/>
        <v/>
      </c>
      <c r="V769" t="str">
        <f t="array" ref="V769">INDEX(P:P,MAX(U$3:U769))</f>
        <v>9A#4DTR(A)</v>
      </c>
      <c r="W769" t="str">
        <f t="shared" ca="1" si="170"/>
        <v/>
      </c>
      <c r="X769">
        <f t="shared" si="171"/>
        <v>22.8</v>
      </c>
      <c r="Y769">
        <f t="shared" si="172"/>
        <v>35</v>
      </c>
      <c r="Z769" t="str">
        <f t="shared" si="176"/>
        <v>彰濱</v>
      </c>
    </row>
    <row r="770" spans="1:26" x14ac:dyDescent="0.25">
      <c r="A770" s="118" t="s">
        <v>853</v>
      </c>
      <c r="B770" s="119" t="s">
        <v>872</v>
      </c>
      <c r="C770" s="119">
        <v>0</v>
      </c>
      <c r="D770" s="118" t="s">
        <v>194</v>
      </c>
      <c r="E770" s="118">
        <v>0</v>
      </c>
      <c r="F770" s="118" t="s">
        <v>194</v>
      </c>
      <c r="G770" s="118">
        <v>0</v>
      </c>
      <c r="H770" s="118" t="s">
        <v>194</v>
      </c>
      <c r="I770" s="378">
        <v>0</v>
      </c>
      <c r="J770" s="117">
        <v>0</v>
      </c>
      <c r="K770" s="117" t="s">
        <v>194</v>
      </c>
      <c r="L770" t="str">
        <f t="shared" si="163"/>
        <v>9A54</v>
      </c>
      <c r="M770" t="str">
        <f t="shared" si="173"/>
        <v/>
      </c>
      <c r="N770" t="str">
        <f t="shared" si="174"/>
        <v/>
      </c>
      <c r="O770" t="str">
        <f t="shared" si="175"/>
        <v/>
      </c>
      <c r="P770" s="113" t="str">
        <f t="shared" si="164"/>
        <v>9A54</v>
      </c>
      <c r="Q770" s="114">
        <f t="shared" si="165"/>
        <v>0</v>
      </c>
      <c r="R770" s="114">
        <f t="shared" si="166"/>
        <v>0</v>
      </c>
      <c r="S770" s="113">
        <f t="shared" si="167"/>
        <v>0</v>
      </c>
      <c r="T770" s="111">
        <f t="shared" ca="1" si="168"/>
        <v>0</v>
      </c>
      <c r="U770" s="111" t="str">
        <f t="shared" si="169"/>
        <v/>
      </c>
      <c r="V770" t="str">
        <f t="array" ref="V770">INDEX(P:P,MAX(U$3:U770))</f>
        <v>9A#4DTR(A)</v>
      </c>
      <c r="W770" t="str">
        <f t="shared" ca="1" si="170"/>
        <v/>
      </c>
      <c r="X770">
        <f t="shared" si="171"/>
        <v>22.8</v>
      </c>
      <c r="Y770">
        <f t="shared" si="172"/>
        <v>0</v>
      </c>
      <c r="Z770" t="str">
        <f t="shared" si="176"/>
        <v>彰濱</v>
      </c>
    </row>
    <row r="771" spans="1:26" x14ac:dyDescent="0.25">
      <c r="A771" s="118" t="s">
        <v>853</v>
      </c>
      <c r="B771" s="119" t="s">
        <v>873</v>
      </c>
      <c r="C771" s="119">
        <v>22</v>
      </c>
      <c r="D771" s="118" t="s">
        <v>198</v>
      </c>
      <c r="E771" s="118">
        <v>21</v>
      </c>
      <c r="F771" s="118" t="s">
        <v>198</v>
      </c>
      <c r="G771" s="118">
        <v>22</v>
      </c>
      <c r="H771" s="118" t="s">
        <v>198</v>
      </c>
      <c r="I771" s="378">
        <v>22</v>
      </c>
      <c r="J771" s="117">
        <v>0</v>
      </c>
      <c r="K771" s="117" t="s">
        <v>194</v>
      </c>
      <c r="L771" t="str">
        <f t="shared" ref="L771:L834" si="177">IF(COUNTIF(B771,"*TR*")&gt;0,SUBSTITUTE(RIGHT(TRIM(A771),2) &amp; B771," ",""),MID(B771,FIND("(",B771)+1,4))</f>
        <v>9A55</v>
      </c>
      <c r="M771" t="str">
        <f t="shared" si="173"/>
        <v/>
      </c>
      <c r="N771" t="str">
        <f t="shared" si="174"/>
        <v/>
      </c>
      <c r="O771" t="str">
        <f t="shared" si="175"/>
        <v/>
      </c>
      <c r="P771" s="113" t="str">
        <f t="shared" ref="P771:P834" si="178">IF(COUNTIF(B771,"*TR*")&gt;0,SUBSTITUTE(RIGHT(TRIM(A771),2) &amp; B771," ",""),MID(B771,FIND("(",B771)+1,4))</f>
        <v>9A55</v>
      </c>
      <c r="Q771" s="114">
        <f t="shared" ref="Q771:Q834" si="179">VALUE(I771)</f>
        <v>22</v>
      </c>
      <c r="R771" s="114">
        <f t="shared" ref="R771:R834" si="180">AVERAGE(C771*1,E771*1,G771*1)</f>
        <v>21.666666666666668</v>
      </c>
      <c r="S771" s="113">
        <f t="shared" ref="S771:S834" si="181">MIN(C771*1,E771*1,G771*1)</f>
        <v>21</v>
      </c>
      <c r="T771" s="111">
        <f t="shared" ref="T771:T834" ca="1" si="182">IF(LEFT(TRIM(B771),1)="#",ROUND(OFFSET(X771,1,0,1,1)*Y771*SQRT(3)/1000,2),ROUND(Q771*X771*SQRT(3)/1000,2))</f>
        <v>0.87</v>
      </c>
      <c r="U771" s="111" t="str">
        <f t="shared" ref="U771:U834" si="183">IF(ISNUMBER(FIND("#",B771)),ROW(),"")</f>
        <v/>
      </c>
      <c r="V771" t="str" cm="1">
        <f t="array" ref="V771">INDEX(P:P,MAX(U$3:U771))</f>
        <v>9A#4DTR(A)</v>
      </c>
      <c r="W771" t="str">
        <f t="shared" ref="W771:W834" ca="1" si="184">IF(LEFT(TRIM(B771),1)="#",IF(ISNUMBER(FIND("DTR",B771)),IF(MID(OFFSET(P771,1,0,1,1),3,1)*1&lt;5,30,60),25),"")</f>
        <v/>
      </c>
      <c r="X771">
        <f t="shared" ref="X771:X834" si="185">IF(LEFT(TRIM(B771),1)= "#","",IF(MID(P771,3,1)*1&lt;5,11.4,22.8))</f>
        <v>22.8</v>
      </c>
      <c r="Y771">
        <f t="shared" ref="Y771:Y834" si="186">SUMIF(L:L,L771,I:I)</f>
        <v>22</v>
      </c>
      <c r="Z771" t="str">
        <f t="shared" si="176"/>
        <v>彰濱</v>
      </c>
    </row>
    <row r="772" spans="1:26" x14ac:dyDescent="0.25">
      <c r="A772" s="118" t="s">
        <v>853</v>
      </c>
      <c r="B772" s="119" t="s">
        <v>874</v>
      </c>
      <c r="C772" s="119">
        <v>0</v>
      </c>
      <c r="D772" s="118" t="s">
        <v>194</v>
      </c>
      <c r="E772" s="118">
        <v>0</v>
      </c>
      <c r="F772" s="118" t="s">
        <v>194</v>
      </c>
      <c r="G772" s="118">
        <v>0</v>
      </c>
      <c r="H772" s="118" t="s">
        <v>194</v>
      </c>
      <c r="I772" s="378">
        <v>0</v>
      </c>
      <c r="J772" s="117">
        <v>0</v>
      </c>
      <c r="K772" s="117" t="s">
        <v>194</v>
      </c>
      <c r="L772" t="str">
        <f t="shared" si="177"/>
        <v>9A56</v>
      </c>
      <c r="M772" t="str">
        <f t="shared" ref="M772:M816" si="187">IF(LEFT(B772,1)="#",IF(LEN(B772)&lt;&gt;5,MID(B772,6,3),""),"")</f>
        <v/>
      </c>
      <c r="N772" t="str">
        <f t="shared" ref="N772:N816" si="188">IF(LEFT(B772,1)="#",IF(LEN(B772)=5,RIGHT(A772,2)&amp;B772,RIGHT(A772,2)&amp;LEFT(B772,2)&amp;"DTR"),"")</f>
        <v/>
      </c>
      <c r="O772" t="str">
        <f t="shared" ref="O772:O816" si="189">IF(LEFT(B772,1)="#",IF(LEN(B772)&lt;&gt;5,IF(LEN(B772)&lt;&gt;7,MID(B772,6,3),"("&amp;MID(B772,3,2)&amp;")"),""),"")</f>
        <v/>
      </c>
      <c r="P772" s="113" t="str">
        <f t="shared" si="178"/>
        <v>9A56</v>
      </c>
      <c r="Q772" s="114">
        <f t="shared" si="179"/>
        <v>0</v>
      </c>
      <c r="R772" s="114">
        <f t="shared" si="180"/>
        <v>0</v>
      </c>
      <c r="S772" s="113">
        <f t="shared" si="181"/>
        <v>0</v>
      </c>
      <c r="T772" s="111">
        <f t="shared" ca="1" si="182"/>
        <v>0</v>
      </c>
      <c r="U772" s="111" t="str">
        <f t="shared" si="183"/>
        <v/>
      </c>
      <c r="V772" t="str">
        <f t="array" ref="V772">INDEX(P:P,MAX(U$3:U772))</f>
        <v>9A#4DTR(A)</v>
      </c>
      <c r="W772" t="str">
        <f t="shared" ca="1" si="184"/>
        <v/>
      </c>
      <c r="X772">
        <f t="shared" si="185"/>
        <v>22.8</v>
      </c>
      <c r="Y772">
        <f t="shared" si="186"/>
        <v>0</v>
      </c>
      <c r="Z772" t="str">
        <f t="shared" ref="Z772:Z816" si="190">LEFT(A772,2)</f>
        <v>彰濱</v>
      </c>
    </row>
    <row r="773" spans="1:26" x14ac:dyDescent="0.25">
      <c r="A773" s="118" t="s">
        <v>853</v>
      </c>
      <c r="B773" s="119" t="s">
        <v>875</v>
      </c>
      <c r="C773" s="119">
        <v>233</v>
      </c>
      <c r="D773" s="118" t="s">
        <v>237</v>
      </c>
      <c r="E773" s="118">
        <v>232</v>
      </c>
      <c r="F773" s="118" t="s">
        <v>237</v>
      </c>
      <c r="G773" s="118">
        <v>233</v>
      </c>
      <c r="H773" s="118" t="s">
        <v>237</v>
      </c>
      <c r="I773" s="378">
        <v>233</v>
      </c>
      <c r="J773" s="117"/>
      <c r="K773" s="117"/>
      <c r="L773" t="str">
        <f t="shared" si="177"/>
        <v>9A#4DTR(B)</v>
      </c>
      <c r="M773" t="str">
        <f t="shared" si="187"/>
        <v>(B)</v>
      </c>
      <c r="N773" t="str">
        <f t="shared" si="188"/>
        <v>9A#4DTR</v>
      </c>
      <c r="O773" t="str">
        <f t="shared" si="189"/>
        <v>(B)</v>
      </c>
      <c r="P773" s="113" t="str">
        <f t="shared" si="178"/>
        <v>9A#4DTR(B)</v>
      </c>
      <c r="Q773" s="114">
        <f t="shared" si="179"/>
        <v>233</v>
      </c>
      <c r="R773" s="114">
        <f t="shared" si="180"/>
        <v>232.66666666666666</v>
      </c>
      <c r="S773" s="113">
        <f t="shared" si="181"/>
        <v>232</v>
      </c>
      <c r="T773" s="111" t="e">
        <f t="shared" ca="1" si="182"/>
        <v>#VALUE!</v>
      </c>
      <c r="U773" s="111">
        <f t="shared" si="183"/>
        <v>773</v>
      </c>
      <c r="V773" t="str">
        <f t="array" ref="V773">INDEX(P:P,MAX(U$3:U773))</f>
        <v>9A#4DTR(B)</v>
      </c>
      <c r="W773" t="e">
        <f t="shared" ca="1" si="184"/>
        <v>#VALUE!</v>
      </c>
      <c r="X773" t="str">
        <f t="shared" si="185"/>
        <v/>
      </c>
      <c r="Y773">
        <f t="shared" si="186"/>
        <v>233</v>
      </c>
      <c r="Z773" t="str">
        <f t="shared" si="190"/>
        <v>彰濱</v>
      </c>
    </row>
    <row r="774" spans="1:26" x14ac:dyDescent="0.25">
      <c r="A774" s="118" t="s">
        <v>853</v>
      </c>
      <c r="B774" s="119" t="s">
        <v>876</v>
      </c>
      <c r="C774" s="119">
        <v>187</v>
      </c>
      <c r="D774" s="118" t="s">
        <v>180</v>
      </c>
      <c r="E774" s="118">
        <v>187</v>
      </c>
      <c r="F774" s="118" t="s">
        <v>180</v>
      </c>
      <c r="G774" s="118">
        <v>188</v>
      </c>
      <c r="H774" s="118" t="s">
        <v>180</v>
      </c>
      <c r="I774" s="378">
        <v>188</v>
      </c>
      <c r="J774" s="117">
        <v>0</v>
      </c>
      <c r="K774" s="117" t="s">
        <v>194</v>
      </c>
      <c r="L774" t="str">
        <f t="shared" si="177"/>
        <v>9AE0</v>
      </c>
      <c r="M774" t="str">
        <f t="shared" si="187"/>
        <v/>
      </c>
      <c r="N774" t="str">
        <f t="shared" si="188"/>
        <v/>
      </c>
      <c r="O774" t="str">
        <f t="shared" si="189"/>
        <v/>
      </c>
      <c r="P774" s="113" t="str">
        <f t="shared" si="178"/>
        <v>9AE0</v>
      </c>
      <c r="Q774" s="114">
        <f t="shared" si="179"/>
        <v>188</v>
      </c>
      <c r="R774" s="114">
        <f t="shared" si="180"/>
        <v>187.33333333333334</v>
      </c>
      <c r="S774" s="113">
        <f t="shared" si="181"/>
        <v>187</v>
      </c>
      <c r="T774" s="111" t="e">
        <f t="shared" ca="1" si="182"/>
        <v>#VALUE!</v>
      </c>
      <c r="U774" s="111" t="str">
        <f t="shared" si="183"/>
        <v/>
      </c>
      <c r="V774" t="str">
        <f t="array" ref="V774">INDEX(P:P,MAX(U$3:U774))</f>
        <v>9A#4DTR(B)</v>
      </c>
      <c r="W774" t="str">
        <f t="shared" ca="1" si="184"/>
        <v/>
      </c>
      <c r="X774" t="e">
        <f t="shared" si="185"/>
        <v>#VALUE!</v>
      </c>
      <c r="Y774">
        <f t="shared" si="186"/>
        <v>188</v>
      </c>
      <c r="Z774" t="str">
        <f t="shared" si="190"/>
        <v>彰濱</v>
      </c>
    </row>
    <row r="775" spans="1:26" x14ac:dyDescent="0.25">
      <c r="A775" s="118" t="s">
        <v>853</v>
      </c>
      <c r="B775" s="119" t="s">
        <v>877</v>
      </c>
      <c r="C775" s="119">
        <v>0</v>
      </c>
      <c r="D775" s="118" t="s">
        <v>194</v>
      </c>
      <c r="E775" s="118">
        <v>0</v>
      </c>
      <c r="F775" s="118" t="s">
        <v>194</v>
      </c>
      <c r="G775" s="118">
        <v>0</v>
      </c>
      <c r="H775" s="118" t="s">
        <v>194</v>
      </c>
      <c r="I775" s="378">
        <v>0</v>
      </c>
      <c r="J775" s="117">
        <v>0</v>
      </c>
      <c r="K775" s="117" t="s">
        <v>194</v>
      </c>
      <c r="L775" t="str">
        <f t="shared" si="177"/>
        <v>9A68</v>
      </c>
      <c r="M775" t="str">
        <f t="shared" si="187"/>
        <v/>
      </c>
      <c r="N775" t="str">
        <f t="shared" si="188"/>
        <v/>
      </c>
      <c r="O775" t="str">
        <f t="shared" si="189"/>
        <v/>
      </c>
      <c r="P775" s="113" t="str">
        <f t="shared" si="178"/>
        <v>9A68</v>
      </c>
      <c r="Q775" s="114">
        <f t="shared" si="179"/>
        <v>0</v>
      </c>
      <c r="R775" s="114">
        <f t="shared" si="180"/>
        <v>0</v>
      </c>
      <c r="S775" s="113">
        <f t="shared" si="181"/>
        <v>0</v>
      </c>
      <c r="T775" s="111">
        <f t="shared" ca="1" si="182"/>
        <v>0</v>
      </c>
      <c r="U775" s="111" t="str">
        <f t="shared" si="183"/>
        <v/>
      </c>
      <c r="V775" t="str">
        <f t="array" ref="V775">INDEX(P:P,MAX(U$3:U775))</f>
        <v>9A#4DTR(B)</v>
      </c>
      <c r="W775" t="str">
        <f t="shared" ca="1" si="184"/>
        <v/>
      </c>
      <c r="X775">
        <f t="shared" si="185"/>
        <v>22.8</v>
      </c>
      <c r="Y775">
        <f t="shared" si="186"/>
        <v>0</v>
      </c>
      <c r="Z775" t="str">
        <f t="shared" si="190"/>
        <v>彰濱</v>
      </c>
    </row>
    <row r="776" spans="1:26" x14ac:dyDescent="0.25">
      <c r="A776" s="118" t="s">
        <v>853</v>
      </c>
      <c r="B776" s="119" t="s">
        <v>878</v>
      </c>
      <c r="C776" s="119">
        <v>0</v>
      </c>
      <c r="D776" s="118" t="s">
        <v>194</v>
      </c>
      <c r="E776" s="118">
        <v>0</v>
      </c>
      <c r="F776" s="118" t="s">
        <v>194</v>
      </c>
      <c r="G776" s="118">
        <v>0</v>
      </c>
      <c r="H776" s="118" t="s">
        <v>194</v>
      </c>
      <c r="I776" s="378">
        <v>0</v>
      </c>
      <c r="J776" s="117">
        <v>0</v>
      </c>
      <c r="K776" s="117" t="s">
        <v>194</v>
      </c>
      <c r="L776" t="str">
        <f t="shared" si="177"/>
        <v>9A67</v>
      </c>
      <c r="M776" t="str">
        <f t="shared" si="187"/>
        <v/>
      </c>
      <c r="N776" t="str">
        <f t="shared" si="188"/>
        <v/>
      </c>
      <c r="O776" t="str">
        <f t="shared" si="189"/>
        <v/>
      </c>
      <c r="P776" s="113" t="str">
        <f t="shared" si="178"/>
        <v>9A67</v>
      </c>
      <c r="Q776" s="114">
        <f t="shared" si="179"/>
        <v>0</v>
      </c>
      <c r="R776" s="114">
        <f t="shared" si="180"/>
        <v>0</v>
      </c>
      <c r="S776" s="113">
        <f t="shared" si="181"/>
        <v>0</v>
      </c>
      <c r="T776" s="111">
        <f t="shared" ca="1" si="182"/>
        <v>0</v>
      </c>
      <c r="U776" s="111" t="str">
        <f t="shared" si="183"/>
        <v/>
      </c>
      <c r="V776" t="str">
        <f t="array" ref="V776">INDEX(P:P,MAX(U$3:U776))</f>
        <v>9A#4DTR(B)</v>
      </c>
      <c r="W776" t="str">
        <f t="shared" ca="1" si="184"/>
        <v/>
      </c>
      <c r="X776">
        <f t="shared" si="185"/>
        <v>22.8</v>
      </c>
      <c r="Y776">
        <f t="shared" si="186"/>
        <v>0</v>
      </c>
      <c r="Z776" t="str">
        <f t="shared" si="190"/>
        <v>彰濱</v>
      </c>
    </row>
    <row r="777" spans="1:26" x14ac:dyDescent="0.25">
      <c r="A777" s="118" t="s">
        <v>853</v>
      </c>
      <c r="B777" s="119" t="s">
        <v>879</v>
      </c>
      <c r="C777" s="119">
        <v>258</v>
      </c>
      <c r="D777" s="118" t="s">
        <v>237</v>
      </c>
      <c r="E777" s="118">
        <v>255</v>
      </c>
      <c r="F777" s="118" t="s">
        <v>237</v>
      </c>
      <c r="G777" s="118">
        <v>258</v>
      </c>
      <c r="H777" s="118" t="s">
        <v>237</v>
      </c>
      <c r="I777" s="378">
        <v>258</v>
      </c>
      <c r="J777" s="117">
        <v>0</v>
      </c>
      <c r="K777" s="117" t="s">
        <v>194</v>
      </c>
      <c r="L777" t="str">
        <f t="shared" si="177"/>
        <v>9A59</v>
      </c>
      <c r="M777" t="str">
        <f t="shared" si="187"/>
        <v/>
      </c>
      <c r="N777" t="str">
        <f t="shared" si="188"/>
        <v/>
      </c>
      <c r="O777" t="str">
        <f t="shared" si="189"/>
        <v/>
      </c>
      <c r="P777" s="113" t="str">
        <f t="shared" si="178"/>
        <v>9A59</v>
      </c>
      <c r="Q777" s="114">
        <f t="shared" si="179"/>
        <v>258</v>
      </c>
      <c r="R777" s="114">
        <f t="shared" si="180"/>
        <v>257</v>
      </c>
      <c r="S777" s="113">
        <f t="shared" si="181"/>
        <v>255</v>
      </c>
      <c r="T777" s="111">
        <f t="shared" ca="1" si="182"/>
        <v>10.19</v>
      </c>
      <c r="U777" s="111" t="str">
        <f t="shared" si="183"/>
        <v/>
      </c>
      <c r="V777" t="str">
        <f t="array" ref="V777">INDEX(P:P,MAX(U$3:U777))</f>
        <v>9A#4DTR(B)</v>
      </c>
      <c r="W777" t="str">
        <f t="shared" ca="1" si="184"/>
        <v/>
      </c>
      <c r="X777">
        <f t="shared" si="185"/>
        <v>22.8</v>
      </c>
      <c r="Y777">
        <f t="shared" si="186"/>
        <v>258</v>
      </c>
      <c r="Z777" t="str">
        <f t="shared" si="190"/>
        <v>彰濱</v>
      </c>
    </row>
    <row r="778" spans="1:26" x14ac:dyDescent="0.25">
      <c r="A778" s="118" t="s">
        <v>853</v>
      </c>
      <c r="B778" s="119" t="s">
        <v>880</v>
      </c>
      <c r="C778" s="119">
        <v>11</v>
      </c>
      <c r="D778" s="118" t="s">
        <v>183</v>
      </c>
      <c r="E778" s="118">
        <v>11</v>
      </c>
      <c r="F778" s="118" t="s">
        <v>203</v>
      </c>
      <c r="G778" s="118">
        <v>11</v>
      </c>
      <c r="H778" s="118" t="s">
        <v>203</v>
      </c>
      <c r="I778" s="378">
        <v>11</v>
      </c>
      <c r="J778" s="117">
        <v>0</v>
      </c>
      <c r="K778" s="117" t="s">
        <v>194</v>
      </c>
      <c r="L778" t="str">
        <f t="shared" si="177"/>
        <v>9A58</v>
      </c>
      <c r="M778" t="str">
        <f t="shared" si="187"/>
        <v/>
      </c>
      <c r="N778" t="str">
        <f t="shared" si="188"/>
        <v/>
      </c>
      <c r="O778" t="str">
        <f t="shared" si="189"/>
        <v/>
      </c>
      <c r="P778" s="113" t="str">
        <f t="shared" si="178"/>
        <v>9A58</v>
      </c>
      <c r="Q778" s="114">
        <f t="shared" si="179"/>
        <v>11</v>
      </c>
      <c r="R778" s="114">
        <f t="shared" si="180"/>
        <v>11</v>
      </c>
      <c r="S778" s="113">
        <f t="shared" si="181"/>
        <v>11</v>
      </c>
      <c r="T778" s="111">
        <f t="shared" ca="1" si="182"/>
        <v>0.43</v>
      </c>
      <c r="U778" s="111" t="str">
        <f t="shared" si="183"/>
        <v/>
      </c>
      <c r="V778" t="str">
        <f t="array" ref="V778">INDEX(P:P,MAX(U$3:U778))</f>
        <v>9A#4DTR(B)</v>
      </c>
      <c r="W778" t="str">
        <f t="shared" ca="1" si="184"/>
        <v/>
      </c>
      <c r="X778">
        <f t="shared" si="185"/>
        <v>22.8</v>
      </c>
      <c r="Y778">
        <f t="shared" si="186"/>
        <v>11</v>
      </c>
      <c r="Z778" t="str">
        <f t="shared" si="190"/>
        <v>彰濱</v>
      </c>
    </row>
    <row r="779" spans="1:26" x14ac:dyDescent="0.25">
      <c r="A779" s="118" t="s">
        <v>853</v>
      </c>
      <c r="B779" s="119" t="s">
        <v>881</v>
      </c>
      <c r="C779" s="119">
        <v>85</v>
      </c>
      <c r="D779" s="118" t="s">
        <v>184</v>
      </c>
      <c r="E779" s="118">
        <v>87</v>
      </c>
      <c r="F779" s="118" t="s">
        <v>196</v>
      </c>
      <c r="G779" s="118">
        <v>86</v>
      </c>
      <c r="H779" s="118" t="s">
        <v>184</v>
      </c>
      <c r="I779" s="378">
        <v>87</v>
      </c>
      <c r="J779" s="117">
        <v>0</v>
      </c>
      <c r="K779" s="117" t="s">
        <v>194</v>
      </c>
      <c r="L779" t="str">
        <f t="shared" si="177"/>
        <v>9A57</v>
      </c>
      <c r="M779" t="str">
        <f t="shared" si="187"/>
        <v/>
      </c>
      <c r="N779" t="str">
        <f t="shared" si="188"/>
        <v/>
      </c>
      <c r="O779" t="str">
        <f t="shared" si="189"/>
        <v/>
      </c>
      <c r="P779" s="113" t="str">
        <f t="shared" si="178"/>
        <v>9A57</v>
      </c>
      <c r="Q779" s="114">
        <f t="shared" si="179"/>
        <v>87</v>
      </c>
      <c r="R779" s="114">
        <f t="shared" si="180"/>
        <v>86</v>
      </c>
      <c r="S779" s="113">
        <f t="shared" si="181"/>
        <v>85</v>
      </c>
      <c r="T779" s="111">
        <f t="shared" ca="1" si="182"/>
        <v>3.44</v>
      </c>
      <c r="U779" s="111" t="str">
        <f t="shared" si="183"/>
        <v/>
      </c>
      <c r="V779" t="str">
        <f t="array" ref="V779">INDEX(P:P,MAX(U$3:U779))</f>
        <v>9A#4DTR(B)</v>
      </c>
      <c r="W779" t="str">
        <f t="shared" ca="1" si="184"/>
        <v/>
      </c>
      <c r="X779">
        <f t="shared" si="185"/>
        <v>22.8</v>
      </c>
      <c r="Y779">
        <f t="shared" si="186"/>
        <v>87</v>
      </c>
      <c r="Z779" t="str">
        <f t="shared" si="190"/>
        <v>彰濱</v>
      </c>
    </row>
    <row r="780" spans="1:26" x14ac:dyDescent="0.25">
      <c r="A780" s="118" t="s">
        <v>882</v>
      </c>
      <c r="B780" s="119" t="s">
        <v>369</v>
      </c>
      <c r="C780" s="119">
        <v>55</v>
      </c>
      <c r="D780" s="118" t="s">
        <v>198</v>
      </c>
      <c r="E780" s="118">
        <v>54</v>
      </c>
      <c r="F780" s="118" t="s">
        <v>198</v>
      </c>
      <c r="G780" s="118">
        <v>55</v>
      </c>
      <c r="H780" s="118" t="s">
        <v>198</v>
      </c>
      <c r="I780" s="378">
        <v>55</v>
      </c>
      <c r="J780" s="117"/>
      <c r="K780" s="117"/>
      <c r="L780" t="str">
        <f t="shared" si="177"/>
        <v>9G#3DTR(A)</v>
      </c>
      <c r="M780" t="str">
        <f t="shared" si="187"/>
        <v>(A)</v>
      </c>
      <c r="N780" t="str">
        <f t="shared" si="188"/>
        <v>9G#3DTR</v>
      </c>
      <c r="O780" t="str">
        <f t="shared" si="189"/>
        <v>(A)</v>
      </c>
      <c r="P780" s="113" t="str">
        <f t="shared" si="178"/>
        <v>9G#3DTR(A)</v>
      </c>
      <c r="Q780" s="114">
        <f t="shared" si="179"/>
        <v>55</v>
      </c>
      <c r="R780" s="114">
        <f t="shared" si="180"/>
        <v>54.666666666666664</v>
      </c>
      <c r="S780" s="113">
        <f t="shared" si="181"/>
        <v>54</v>
      </c>
      <c r="T780" s="111" t="e">
        <f t="shared" ca="1" si="182"/>
        <v>#VALUE!</v>
      </c>
      <c r="U780" s="111">
        <f t="shared" si="183"/>
        <v>780</v>
      </c>
      <c r="V780" t="str">
        <f t="array" ref="V780">INDEX(P:P,MAX(U$3:U780))</f>
        <v>9G#3DTR(A)</v>
      </c>
      <c r="W780" t="e">
        <f t="shared" ca="1" si="184"/>
        <v>#VALUE!</v>
      </c>
      <c r="X780" t="str">
        <f t="shared" si="185"/>
        <v/>
      </c>
      <c r="Y780">
        <f t="shared" si="186"/>
        <v>55</v>
      </c>
      <c r="Z780" t="str">
        <f t="shared" si="190"/>
        <v>漢寶</v>
      </c>
    </row>
    <row r="781" spans="1:26" x14ac:dyDescent="0.25">
      <c r="A781" s="118" t="s">
        <v>882</v>
      </c>
      <c r="B781" s="119" t="s">
        <v>883</v>
      </c>
      <c r="C781" s="119">
        <v>17</v>
      </c>
      <c r="D781" s="118" t="s">
        <v>203</v>
      </c>
      <c r="E781" s="118">
        <v>16</v>
      </c>
      <c r="F781" s="118" t="s">
        <v>203</v>
      </c>
      <c r="G781" s="118">
        <v>16</v>
      </c>
      <c r="H781" s="118" t="s">
        <v>203</v>
      </c>
      <c r="I781" s="378">
        <v>17</v>
      </c>
      <c r="J781" s="117">
        <v>0</v>
      </c>
      <c r="K781" s="117" t="s">
        <v>194</v>
      </c>
      <c r="L781" t="str">
        <f t="shared" si="177"/>
        <v>9GE0</v>
      </c>
      <c r="M781" t="str">
        <f t="shared" si="187"/>
        <v/>
      </c>
      <c r="N781" t="str">
        <f t="shared" si="188"/>
        <v/>
      </c>
      <c r="O781" t="str">
        <f t="shared" si="189"/>
        <v/>
      </c>
      <c r="P781" s="113" t="str">
        <f t="shared" si="178"/>
        <v>9GE0</v>
      </c>
      <c r="Q781" s="114">
        <f t="shared" si="179"/>
        <v>17</v>
      </c>
      <c r="R781" s="114">
        <f t="shared" si="180"/>
        <v>16.333333333333332</v>
      </c>
      <c r="S781" s="113">
        <f t="shared" si="181"/>
        <v>16</v>
      </c>
      <c r="T781" s="111" t="e">
        <f t="shared" ca="1" si="182"/>
        <v>#VALUE!</v>
      </c>
      <c r="U781" s="111" t="str">
        <f t="shared" si="183"/>
        <v/>
      </c>
      <c r="V781" t="str">
        <f t="array" ref="V781">INDEX(P:P,MAX(U$3:U781))</f>
        <v>9G#3DTR(A)</v>
      </c>
      <c r="W781" t="str">
        <f t="shared" ca="1" si="184"/>
        <v/>
      </c>
      <c r="X781" t="e">
        <f t="shared" si="185"/>
        <v>#VALUE!</v>
      </c>
      <c r="Y781">
        <f t="shared" si="186"/>
        <v>17</v>
      </c>
      <c r="Z781" t="str">
        <f t="shared" si="190"/>
        <v>漢寶</v>
      </c>
    </row>
    <row r="782" spans="1:26" x14ac:dyDescent="0.25">
      <c r="A782" s="118" t="s">
        <v>882</v>
      </c>
      <c r="B782" s="119" t="s">
        <v>884</v>
      </c>
      <c r="C782" s="119">
        <v>39</v>
      </c>
      <c r="D782" s="118" t="s">
        <v>198</v>
      </c>
      <c r="E782" s="118">
        <v>39</v>
      </c>
      <c r="F782" s="118" t="s">
        <v>198</v>
      </c>
      <c r="G782" s="118">
        <v>39</v>
      </c>
      <c r="H782" s="118" t="s">
        <v>198</v>
      </c>
      <c r="I782" s="378">
        <v>39</v>
      </c>
      <c r="J782" s="117">
        <v>0</v>
      </c>
      <c r="K782" s="117" t="s">
        <v>194</v>
      </c>
      <c r="L782" t="str">
        <f t="shared" si="177"/>
        <v>9GE1</v>
      </c>
      <c r="M782" t="str">
        <f t="shared" si="187"/>
        <v/>
      </c>
      <c r="N782" t="str">
        <f t="shared" si="188"/>
        <v/>
      </c>
      <c r="O782" t="str">
        <f t="shared" si="189"/>
        <v/>
      </c>
      <c r="P782" s="113" t="str">
        <f t="shared" si="178"/>
        <v>9GE1</v>
      </c>
      <c r="Q782" s="114">
        <f t="shared" si="179"/>
        <v>39</v>
      </c>
      <c r="R782" s="114">
        <f t="shared" si="180"/>
        <v>39</v>
      </c>
      <c r="S782" s="113">
        <f t="shared" si="181"/>
        <v>39</v>
      </c>
      <c r="T782" s="111" t="e">
        <f t="shared" ca="1" si="182"/>
        <v>#VALUE!</v>
      </c>
      <c r="U782" s="111" t="str">
        <f t="shared" si="183"/>
        <v/>
      </c>
      <c r="V782" t="str">
        <f t="array" ref="V782">INDEX(P:P,MAX(U$3:U782))</f>
        <v>9G#3DTR(A)</v>
      </c>
      <c r="W782" t="str">
        <f t="shared" ca="1" si="184"/>
        <v/>
      </c>
      <c r="X782" t="e">
        <f t="shared" si="185"/>
        <v>#VALUE!</v>
      </c>
      <c r="Y782">
        <f t="shared" si="186"/>
        <v>39</v>
      </c>
      <c r="Z782" t="str">
        <f t="shared" si="190"/>
        <v>漢寶</v>
      </c>
    </row>
    <row r="783" spans="1:26" x14ac:dyDescent="0.25">
      <c r="A783" s="118" t="s">
        <v>882</v>
      </c>
      <c r="B783" s="119" t="s">
        <v>885</v>
      </c>
      <c r="C783" s="119">
        <v>0</v>
      </c>
      <c r="D783" s="118" t="s">
        <v>194</v>
      </c>
      <c r="E783" s="118">
        <v>0</v>
      </c>
      <c r="F783" s="118" t="s">
        <v>194</v>
      </c>
      <c r="G783" s="118">
        <v>0</v>
      </c>
      <c r="H783" s="118" t="s">
        <v>194</v>
      </c>
      <c r="I783" s="378">
        <v>0</v>
      </c>
      <c r="J783" s="117">
        <v>0</v>
      </c>
      <c r="K783" s="117" t="s">
        <v>194</v>
      </c>
      <c r="L783" t="str">
        <f t="shared" si="177"/>
        <v>9GE2</v>
      </c>
      <c r="M783" t="str">
        <f t="shared" si="187"/>
        <v/>
      </c>
      <c r="N783" t="str">
        <f t="shared" si="188"/>
        <v/>
      </c>
      <c r="O783" t="str">
        <f t="shared" si="189"/>
        <v/>
      </c>
      <c r="P783" s="113" t="str">
        <f t="shared" si="178"/>
        <v>9GE2</v>
      </c>
      <c r="Q783" s="114">
        <f t="shared" si="179"/>
        <v>0</v>
      </c>
      <c r="R783" s="114">
        <f t="shared" si="180"/>
        <v>0</v>
      </c>
      <c r="S783" s="113">
        <f t="shared" si="181"/>
        <v>0</v>
      </c>
      <c r="T783" s="111" t="e">
        <f t="shared" ca="1" si="182"/>
        <v>#VALUE!</v>
      </c>
      <c r="U783" s="111" t="str">
        <f t="shared" si="183"/>
        <v/>
      </c>
      <c r="V783" t="str">
        <f t="array" ref="V783">INDEX(P:P,MAX(U$3:U783))</f>
        <v>9G#3DTR(A)</v>
      </c>
      <c r="W783" t="str">
        <f t="shared" ca="1" si="184"/>
        <v/>
      </c>
      <c r="X783" t="e">
        <f t="shared" si="185"/>
        <v>#VALUE!</v>
      </c>
      <c r="Y783">
        <f t="shared" si="186"/>
        <v>0</v>
      </c>
      <c r="Z783" t="str">
        <f t="shared" si="190"/>
        <v>漢寶</v>
      </c>
    </row>
    <row r="784" spans="1:26" x14ac:dyDescent="0.25">
      <c r="A784" s="118" t="s">
        <v>882</v>
      </c>
      <c r="B784" s="119" t="s">
        <v>886</v>
      </c>
      <c r="C784" s="119">
        <v>0</v>
      </c>
      <c r="D784" s="118" t="s">
        <v>194</v>
      </c>
      <c r="E784" s="118">
        <v>0</v>
      </c>
      <c r="F784" s="118" t="s">
        <v>194</v>
      </c>
      <c r="G784" s="118">
        <v>0</v>
      </c>
      <c r="H784" s="118" t="s">
        <v>194</v>
      </c>
      <c r="I784" s="378">
        <v>0</v>
      </c>
      <c r="J784" s="117">
        <v>0</v>
      </c>
      <c r="K784" s="117" t="s">
        <v>194</v>
      </c>
      <c r="L784" t="str">
        <f t="shared" si="177"/>
        <v>9GE3</v>
      </c>
      <c r="M784" t="str">
        <f t="shared" si="187"/>
        <v/>
      </c>
      <c r="N784" t="str">
        <f t="shared" si="188"/>
        <v/>
      </c>
      <c r="O784" t="str">
        <f t="shared" si="189"/>
        <v/>
      </c>
      <c r="P784" s="113" t="str">
        <f t="shared" si="178"/>
        <v>9GE3</v>
      </c>
      <c r="Q784" s="114">
        <f t="shared" si="179"/>
        <v>0</v>
      </c>
      <c r="R784" s="114">
        <f t="shared" si="180"/>
        <v>0</v>
      </c>
      <c r="S784" s="113">
        <f t="shared" si="181"/>
        <v>0</v>
      </c>
      <c r="T784" s="111" t="e">
        <f t="shared" ca="1" si="182"/>
        <v>#VALUE!</v>
      </c>
      <c r="U784" s="111" t="str">
        <f t="shared" si="183"/>
        <v/>
      </c>
      <c r="V784" t="str">
        <f t="array" ref="V784">INDEX(P:P,MAX(U$3:U784))</f>
        <v>9G#3DTR(A)</v>
      </c>
      <c r="W784" t="str">
        <f t="shared" ca="1" si="184"/>
        <v/>
      </c>
      <c r="X784" t="e">
        <f t="shared" si="185"/>
        <v>#VALUE!</v>
      </c>
      <c r="Y784">
        <f t="shared" si="186"/>
        <v>0</v>
      </c>
      <c r="Z784" t="str">
        <f t="shared" si="190"/>
        <v>漢寶</v>
      </c>
    </row>
    <row r="785" spans="1:26" x14ac:dyDescent="0.25">
      <c r="A785" s="118" t="s">
        <v>882</v>
      </c>
      <c r="B785" s="119" t="s">
        <v>373</v>
      </c>
      <c r="C785" s="119">
        <v>61</v>
      </c>
      <c r="D785" s="118" t="s">
        <v>198</v>
      </c>
      <c r="E785" s="118">
        <v>61</v>
      </c>
      <c r="F785" s="118" t="s">
        <v>198</v>
      </c>
      <c r="G785" s="118">
        <v>61</v>
      </c>
      <c r="H785" s="118" t="s">
        <v>198</v>
      </c>
      <c r="I785" s="378">
        <v>61</v>
      </c>
      <c r="J785" s="117"/>
      <c r="K785" s="117"/>
      <c r="L785" t="str">
        <f t="shared" si="177"/>
        <v>9G#3DTR(B)</v>
      </c>
      <c r="M785" t="str">
        <f t="shared" si="187"/>
        <v>(B)</v>
      </c>
      <c r="N785" t="str">
        <f t="shared" si="188"/>
        <v>9G#3DTR</v>
      </c>
      <c r="O785" t="str">
        <f t="shared" si="189"/>
        <v>(B)</v>
      </c>
      <c r="P785" s="113" t="str">
        <f t="shared" si="178"/>
        <v>9G#3DTR(B)</v>
      </c>
      <c r="Q785" s="114">
        <f t="shared" si="179"/>
        <v>61</v>
      </c>
      <c r="R785" s="114">
        <f t="shared" si="180"/>
        <v>61</v>
      </c>
      <c r="S785" s="113">
        <f t="shared" si="181"/>
        <v>61</v>
      </c>
      <c r="T785" s="111" t="e">
        <f t="shared" ca="1" si="182"/>
        <v>#VALUE!</v>
      </c>
      <c r="U785" s="111">
        <f t="shared" si="183"/>
        <v>785</v>
      </c>
      <c r="V785" t="str">
        <f t="array" ref="V785">INDEX(P:P,MAX(U$3:U785))</f>
        <v>9G#3DTR(B)</v>
      </c>
      <c r="W785" t="e">
        <f t="shared" ca="1" si="184"/>
        <v>#VALUE!</v>
      </c>
      <c r="X785" t="str">
        <f t="shared" si="185"/>
        <v/>
      </c>
      <c r="Y785">
        <f t="shared" si="186"/>
        <v>61</v>
      </c>
      <c r="Z785" t="str">
        <f t="shared" si="190"/>
        <v>漢寶</v>
      </c>
    </row>
    <row r="786" spans="1:26" x14ac:dyDescent="0.25">
      <c r="A786" s="118" t="s">
        <v>882</v>
      </c>
      <c r="B786" s="119" t="s">
        <v>887</v>
      </c>
      <c r="C786" s="119">
        <v>40</v>
      </c>
      <c r="D786" s="118" t="s">
        <v>198</v>
      </c>
      <c r="E786" s="118">
        <v>41</v>
      </c>
      <c r="F786" s="118" t="s">
        <v>198</v>
      </c>
      <c r="G786" s="118">
        <v>41</v>
      </c>
      <c r="H786" s="118" t="s">
        <v>198</v>
      </c>
      <c r="I786" s="378">
        <v>41</v>
      </c>
      <c r="J786" s="117">
        <v>3</v>
      </c>
      <c r="K786" s="117" t="s">
        <v>183</v>
      </c>
      <c r="L786" t="str">
        <f t="shared" si="177"/>
        <v>9GE4</v>
      </c>
      <c r="M786" t="str">
        <f t="shared" si="187"/>
        <v/>
      </c>
      <c r="N786" t="str">
        <f t="shared" si="188"/>
        <v/>
      </c>
      <c r="O786" t="str">
        <f t="shared" si="189"/>
        <v/>
      </c>
      <c r="P786" s="113" t="str">
        <f t="shared" si="178"/>
        <v>9GE4</v>
      </c>
      <c r="Q786" s="114">
        <f t="shared" si="179"/>
        <v>41</v>
      </c>
      <c r="R786" s="114">
        <f t="shared" si="180"/>
        <v>40.666666666666664</v>
      </c>
      <c r="S786" s="113">
        <f t="shared" si="181"/>
        <v>40</v>
      </c>
      <c r="T786" s="111" t="e">
        <f t="shared" ca="1" si="182"/>
        <v>#VALUE!</v>
      </c>
      <c r="U786" s="111" t="str">
        <f t="shared" si="183"/>
        <v/>
      </c>
      <c r="V786" t="str">
        <f t="array" ref="V786">INDEX(P:P,MAX(U$3:U786))</f>
        <v>9G#3DTR(B)</v>
      </c>
      <c r="W786" t="str">
        <f t="shared" ca="1" si="184"/>
        <v/>
      </c>
      <c r="X786" t="e">
        <f t="shared" si="185"/>
        <v>#VALUE!</v>
      </c>
      <c r="Y786">
        <f t="shared" si="186"/>
        <v>41</v>
      </c>
      <c r="Z786" t="str">
        <f t="shared" si="190"/>
        <v>漢寶</v>
      </c>
    </row>
    <row r="787" spans="1:26" x14ac:dyDescent="0.25">
      <c r="A787" s="118" t="s">
        <v>882</v>
      </c>
      <c r="B787" s="119" t="s">
        <v>888</v>
      </c>
      <c r="C787" s="119">
        <v>26</v>
      </c>
      <c r="D787" s="118" t="s">
        <v>183</v>
      </c>
      <c r="E787" s="118">
        <v>23</v>
      </c>
      <c r="F787" s="118" t="s">
        <v>183</v>
      </c>
      <c r="G787" s="118">
        <v>23</v>
      </c>
      <c r="H787" s="118" t="s">
        <v>183</v>
      </c>
      <c r="I787" s="378">
        <v>26</v>
      </c>
      <c r="J787" s="117">
        <v>0</v>
      </c>
      <c r="K787" s="117" t="s">
        <v>194</v>
      </c>
      <c r="L787" t="str">
        <f t="shared" si="177"/>
        <v>9GE5</v>
      </c>
      <c r="M787" t="str">
        <f t="shared" si="187"/>
        <v/>
      </c>
      <c r="N787" t="str">
        <f t="shared" si="188"/>
        <v/>
      </c>
      <c r="O787" t="str">
        <f t="shared" si="189"/>
        <v/>
      </c>
      <c r="P787" s="113" t="str">
        <f t="shared" si="178"/>
        <v>9GE5</v>
      </c>
      <c r="Q787" s="114">
        <f t="shared" si="179"/>
        <v>26</v>
      </c>
      <c r="R787" s="114">
        <f t="shared" si="180"/>
        <v>24</v>
      </c>
      <c r="S787" s="113">
        <f t="shared" si="181"/>
        <v>23</v>
      </c>
      <c r="T787" s="111" t="e">
        <f t="shared" ca="1" si="182"/>
        <v>#VALUE!</v>
      </c>
      <c r="U787" s="111" t="str">
        <f t="shared" si="183"/>
        <v/>
      </c>
      <c r="V787" t="str">
        <f t="array" ref="V787">INDEX(P:P,MAX(U$3:U787))</f>
        <v>9G#3DTR(B)</v>
      </c>
      <c r="W787" t="str">
        <f t="shared" ca="1" si="184"/>
        <v/>
      </c>
      <c r="X787" t="e">
        <f t="shared" si="185"/>
        <v>#VALUE!</v>
      </c>
      <c r="Y787">
        <f t="shared" si="186"/>
        <v>26</v>
      </c>
      <c r="Z787" t="str">
        <f t="shared" si="190"/>
        <v>漢寶</v>
      </c>
    </row>
    <row r="788" spans="1:26" x14ac:dyDescent="0.25">
      <c r="A788" s="118" t="s">
        <v>882</v>
      </c>
      <c r="B788" s="119" t="s">
        <v>889</v>
      </c>
      <c r="C788" s="119">
        <v>0</v>
      </c>
      <c r="D788" s="118" t="s">
        <v>194</v>
      </c>
      <c r="E788" s="118">
        <v>0</v>
      </c>
      <c r="F788" s="118" t="s">
        <v>194</v>
      </c>
      <c r="G788" s="118">
        <v>0</v>
      </c>
      <c r="H788" s="118" t="s">
        <v>194</v>
      </c>
      <c r="I788" s="378">
        <v>0</v>
      </c>
      <c r="J788" s="117">
        <v>0</v>
      </c>
      <c r="K788" s="117" t="s">
        <v>194</v>
      </c>
      <c r="L788" t="str">
        <f t="shared" si="177"/>
        <v>9GE6</v>
      </c>
      <c r="M788" t="str">
        <f t="shared" si="187"/>
        <v/>
      </c>
      <c r="N788" t="str">
        <f t="shared" si="188"/>
        <v/>
      </c>
      <c r="O788" t="str">
        <f t="shared" si="189"/>
        <v/>
      </c>
      <c r="P788" s="113" t="str">
        <f t="shared" si="178"/>
        <v>9GE6</v>
      </c>
      <c r="Q788" s="114">
        <f t="shared" si="179"/>
        <v>0</v>
      </c>
      <c r="R788" s="114">
        <f t="shared" si="180"/>
        <v>0</v>
      </c>
      <c r="S788" s="113">
        <f t="shared" si="181"/>
        <v>0</v>
      </c>
      <c r="T788" s="111" t="e">
        <f t="shared" ca="1" si="182"/>
        <v>#VALUE!</v>
      </c>
      <c r="U788" s="111" t="str">
        <f t="shared" si="183"/>
        <v/>
      </c>
      <c r="V788" t="str">
        <f t="array" ref="V788">INDEX(P:P,MAX(U$3:U788))</f>
        <v>9G#3DTR(B)</v>
      </c>
      <c r="W788" t="str">
        <f t="shared" ca="1" si="184"/>
        <v/>
      </c>
      <c r="X788" t="e">
        <f t="shared" si="185"/>
        <v>#VALUE!</v>
      </c>
      <c r="Y788">
        <f t="shared" si="186"/>
        <v>0</v>
      </c>
      <c r="Z788" t="str">
        <f t="shared" si="190"/>
        <v>漢寶</v>
      </c>
    </row>
    <row r="789" spans="1:26" x14ac:dyDescent="0.25">
      <c r="A789" s="118" t="s">
        <v>882</v>
      </c>
      <c r="B789" s="119" t="s">
        <v>890</v>
      </c>
      <c r="C789" s="119">
        <v>0</v>
      </c>
      <c r="D789" s="118" t="s">
        <v>194</v>
      </c>
      <c r="E789" s="118">
        <v>0</v>
      </c>
      <c r="F789" s="118" t="s">
        <v>194</v>
      </c>
      <c r="G789" s="118">
        <v>0</v>
      </c>
      <c r="H789" s="118" t="s">
        <v>194</v>
      </c>
      <c r="I789" s="378">
        <v>0</v>
      </c>
      <c r="J789" s="117">
        <v>0</v>
      </c>
      <c r="K789" s="117" t="s">
        <v>194</v>
      </c>
      <c r="L789" t="str">
        <f t="shared" si="177"/>
        <v>9GE7</v>
      </c>
      <c r="M789" t="str">
        <f t="shared" si="187"/>
        <v/>
      </c>
      <c r="N789" t="str">
        <f t="shared" si="188"/>
        <v/>
      </c>
      <c r="O789" t="str">
        <f t="shared" si="189"/>
        <v/>
      </c>
      <c r="P789" s="113" t="str">
        <f t="shared" si="178"/>
        <v>9GE7</v>
      </c>
      <c r="Q789" s="114">
        <f t="shared" si="179"/>
        <v>0</v>
      </c>
      <c r="R789" s="114">
        <f t="shared" si="180"/>
        <v>0</v>
      </c>
      <c r="S789" s="113">
        <f t="shared" si="181"/>
        <v>0</v>
      </c>
      <c r="T789" s="111" t="e">
        <f t="shared" ca="1" si="182"/>
        <v>#VALUE!</v>
      </c>
      <c r="U789" s="111" t="str">
        <f t="shared" si="183"/>
        <v/>
      </c>
      <c r="V789" t="str">
        <f t="array" ref="V789">INDEX(P:P,MAX(U$3:U789))</f>
        <v>9G#3DTR(B)</v>
      </c>
      <c r="W789" t="str">
        <f t="shared" ca="1" si="184"/>
        <v/>
      </c>
      <c r="X789" t="e">
        <f t="shared" si="185"/>
        <v>#VALUE!</v>
      </c>
      <c r="Y789">
        <f t="shared" si="186"/>
        <v>0</v>
      </c>
      <c r="Z789" t="str">
        <f t="shared" si="190"/>
        <v>漢寶</v>
      </c>
    </row>
    <row r="790" spans="1:26" x14ac:dyDescent="0.25">
      <c r="A790" s="118" t="s">
        <v>882</v>
      </c>
      <c r="B790" s="119" t="s">
        <v>254</v>
      </c>
      <c r="C790" s="119">
        <v>390</v>
      </c>
      <c r="D790" s="118" t="s">
        <v>176</v>
      </c>
      <c r="E790" s="118">
        <v>379</v>
      </c>
      <c r="F790" s="118" t="s">
        <v>176</v>
      </c>
      <c r="G790" s="118">
        <v>445</v>
      </c>
      <c r="H790" s="118" t="s">
        <v>177</v>
      </c>
      <c r="I790" s="378">
        <v>445</v>
      </c>
      <c r="J790" s="117"/>
      <c r="K790" s="117"/>
      <c r="L790" t="str">
        <f t="shared" si="177"/>
        <v>9G#1DTR(A)</v>
      </c>
      <c r="M790" t="str">
        <f t="shared" si="187"/>
        <v>(A)</v>
      </c>
      <c r="N790" t="str">
        <f t="shared" si="188"/>
        <v>9G#1DTR</v>
      </c>
      <c r="O790" t="str">
        <f t="shared" si="189"/>
        <v>(A)</v>
      </c>
      <c r="P790" s="113" t="str">
        <f t="shared" si="178"/>
        <v>9G#1DTR(A)</v>
      </c>
      <c r="Q790" s="114">
        <f t="shared" si="179"/>
        <v>445</v>
      </c>
      <c r="R790" s="114">
        <f t="shared" si="180"/>
        <v>404.66666666666669</v>
      </c>
      <c r="S790" s="113">
        <f t="shared" si="181"/>
        <v>379</v>
      </c>
      <c r="T790" s="111">
        <f t="shared" ca="1" si="182"/>
        <v>8.7899999999999991</v>
      </c>
      <c r="U790" s="111">
        <f t="shared" si="183"/>
        <v>790</v>
      </c>
      <c r="V790" t="str">
        <f t="array" ref="V790">INDEX(P:P,MAX(U$3:U790))</f>
        <v>9G#1DTR(A)</v>
      </c>
      <c r="W790">
        <f t="shared" ca="1" si="184"/>
        <v>30</v>
      </c>
      <c r="X790" t="str">
        <f t="shared" si="185"/>
        <v/>
      </c>
      <c r="Y790">
        <f t="shared" si="186"/>
        <v>445</v>
      </c>
      <c r="Z790" t="str">
        <f t="shared" si="190"/>
        <v>漢寶</v>
      </c>
    </row>
    <row r="791" spans="1:26" x14ac:dyDescent="0.25">
      <c r="A791" s="118" t="s">
        <v>882</v>
      </c>
      <c r="B791" s="119" t="s">
        <v>891</v>
      </c>
      <c r="C791" s="119">
        <v>114</v>
      </c>
      <c r="D791" s="118" t="s">
        <v>183</v>
      </c>
      <c r="E791" s="118">
        <v>128</v>
      </c>
      <c r="F791" s="118" t="s">
        <v>183</v>
      </c>
      <c r="G791" s="118">
        <v>105</v>
      </c>
      <c r="H791" s="118" t="s">
        <v>183</v>
      </c>
      <c r="I791" s="378">
        <v>128</v>
      </c>
      <c r="J791" s="117">
        <v>54</v>
      </c>
      <c r="K791" s="117" t="s">
        <v>207</v>
      </c>
      <c r="L791" t="str">
        <f t="shared" si="177"/>
        <v>9G20</v>
      </c>
      <c r="M791" t="str">
        <f t="shared" si="187"/>
        <v/>
      </c>
      <c r="N791" t="str">
        <f t="shared" si="188"/>
        <v/>
      </c>
      <c r="O791" t="str">
        <f t="shared" si="189"/>
        <v/>
      </c>
      <c r="P791" s="113" t="str">
        <f t="shared" si="178"/>
        <v>9G20</v>
      </c>
      <c r="Q791" s="114">
        <f t="shared" si="179"/>
        <v>128</v>
      </c>
      <c r="R791" s="114">
        <f t="shared" si="180"/>
        <v>115.66666666666667</v>
      </c>
      <c r="S791" s="113">
        <f t="shared" si="181"/>
        <v>105</v>
      </c>
      <c r="T791" s="111">
        <f t="shared" ca="1" si="182"/>
        <v>2.5299999999999998</v>
      </c>
      <c r="U791" s="111" t="str">
        <f t="shared" si="183"/>
        <v/>
      </c>
      <c r="V791" t="str">
        <f t="array" ref="V791">INDEX(P:P,MAX(U$3:U791))</f>
        <v>9G#1DTR(A)</v>
      </c>
      <c r="W791" t="str">
        <f t="shared" ca="1" si="184"/>
        <v/>
      </c>
      <c r="X791">
        <f t="shared" si="185"/>
        <v>11.4</v>
      </c>
      <c r="Y791">
        <f t="shared" si="186"/>
        <v>128</v>
      </c>
      <c r="Z791" t="str">
        <f t="shared" si="190"/>
        <v>漢寶</v>
      </c>
    </row>
    <row r="792" spans="1:26" x14ac:dyDescent="0.25">
      <c r="A792" s="118" t="s">
        <v>882</v>
      </c>
      <c r="B792" s="119" t="s">
        <v>892</v>
      </c>
      <c r="C792" s="119">
        <v>45</v>
      </c>
      <c r="D792" s="118" t="s">
        <v>207</v>
      </c>
      <c r="E792" s="118">
        <v>55</v>
      </c>
      <c r="F792" s="118" t="s">
        <v>207</v>
      </c>
      <c r="G792" s="118">
        <v>37</v>
      </c>
      <c r="H792" s="118" t="s">
        <v>207</v>
      </c>
      <c r="I792" s="378">
        <v>55</v>
      </c>
      <c r="J792" s="117">
        <v>27</v>
      </c>
      <c r="K792" s="117" t="s">
        <v>192</v>
      </c>
      <c r="L792" t="str">
        <f t="shared" si="177"/>
        <v>9G21</v>
      </c>
      <c r="M792" t="str">
        <f t="shared" si="187"/>
        <v/>
      </c>
      <c r="N792" t="str">
        <f t="shared" si="188"/>
        <v/>
      </c>
      <c r="O792" t="str">
        <f t="shared" si="189"/>
        <v/>
      </c>
      <c r="P792" s="113" t="str">
        <f t="shared" si="178"/>
        <v>9G21</v>
      </c>
      <c r="Q792" s="114">
        <f t="shared" si="179"/>
        <v>55</v>
      </c>
      <c r="R792" s="114">
        <f t="shared" si="180"/>
        <v>45.666666666666664</v>
      </c>
      <c r="S792" s="113">
        <f t="shared" si="181"/>
        <v>37</v>
      </c>
      <c r="T792" s="111">
        <f t="shared" ca="1" si="182"/>
        <v>1.0900000000000001</v>
      </c>
      <c r="U792" s="111" t="str">
        <f t="shared" si="183"/>
        <v/>
      </c>
      <c r="V792" t="str">
        <f t="array" ref="V792">INDEX(P:P,MAX(U$3:U792))</f>
        <v>9G#1DTR(A)</v>
      </c>
      <c r="W792" t="str">
        <f t="shared" ca="1" si="184"/>
        <v/>
      </c>
      <c r="X792">
        <f t="shared" si="185"/>
        <v>11.4</v>
      </c>
      <c r="Y792">
        <f t="shared" si="186"/>
        <v>55</v>
      </c>
      <c r="Z792" t="str">
        <f t="shared" si="190"/>
        <v>漢寶</v>
      </c>
    </row>
    <row r="793" spans="1:26" x14ac:dyDescent="0.25">
      <c r="A793" s="118" t="s">
        <v>882</v>
      </c>
      <c r="B793" s="119" t="s">
        <v>893</v>
      </c>
      <c r="C793" s="119">
        <v>133</v>
      </c>
      <c r="D793" s="118" t="s">
        <v>177</v>
      </c>
      <c r="E793" s="118">
        <v>120</v>
      </c>
      <c r="F793" s="118" t="s">
        <v>177</v>
      </c>
      <c r="G793" s="118">
        <v>167</v>
      </c>
      <c r="H793" s="118" t="s">
        <v>177</v>
      </c>
      <c r="I793" s="378">
        <v>167</v>
      </c>
      <c r="J793" s="117">
        <v>53</v>
      </c>
      <c r="K793" s="117" t="s">
        <v>211</v>
      </c>
      <c r="L793" t="str">
        <f t="shared" si="177"/>
        <v>9G22</v>
      </c>
      <c r="M793" t="str">
        <f t="shared" si="187"/>
        <v/>
      </c>
      <c r="N793" t="str">
        <f t="shared" si="188"/>
        <v/>
      </c>
      <c r="O793" t="str">
        <f t="shared" si="189"/>
        <v/>
      </c>
      <c r="P793" s="113" t="str">
        <f t="shared" si="178"/>
        <v>9G22</v>
      </c>
      <c r="Q793" s="114">
        <f t="shared" si="179"/>
        <v>167</v>
      </c>
      <c r="R793" s="114">
        <f t="shared" si="180"/>
        <v>140</v>
      </c>
      <c r="S793" s="113">
        <f t="shared" si="181"/>
        <v>120</v>
      </c>
      <c r="T793" s="111">
        <f t="shared" ca="1" si="182"/>
        <v>3.3</v>
      </c>
      <c r="U793" s="111" t="str">
        <f t="shared" si="183"/>
        <v/>
      </c>
      <c r="V793" t="str">
        <f t="array" ref="V793">INDEX(P:P,MAX(U$3:U793))</f>
        <v>9G#1DTR(A)</v>
      </c>
      <c r="W793" t="str">
        <f t="shared" ca="1" si="184"/>
        <v/>
      </c>
      <c r="X793">
        <f t="shared" si="185"/>
        <v>11.4</v>
      </c>
      <c r="Y793">
        <f t="shared" si="186"/>
        <v>167</v>
      </c>
      <c r="Z793" t="str">
        <f t="shared" si="190"/>
        <v>漢寶</v>
      </c>
    </row>
    <row r="794" spans="1:26" x14ac:dyDescent="0.25">
      <c r="A794" s="118" t="s">
        <v>882</v>
      </c>
      <c r="B794" s="119" t="s">
        <v>894</v>
      </c>
      <c r="C794" s="119">
        <v>181</v>
      </c>
      <c r="D794" s="118" t="s">
        <v>176</v>
      </c>
      <c r="E794" s="118">
        <v>201</v>
      </c>
      <c r="F794" s="118" t="s">
        <v>176</v>
      </c>
      <c r="G794" s="118">
        <v>192</v>
      </c>
      <c r="H794" s="118" t="s">
        <v>177</v>
      </c>
      <c r="I794" s="378">
        <v>201</v>
      </c>
      <c r="J794" s="117">
        <v>44</v>
      </c>
      <c r="K794" s="117" t="s">
        <v>205</v>
      </c>
      <c r="L794" t="str">
        <f t="shared" si="177"/>
        <v>9G23</v>
      </c>
      <c r="M794" t="str">
        <f t="shared" si="187"/>
        <v/>
      </c>
      <c r="N794" t="str">
        <f t="shared" si="188"/>
        <v/>
      </c>
      <c r="O794" t="str">
        <f t="shared" si="189"/>
        <v/>
      </c>
      <c r="P794" s="113" t="str">
        <f t="shared" si="178"/>
        <v>9G23</v>
      </c>
      <c r="Q794" s="114">
        <f t="shared" si="179"/>
        <v>201</v>
      </c>
      <c r="R794" s="114">
        <f t="shared" si="180"/>
        <v>191.33333333333334</v>
      </c>
      <c r="S794" s="113">
        <f t="shared" si="181"/>
        <v>181</v>
      </c>
      <c r="T794" s="111">
        <f t="shared" ca="1" si="182"/>
        <v>3.97</v>
      </c>
      <c r="U794" s="111" t="str">
        <f t="shared" si="183"/>
        <v/>
      </c>
      <c r="V794" t="str">
        <f t="array" ref="V794">INDEX(P:P,MAX(U$3:U794))</f>
        <v>9G#1DTR(A)</v>
      </c>
      <c r="W794" t="str">
        <f t="shared" ca="1" si="184"/>
        <v/>
      </c>
      <c r="X794">
        <f t="shared" si="185"/>
        <v>11.4</v>
      </c>
      <c r="Y794">
        <f t="shared" si="186"/>
        <v>201</v>
      </c>
      <c r="Z794" t="str">
        <f t="shared" si="190"/>
        <v>漢寶</v>
      </c>
    </row>
    <row r="795" spans="1:26" x14ac:dyDescent="0.25">
      <c r="A795" s="118" t="s">
        <v>882</v>
      </c>
      <c r="B795" s="119" t="s">
        <v>895</v>
      </c>
      <c r="C795" s="119">
        <v>0</v>
      </c>
      <c r="D795" s="118" t="s">
        <v>194</v>
      </c>
      <c r="E795" s="118">
        <v>0</v>
      </c>
      <c r="F795" s="118" t="s">
        <v>194</v>
      </c>
      <c r="G795" s="118">
        <v>0</v>
      </c>
      <c r="H795" s="118" t="s">
        <v>194</v>
      </c>
      <c r="I795" s="378">
        <v>0</v>
      </c>
      <c r="J795" s="117">
        <v>0</v>
      </c>
      <c r="K795" s="117" t="s">
        <v>194</v>
      </c>
      <c r="L795" t="str">
        <f t="shared" si="177"/>
        <v>9G24</v>
      </c>
      <c r="M795" t="str">
        <f t="shared" si="187"/>
        <v/>
      </c>
      <c r="N795" t="str">
        <f t="shared" si="188"/>
        <v/>
      </c>
      <c r="O795" t="str">
        <f t="shared" si="189"/>
        <v/>
      </c>
      <c r="P795" s="113" t="str">
        <f t="shared" si="178"/>
        <v>9G24</v>
      </c>
      <c r="Q795" s="114">
        <f t="shared" si="179"/>
        <v>0</v>
      </c>
      <c r="R795" s="114">
        <f t="shared" si="180"/>
        <v>0</v>
      </c>
      <c r="S795" s="113">
        <f t="shared" si="181"/>
        <v>0</v>
      </c>
      <c r="T795" s="111">
        <f t="shared" ca="1" si="182"/>
        <v>0</v>
      </c>
      <c r="U795" s="111" t="str">
        <f t="shared" si="183"/>
        <v/>
      </c>
      <c r="V795" t="str">
        <f t="array" ref="V795">INDEX(P:P,MAX(U$3:U795))</f>
        <v>9G#1DTR(A)</v>
      </c>
      <c r="W795" t="str">
        <f t="shared" ca="1" si="184"/>
        <v/>
      </c>
      <c r="X795">
        <f t="shared" si="185"/>
        <v>11.4</v>
      </c>
      <c r="Y795">
        <f t="shared" si="186"/>
        <v>0</v>
      </c>
      <c r="Z795" t="str">
        <f t="shared" si="190"/>
        <v>漢寶</v>
      </c>
    </row>
    <row r="796" spans="1:26" x14ac:dyDescent="0.25">
      <c r="A796" s="118" t="s">
        <v>882</v>
      </c>
      <c r="B796" s="119" t="s">
        <v>295</v>
      </c>
      <c r="C796" s="119">
        <v>720</v>
      </c>
      <c r="D796" s="118" t="s">
        <v>183</v>
      </c>
      <c r="E796" s="118">
        <v>751</v>
      </c>
      <c r="F796" s="118" t="s">
        <v>183</v>
      </c>
      <c r="G796" s="118">
        <v>699</v>
      </c>
      <c r="H796" s="118" t="s">
        <v>183</v>
      </c>
      <c r="I796" s="378">
        <v>751</v>
      </c>
      <c r="J796" s="117"/>
      <c r="K796" s="117"/>
      <c r="L796" t="str">
        <f t="shared" si="177"/>
        <v>9G#1DTR(B)</v>
      </c>
      <c r="M796" t="str">
        <f t="shared" si="187"/>
        <v>(B)</v>
      </c>
      <c r="N796" t="str">
        <f t="shared" si="188"/>
        <v>9G#1DTR</v>
      </c>
      <c r="O796" t="str">
        <f t="shared" si="189"/>
        <v>(B)</v>
      </c>
      <c r="P796" s="113" t="str">
        <f t="shared" si="178"/>
        <v>9G#1DTR(B)</v>
      </c>
      <c r="Q796" s="114">
        <f t="shared" si="179"/>
        <v>751</v>
      </c>
      <c r="R796" s="114">
        <f t="shared" si="180"/>
        <v>723.33333333333337</v>
      </c>
      <c r="S796" s="113">
        <f t="shared" si="181"/>
        <v>699</v>
      </c>
      <c r="T796" s="111">
        <f t="shared" ca="1" si="182"/>
        <v>14.83</v>
      </c>
      <c r="U796" s="111">
        <f t="shared" si="183"/>
        <v>796</v>
      </c>
      <c r="V796" t="str">
        <f t="array" ref="V796">INDEX(P:P,MAX(U$3:U796))</f>
        <v>9G#1DTR(B)</v>
      </c>
      <c r="W796">
        <f t="shared" ca="1" si="184"/>
        <v>30</v>
      </c>
      <c r="X796" t="str">
        <f t="shared" si="185"/>
        <v/>
      </c>
      <c r="Y796">
        <f t="shared" si="186"/>
        <v>751</v>
      </c>
      <c r="Z796" t="str">
        <f t="shared" si="190"/>
        <v>漢寶</v>
      </c>
    </row>
    <row r="797" spans="1:26" x14ac:dyDescent="0.25">
      <c r="A797" s="118" t="s">
        <v>882</v>
      </c>
      <c r="B797" s="119" t="s">
        <v>896</v>
      </c>
      <c r="C797" s="119">
        <v>68</v>
      </c>
      <c r="D797" s="118" t="s">
        <v>180</v>
      </c>
      <c r="E797" s="118">
        <v>68</v>
      </c>
      <c r="F797" s="118" t="s">
        <v>180</v>
      </c>
      <c r="G797" s="118">
        <v>62</v>
      </c>
      <c r="H797" s="118" t="s">
        <v>180</v>
      </c>
      <c r="I797" s="378">
        <v>68</v>
      </c>
      <c r="J797" s="117">
        <v>17</v>
      </c>
      <c r="K797" s="117" t="s">
        <v>200</v>
      </c>
      <c r="L797" t="str">
        <f t="shared" si="177"/>
        <v>9G25</v>
      </c>
      <c r="M797" t="str">
        <f t="shared" si="187"/>
        <v/>
      </c>
      <c r="N797" t="str">
        <f t="shared" si="188"/>
        <v/>
      </c>
      <c r="O797" t="str">
        <f t="shared" si="189"/>
        <v/>
      </c>
      <c r="P797" s="113" t="str">
        <f t="shared" si="178"/>
        <v>9G25</v>
      </c>
      <c r="Q797" s="114">
        <f t="shared" si="179"/>
        <v>68</v>
      </c>
      <c r="R797" s="114">
        <f t="shared" si="180"/>
        <v>66</v>
      </c>
      <c r="S797" s="113">
        <f t="shared" si="181"/>
        <v>62</v>
      </c>
      <c r="T797" s="111">
        <f t="shared" ca="1" si="182"/>
        <v>1.34</v>
      </c>
      <c r="U797" s="111" t="str">
        <f t="shared" si="183"/>
        <v/>
      </c>
      <c r="V797" t="str">
        <f t="array" ref="V797">INDEX(P:P,MAX(U$3:U797))</f>
        <v>9G#1DTR(B)</v>
      </c>
      <c r="W797" t="str">
        <f t="shared" ca="1" si="184"/>
        <v/>
      </c>
      <c r="X797">
        <f t="shared" si="185"/>
        <v>11.4</v>
      </c>
      <c r="Y797">
        <f t="shared" si="186"/>
        <v>68</v>
      </c>
      <c r="Z797" t="str">
        <f t="shared" si="190"/>
        <v>漢寶</v>
      </c>
    </row>
    <row r="798" spans="1:26" x14ac:dyDescent="0.25">
      <c r="A798" s="118" t="s">
        <v>882</v>
      </c>
      <c r="B798" s="119" t="s">
        <v>897</v>
      </c>
      <c r="C798" s="119">
        <v>193</v>
      </c>
      <c r="D798" s="118" t="s">
        <v>180</v>
      </c>
      <c r="E798" s="118">
        <v>223</v>
      </c>
      <c r="F798" s="118" t="s">
        <v>180</v>
      </c>
      <c r="G798" s="118">
        <v>211</v>
      </c>
      <c r="H798" s="118" t="s">
        <v>180</v>
      </c>
      <c r="I798" s="378">
        <v>223</v>
      </c>
      <c r="J798" s="117">
        <v>54</v>
      </c>
      <c r="K798" s="117" t="s">
        <v>188</v>
      </c>
      <c r="L798" t="str">
        <f t="shared" si="177"/>
        <v>9G26</v>
      </c>
      <c r="M798" t="str">
        <f t="shared" si="187"/>
        <v/>
      </c>
      <c r="N798" t="str">
        <f t="shared" si="188"/>
        <v/>
      </c>
      <c r="O798" t="str">
        <f t="shared" si="189"/>
        <v/>
      </c>
      <c r="P798" s="113" t="str">
        <f t="shared" si="178"/>
        <v>9G26</v>
      </c>
      <c r="Q798" s="114">
        <f t="shared" si="179"/>
        <v>223</v>
      </c>
      <c r="R798" s="114">
        <f t="shared" si="180"/>
        <v>209</v>
      </c>
      <c r="S798" s="113">
        <f t="shared" si="181"/>
        <v>193</v>
      </c>
      <c r="T798" s="111">
        <f t="shared" ca="1" si="182"/>
        <v>4.4000000000000004</v>
      </c>
      <c r="U798" s="111" t="str">
        <f t="shared" si="183"/>
        <v/>
      </c>
      <c r="V798" t="str">
        <f t="array" ref="V798">INDEX(P:P,MAX(U$3:U798))</f>
        <v>9G#1DTR(B)</v>
      </c>
      <c r="W798" t="str">
        <f t="shared" ca="1" si="184"/>
        <v/>
      </c>
      <c r="X798">
        <f t="shared" si="185"/>
        <v>11.4</v>
      </c>
      <c r="Y798">
        <f t="shared" si="186"/>
        <v>223</v>
      </c>
      <c r="Z798" t="str">
        <f t="shared" si="190"/>
        <v>漢寶</v>
      </c>
    </row>
    <row r="799" spans="1:26" x14ac:dyDescent="0.25">
      <c r="A799" s="118" t="s">
        <v>882</v>
      </c>
      <c r="B799" s="119" t="s">
        <v>898</v>
      </c>
      <c r="C799" s="119">
        <v>254</v>
      </c>
      <c r="D799" s="118" t="s">
        <v>183</v>
      </c>
      <c r="E799" s="118">
        <v>252</v>
      </c>
      <c r="F799" s="118" t="s">
        <v>183</v>
      </c>
      <c r="G799" s="118">
        <v>231</v>
      </c>
      <c r="H799" s="118" t="s">
        <v>183</v>
      </c>
      <c r="I799" s="378">
        <v>254</v>
      </c>
      <c r="J799" s="117">
        <v>60</v>
      </c>
      <c r="K799" s="117" t="s">
        <v>176</v>
      </c>
      <c r="L799" t="str">
        <f t="shared" si="177"/>
        <v>9G27</v>
      </c>
      <c r="M799" t="str">
        <f t="shared" si="187"/>
        <v/>
      </c>
      <c r="N799" t="str">
        <f t="shared" si="188"/>
        <v/>
      </c>
      <c r="O799" t="str">
        <f t="shared" si="189"/>
        <v/>
      </c>
      <c r="P799" s="113" t="str">
        <f t="shared" si="178"/>
        <v>9G27</v>
      </c>
      <c r="Q799" s="114">
        <f t="shared" si="179"/>
        <v>254</v>
      </c>
      <c r="R799" s="114">
        <f t="shared" si="180"/>
        <v>245.66666666666666</v>
      </c>
      <c r="S799" s="113">
        <f t="shared" si="181"/>
        <v>231</v>
      </c>
      <c r="T799" s="111">
        <f t="shared" ca="1" si="182"/>
        <v>5.0199999999999996</v>
      </c>
      <c r="U799" s="111" t="str">
        <f t="shared" si="183"/>
        <v/>
      </c>
      <c r="V799" t="str">
        <f t="array" ref="V799">INDEX(P:P,MAX(U$3:U799))</f>
        <v>9G#1DTR(B)</v>
      </c>
      <c r="W799" t="str">
        <f t="shared" ca="1" si="184"/>
        <v/>
      </c>
      <c r="X799">
        <f t="shared" si="185"/>
        <v>11.4</v>
      </c>
      <c r="Y799">
        <f t="shared" si="186"/>
        <v>254</v>
      </c>
      <c r="Z799" t="str">
        <f t="shared" si="190"/>
        <v>漢寶</v>
      </c>
    </row>
    <row r="800" spans="1:26" x14ac:dyDescent="0.25">
      <c r="A800" s="118" t="s">
        <v>882</v>
      </c>
      <c r="B800" s="119" t="s">
        <v>899</v>
      </c>
      <c r="C800" s="119">
        <v>112</v>
      </c>
      <c r="D800" s="118" t="s">
        <v>176</v>
      </c>
      <c r="E800" s="118">
        <v>100</v>
      </c>
      <c r="F800" s="118" t="s">
        <v>207</v>
      </c>
      <c r="G800" s="118">
        <v>103</v>
      </c>
      <c r="H800" s="118" t="s">
        <v>179</v>
      </c>
      <c r="I800" s="378">
        <v>112</v>
      </c>
      <c r="J800" s="117">
        <v>35</v>
      </c>
      <c r="K800" s="117" t="s">
        <v>177</v>
      </c>
      <c r="L800" t="str">
        <f t="shared" si="177"/>
        <v>9G28</v>
      </c>
      <c r="M800" t="str">
        <f t="shared" si="187"/>
        <v/>
      </c>
      <c r="N800" t="str">
        <f t="shared" si="188"/>
        <v/>
      </c>
      <c r="O800" t="str">
        <f t="shared" si="189"/>
        <v/>
      </c>
      <c r="P800" s="113" t="str">
        <f t="shared" si="178"/>
        <v>9G28</v>
      </c>
      <c r="Q800" s="114">
        <f t="shared" si="179"/>
        <v>112</v>
      </c>
      <c r="R800" s="114">
        <f t="shared" si="180"/>
        <v>105</v>
      </c>
      <c r="S800" s="113">
        <f t="shared" si="181"/>
        <v>100</v>
      </c>
      <c r="T800" s="111">
        <f t="shared" ca="1" si="182"/>
        <v>2.21</v>
      </c>
      <c r="U800" s="111" t="str">
        <f t="shared" si="183"/>
        <v/>
      </c>
      <c r="V800" t="str">
        <f t="array" ref="V800">INDEX(P:P,MAX(U$3:U800))</f>
        <v>9G#1DTR(B)</v>
      </c>
      <c r="W800" t="str">
        <f t="shared" ca="1" si="184"/>
        <v/>
      </c>
      <c r="X800">
        <f t="shared" si="185"/>
        <v>11.4</v>
      </c>
      <c r="Y800">
        <f t="shared" si="186"/>
        <v>112</v>
      </c>
      <c r="Z800" t="str">
        <f t="shared" si="190"/>
        <v>漢寶</v>
      </c>
    </row>
    <row r="801" spans="1:26" x14ac:dyDescent="0.25">
      <c r="A801" s="118" t="s">
        <v>882</v>
      </c>
      <c r="B801" s="119" t="s">
        <v>900</v>
      </c>
      <c r="C801" s="119">
        <v>126</v>
      </c>
      <c r="D801" s="118" t="s">
        <v>207</v>
      </c>
      <c r="E801" s="118">
        <v>143</v>
      </c>
      <c r="F801" s="118" t="s">
        <v>207</v>
      </c>
      <c r="G801" s="118">
        <v>153</v>
      </c>
      <c r="H801" s="118" t="s">
        <v>207</v>
      </c>
      <c r="I801" s="378">
        <v>153</v>
      </c>
      <c r="J801" s="117">
        <v>32</v>
      </c>
      <c r="K801" s="117" t="s">
        <v>229</v>
      </c>
      <c r="L801" t="str">
        <f t="shared" si="177"/>
        <v>9G29</v>
      </c>
      <c r="M801" t="str">
        <f t="shared" si="187"/>
        <v/>
      </c>
      <c r="N801" t="str">
        <f t="shared" si="188"/>
        <v/>
      </c>
      <c r="O801" t="str">
        <f t="shared" si="189"/>
        <v/>
      </c>
      <c r="P801" s="113" t="str">
        <f t="shared" si="178"/>
        <v>9G29</v>
      </c>
      <c r="Q801" s="114">
        <f t="shared" si="179"/>
        <v>153</v>
      </c>
      <c r="R801" s="114">
        <f t="shared" si="180"/>
        <v>140.66666666666666</v>
      </c>
      <c r="S801" s="113">
        <f t="shared" si="181"/>
        <v>126</v>
      </c>
      <c r="T801" s="111">
        <f t="shared" ca="1" si="182"/>
        <v>3.02</v>
      </c>
      <c r="U801" s="111" t="str">
        <f t="shared" si="183"/>
        <v/>
      </c>
      <c r="V801" t="str">
        <f t="array" ref="V801">INDEX(P:P,MAX(U$3:U801))</f>
        <v>9G#1DTR(B)</v>
      </c>
      <c r="W801" t="str">
        <f t="shared" ca="1" si="184"/>
        <v/>
      </c>
      <c r="X801">
        <f t="shared" si="185"/>
        <v>11.4</v>
      </c>
      <c r="Y801">
        <f t="shared" si="186"/>
        <v>153</v>
      </c>
      <c r="Z801" t="str">
        <f t="shared" si="190"/>
        <v>漢寶</v>
      </c>
    </row>
    <row r="802" spans="1:26" x14ac:dyDescent="0.25">
      <c r="A802" s="118" t="s">
        <v>882</v>
      </c>
      <c r="B802" s="119" t="s">
        <v>901</v>
      </c>
      <c r="C802" s="119">
        <v>100</v>
      </c>
      <c r="D802" s="118" t="s">
        <v>203</v>
      </c>
      <c r="E802" s="118">
        <v>100</v>
      </c>
      <c r="F802" s="118" t="s">
        <v>203</v>
      </c>
      <c r="G802" s="118">
        <v>101</v>
      </c>
      <c r="H802" s="118" t="s">
        <v>203</v>
      </c>
      <c r="I802" s="378">
        <v>101</v>
      </c>
      <c r="J802" s="117">
        <v>0</v>
      </c>
      <c r="K802" s="117" t="s">
        <v>194</v>
      </c>
      <c r="L802" t="str">
        <f t="shared" si="177"/>
        <v>9GE8</v>
      </c>
      <c r="M802" t="str">
        <f t="shared" si="187"/>
        <v/>
      </c>
      <c r="N802" t="str">
        <f t="shared" si="188"/>
        <v/>
      </c>
      <c r="O802" t="str">
        <f t="shared" si="189"/>
        <v/>
      </c>
      <c r="P802" s="113" t="str">
        <f t="shared" si="178"/>
        <v>9GE8</v>
      </c>
      <c r="Q802" s="114">
        <f t="shared" si="179"/>
        <v>101</v>
      </c>
      <c r="R802" s="114">
        <f t="shared" si="180"/>
        <v>100.33333333333333</v>
      </c>
      <c r="S802" s="113">
        <f t="shared" si="181"/>
        <v>100</v>
      </c>
      <c r="T802" s="111" t="e">
        <f t="shared" ca="1" si="182"/>
        <v>#VALUE!</v>
      </c>
      <c r="U802" s="111" t="str">
        <f t="shared" si="183"/>
        <v/>
      </c>
      <c r="V802" t="str">
        <f t="array" ref="V802">INDEX(P:P,MAX(U$3:U802))</f>
        <v>9G#1DTR(B)</v>
      </c>
      <c r="W802" t="str">
        <f t="shared" ca="1" si="184"/>
        <v/>
      </c>
      <c r="X802" t="e">
        <f t="shared" si="185"/>
        <v>#VALUE!</v>
      </c>
      <c r="Y802">
        <f t="shared" si="186"/>
        <v>101</v>
      </c>
      <c r="Z802" t="str">
        <f t="shared" si="190"/>
        <v>漢寶</v>
      </c>
    </row>
    <row r="803" spans="1:26" x14ac:dyDescent="0.25">
      <c r="A803" s="118" t="s">
        <v>882</v>
      </c>
      <c r="B803" s="119" t="s">
        <v>301</v>
      </c>
      <c r="C803" s="119">
        <v>390</v>
      </c>
      <c r="D803" s="118" t="s">
        <v>179</v>
      </c>
      <c r="E803" s="118">
        <v>355</v>
      </c>
      <c r="F803" s="118" t="s">
        <v>179</v>
      </c>
      <c r="G803" s="118">
        <v>382</v>
      </c>
      <c r="H803" s="118" t="s">
        <v>179</v>
      </c>
      <c r="I803" s="378">
        <v>390</v>
      </c>
      <c r="J803" s="117"/>
      <c r="K803" s="117"/>
      <c r="L803" t="str">
        <f t="shared" si="177"/>
        <v>9G#2DTR(A)</v>
      </c>
      <c r="M803" t="str">
        <f t="shared" si="187"/>
        <v>(A)</v>
      </c>
      <c r="N803" t="str">
        <f t="shared" si="188"/>
        <v>9G#2DTR</v>
      </c>
      <c r="O803" t="str">
        <f t="shared" si="189"/>
        <v>(A)</v>
      </c>
      <c r="P803" s="113" t="str">
        <f t="shared" si="178"/>
        <v>9G#2DTR(A)</v>
      </c>
      <c r="Q803" s="114">
        <f t="shared" si="179"/>
        <v>390</v>
      </c>
      <c r="R803" s="114">
        <f t="shared" si="180"/>
        <v>375.66666666666669</v>
      </c>
      <c r="S803" s="113">
        <f t="shared" si="181"/>
        <v>355</v>
      </c>
      <c r="T803" s="111">
        <f t="shared" ca="1" si="182"/>
        <v>7.7</v>
      </c>
      <c r="U803" s="111">
        <f t="shared" si="183"/>
        <v>803</v>
      </c>
      <c r="V803" t="str">
        <f t="array" ref="V803">INDEX(P:P,MAX(U$3:U803))</f>
        <v>9G#2DTR(A)</v>
      </c>
      <c r="W803">
        <f t="shared" ca="1" si="184"/>
        <v>30</v>
      </c>
      <c r="X803" t="str">
        <f t="shared" si="185"/>
        <v/>
      </c>
      <c r="Y803">
        <f t="shared" si="186"/>
        <v>390</v>
      </c>
      <c r="Z803" t="str">
        <f t="shared" si="190"/>
        <v>漢寶</v>
      </c>
    </row>
    <row r="804" spans="1:26" x14ac:dyDescent="0.25">
      <c r="A804" s="118" t="s">
        <v>882</v>
      </c>
      <c r="B804" s="119" t="s">
        <v>902</v>
      </c>
      <c r="C804" s="119">
        <v>84</v>
      </c>
      <c r="D804" s="118" t="s">
        <v>177</v>
      </c>
      <c r="E804" s="118">
        <v>63</v>
      </c>
      <c r="F804" s="118" t="s">
        <v>177</v>
      </c>
      <c r="G804" s="118">
        <v>64</v>
      </c>
      <c r="H804" s="118" t="s">
        <v>198</v>
      </c>
      <c r="I804" s="378">
        <v>84</v>
      </c>
      <c r="J804" s="117">
        <v>49</v>
      </c>
      <c r="K804" s="117" t="s">
        <v>198</v>
      </c>
      <c r="L804" t="str">
        <f t="shared" si="177"/>
        <v>9G30</v>
      </c>
      <c r="M804" t="str">
        <f t="shared" si="187"/>
        <v/>
      </c>
      <c r="N804" t="str">
        <f t="shared" si="188"/>
        <v/>
      </c>
      <c r="O804" t="str">
        <f t="shared" si="189"/>
        <v/>
      </c>
      <c r="P804" s="113" t="str">
        <f t="shared" si="178"/>
        <v>9G30</v>
      </c>
      <c r="Q804" s="114">
        <f t="shared" si="179"/>
        <v>84</v>
      </c>
      <c r="R804" s="114">
        <f t="shared" si="180"/>
        <v>70.333333333333329</v>
      </c>
      <c r="S804" s="113">
        <f t="shared" si="181"/>
        <v>63</v>
      </c>
      <c r="T804" s="111">
        <f t="shared" ca="1" si="182"/>
        <v>1.66</v>
      </c>
      <c r="U804" s="111" t="str">
        <f t="shared" si="183"/>
        <v/>
      </c>
      <c r="V804" t="str">
        <f t="array" ref="V804">INDEX(P:P,MAX(U$3:U804))</f>
        <v>9G#2DTR(A)</v>
      </c>
      <c r="W804" t="str">
        <f t="shared" ca="1" si="184"/>
        <v/>
      </c>
      <c r="X804">
        <f t="shared" si="185"/>
        <v>11.4</v>
      </c>
      <c r="Y804">
        <f t="shared" si="186"/>
        <v>84</v>
      </c>
      <c r="Z804" t="str">
        <f t="shared" si="190"/>
        <v>漢寶</v>
      </c>
    </row>
    <row r="805" spans="1:26" x14ac:dyDescent="0.25">
      <c r="A805" s="118" t="s">
        <v>882</v>
      </c>
      <c r="B805" s="119" t="s">
        <v>903</v>
      </c>
      <c r="C805" s="119">
        <v>27</v>
      </c>
      <c r="D805" s="118" t="s">
        <v>183</v>
      </c>
      <c r="E805" s="118">
        <v>25</v>
      </c>
      <c r="F805" s="118" t="s">
        <v>183</v>
      </c>
      <c r="G805" s="118">
        <v>20</v>
      </c>
      <c r="H805" s="118" t="s">
        <v>183</v>
      </c>
      <c r="I805" s="378">
        <v>27</v>
      </c>
      <c r="J805" s="117">
        <v>12</v>
      </c>
      <c r="K805" s="117" t="s">
        <v>192</v>
      </c>
      <c r="L805" t="str">
        <f t="shared" si="177"/>
        <v>9G31</v>
      </c>
      <c r="M805" t="str">
        <f t="shared" si="187"/>
        <v/>
      </c>
      <c r="N805" t="str">
        <f t="shared" si="188"/>
        <v/>
      </c>
      <c r="O805" t="str">
        <f t="shared" si="189"/>
        <v/>
      </c>
      <c r="P805" s="113" t="str">
        <f t="shared" si="178"/>
        <v>9G31</v>
      </c>
      <c r="Q805" s="114">
        <f t="shared" si="179"/>
        <v>27</v>
      </c>
      <c r="R805" s="114">
        <f t="shared" si="180"/>
        <v>24</v>
      </c>
      <c r="S805" s="113">
        <f t="shared" si="181"/>
        <v>20</v>
      </c>
      <c r="T805" s="111">
        <f t="shared" ca="1" si="182"/>
        <v>0.53</v>
      </c>
      <c r="U805" s="111" t="str">
        <f t="shared" si="183"/>
        <v/>
      </c>
      <c r="V805" t="str">
        <f t="array" ref="V805">INDEX(P:P,MAX(U$3:U805))</f>
        <v>9G#2DTR(A)</v>
      </c>
      <c r="W805" t="str">
        <f t="shared" ca="1" si="184"/>
        <v/>
      </c>
      <c r="X805">
        <f t="shared" si="185"/>
        <v>11.4</v>
      </c>
      <c r="Y805">
        <f t="shared" si="186"/>
        <v>27</v>
      </c>
      <c r="Z805" t="str">
        <f t="shared" si="190"/>
        <v>漢寶</v>
      </c>
    </row>
    <row r="806" spans="1:26" x14ac:dyDescent="0.25">
      <c r="A806" s="118" t="s">
        <v>882</v>
      </c>
      <c r="B806" s="119" t="s">
        <v>904</v>
      </c>
      <c r="C806" s="119">
        <v>45</v>
      </c>
      <c r="D806" s="118" t="s">
        <v>177</v>
      </c>
      <c r="E806" s="118">
        <v>57</v>
      </c>
      <c r="F806" s="118" t="s">
        <v>198</v>
      </c>
      <c r="G806" s="118">
        <v>77</v>
      </c>
      <c r="H806" s="118" t="s">
        <v>207</v>
      </c>
      <c r="I806" s="378">
        <v>77</v>
      </c>
      <c r="J806" s="117">
        <v>70</v>
      </c>
      <c r="K806" s="117" t="s">
        <v>207</v>
      </c>
      <c r="L806" t="str">
        <f t="shared" si="177"/>
        <v>9G32</v>
      </c>
      <c r="M806" t="str">
        <f t="shared" si="187"/>
        <v/>
      </c>
      <c r="N806" t="str">
        <f t="shared" si="188"/>
        <v/>
      </c>
      <c r="O806" t="str">
        <f t="shared" si="189"/>
        <v/>
      </c>
      <c r="P806" s="113" t="str">
        <f t="shared" si="178"/>
        <v>9G32</v>
      </c>
      <c r="Q806" s="114">
        <f t="shared" si="179"/>
        <v>77</v>
      </c>
      <c r="R806" s="114">
        <f t="shared" si="180"/>
        <v>59.666666666666664</v>
      </c>
      <c r="S806" s="113">
        <f t="shared" si="181"/>
        <v>45</v>
      </c>
      <c r="T806" s="111">
        <f t="shared" ca="1" si="182"/>
        <v>1.52</v>
      </c>
      <c r="U806" s="111" t="str">
        <f t="shared" si="183"/>
        <v/>
      </c>
      <c r="V806" t="str">
        <f t="array" ref="V806">INDEX(P:P,MAX(U$3:U806))</f>
        <v>9G#2DTR(A)</v>
      </c>
      <c r="W806" t="str">
        <f t="shared" ca="1" si="184"/>
        <v/>
      </c>
      <c r="X806">
        <f t="shared" si="185"/>
        <v>11.4</v>
      </c>
      <c r="Y806">
        <f t="shared" si="186"/>
        <v>77</v>
      </c>
      <c r="Z806" t="str">
        <f t="shared" si="190"/>
        <v>漢寶</v>
      </c>
    </row>
    <row r="807" spans="1:26" x14ac:dyDescent="0.25">
      <c r="A807" s="118" t="s">
        <v>882</v>
      </c>
      <c r="B807" s="119" t="s">
        <v>905</v>
      </c>
      <c r="C807" s="119">
        <v>87</v>
      </c>
      <c r="D807" s="118" t="s">
        <v>192</v>
      </c>
      <c r="E807" s="118">
        <v>80</v>
      </c>
      <c r="F807" s="118" t="s">
        <v>192</v>
      </c>
      <c r="G807" s="118">
        <v>83</v>
      </c>
      <c r="H807" s="118" t="s">
        <v>192</v>
      </c>
      <c r="I807" s="378">
        <v>87</v>
      </c>
      <c r="J807" s="117">
        <v>20</v>
      </c>
      <c r="K807" s="117" t="s">
        <v>183</v>
      </c>
      <c r="L807" t="str">
        <f t="shared" si="177"/>
        <v>9G33</v>
      </c>
      <c r="M807" t="str">
        <f t="shared" si="187"/>
        <v/>
      </c>
      <c r="N807" t="str">
        <f t="shared" si="188"/>
        <v/>
      </c>
      <c r="O807" t="str">
        <f t="shared" si="189"/>
        <v/>
      </c>
      <c r="P807" s="113" t="str">
        <f t="shared" si="178"/>
        <v>9G33</v>
      </c>
      <c r="Q807" s="114">
        <f t="shared" si="179"/>
        <v>87</v>
      </c>
      <c r="R807" s="114">
        <f t="shared" si="180"/>
        <v>83.333333333333329</v>
      </c>
      <c r="S807" s="113">
        <f t="shared" si="181"/>
        <v>80</v>
      </c>
      <c r="T807" s="111">
        <f t="shared" ca="1" si="182"/>
        <v>1.72</v>
      </c>
      <c r="U807" s="111" t="str">
        <f t="shared" si="183"/>
        <v/>
      </c>
      <c r="V807" t="str">
        <f t="array" ref="V807">INDEX(P:P,MAX(U$3:U807))</f>
        <v>9G#2DTR(A)</v>
      </c>
      <c r="W807" t="str">
        <f t="shared" ca="1" si="184"/>
        <v/>
      </c>
      <c r="X807">
        <f t="shared" si="185"/>
        <v>11.4</v>
      </c>
      <c r="Y807">
        <f t="shared" si="186"/>
        <v>87</v>
      </c>
      <c r="Z807" t="str">
        <f t="shared" si="190"/>
        <v>漢寶</v>
      </c>
    </row>
    <row r="808" spans="1:26" x14ac:dyDescent="0.25">
      <c r="A808" s="118" t="s">
        <v>882</v>
      </c>
      <c r="B808" s="119" t="s">
        <v>906</v>
      </c>
      <c r="C808" s="119">
        <v>219</v>
      </c>
      <c r="D808" s="118" t="s">
        <v>177</v>
      </c>
      <c r="E808" s="118">
        <v>194</v>
      </c>
      <c r="F808" s="118" t="s">
        <v>179</v>
      </c>
      <c r="G808" s="118">
        <v>215</v>
      </c>
      <c r="H808" s="118" t="s">
        <v>177</v>
      </c>
      <c r="I808" s="378">
        <v>219</v>
      </c>
      <c r="J808" s="117">
        <v>61</v>
      </c>
      <c r="K808" s="117" t="s">
        <v>198</v>
      </c>
      <c r="L808" t="str">
        <f t="shared" si="177"/>
        <v>9G34</v>
      </c>
      <c r="M808" t="str">
        <f t="shared" si="187"/>
        <v/>
      </c>
      <c r="N808" t="str">
        <f t="shared" si="188"/>
        <v/>
      </c>
      <c r="O808" t="str">
        <f t="shared" si="189"/>
        <v/>
      </c>
      <c r="P808" s="113" t="str">
        <f t="shared" si="178"/>
        <v>9G34</v>
      </c>
      <c r="Q808" s="114">
        <f t="shared" si="179"/>
        <v>219</v>
      </c>
      <c r="R808" s="114">
        <f t="shared" si="180"/>
        <v>209.33333333333334</v>
      </c>
      <c r="S808" s="113">
        <f t="shared" si="181"/>
        <v>194</v>
      </c>
      <c r="T808" s="111">
        <f t="shared" ca="1" si="182"/>
        <v>4.32</v>
      </c>
      <c r="U808" s="111" t="str">
        <f t="shared" si="183"/>
        <v/>
      </c>
      <c r="V808" t="str">
        <f t="array" ref="V808">INDEX(P:P,MAX(U$3:U808))</f>
        <v>9G#2DTR(A)</v>
      </c>
      <c r="W808" t="str">
        <f t="shared" ca="1" si="184"/>
        <v/>
      </c>
      <c r="X808">
        <f t="shared" si="185"/>
        <v>11.4</v>
      </c>
      <c r="Y808">
        <f t="shared" si="186"/>
        <v>219</v>
      </c>
      <c r="Z808" t="str">
        <f t="shared" si="190"/>
        <v>漢寶</v>
      </c>
    </row>
    <row r="809" spans="1:26" x14ac:dyDescent="0.25">
      <c r="A809" s="118" t="s">
        <v>882</v>
      </c>
      <c r="B809" s="119" t="s">
        <v>283</v>
      </c>
      <c r="C809" s="119">
        <v>1087</v>
      </c>
      <c r="D809" s="118" t="s">
        <v>179</v>
      </c>
      <c r="E809" s="118">
        <v>1048</v>
      </c>
      <c r="F809" s="118" t="s">
        <v>179</v>
      </c>
      <c r="G809" s="118">
        <v>1071</v>
      </c>
      <c r="H809" s="118" t="s">
        <v>179</v>
      </c>
      <c r="I809" s="378">
        <v>1087</v>
      </c>
      <c r="J809" s="117"/>
      <c r="K809" s="117"/>
      <c r="L809" t="str">
        <f t="shared" si="177"/>
        <v>9G#2DTR(B)</v>
      </c>
      <c r="M809" t="str">
        <f t="shared" si="187"/>
        <v>(B)</v>
      </c>
      <c r="N809" t="str">
        <f t="shared" si="188"/>
        <v>9G#2DTR</v>
      </c>
      <c r="O809" t="str">
        <f t="shared" si="189"/>
        <v>(B)</v>
      </c>
      <c r="P809" s="113" t="str">
        <f t="shared" si="178"/>
        <v>9G#2DTR(B)</v>
      </c>
      <c r="Q809" s="114">
        <f t="shared" si="179"/>
        <v>1087</v>
      </c>
      <c r="R809" s="114">
        <f t="shared" si="180"/>
        <v>1068.6666666666667</v>
      </c>
      <c r="S809" s="113">
        <f t="shared" si="181"/>
        <v>1048</v>
      </c>
      <c r="T809" s="111">
        <f t="shared" ca="1" si="182"/>
        <v>21.46</v>
      </c>
      <c r="U809" s="111">
        <f t="shared" si="183"/>
        <v>809</v>
      </c>
      <c r="V809" t="str">
        <f t="array" ref="V809">INDEX(P:P,MAX(U$3:U809))</f>
        <v>9G#2DTR(B)</v>
      </c>
      <c r="W809">
        <f t="shared" ca="1" si="184"/>
        <v>30</v>
      </c>
      <c r="X809" t="str">
        <f t="shared" si="185"/>
        <v/>
      </c>
      <c r="Y809">
        <f t="shared" si="186"/>
        <v>1087</v>
      </c>
      <c r="Z809" t="str">
        <f t="shared" si="190"/>
        <v>漢寶</v>
      </c>
    </row>
    <row r="810" spans="1:26" x14ac:dyDescent="0.25">
      <c r="A810" s="118" t="s">
        <v>882</v>
      </c>
      <c r="B810" s="119" t="s">
        <v>907</v>
      </c>
      <c r="C810" s="119">
        <v>235</v>
      </c>
      <c r="D810" s="118" t="s">
        <v>176</v>
      </c>
      <c r="E810" s="118">
        <v>221</v>
      </c>
      <c r="F810" s="118" t="s">
        <v>176</v>
      </c>
      <c r="G810" s="118">
        <v>223</v>
      </c>
      <c r="H810" s="118" t="s">
        <v>176</v>
      </c>
      <c r="I810" s="378">
        <v>235</v>
      </c>
      <c r="J810" s="117">
        <v>58</v>
      </c>
      <c r="K810" s="117" t="s">
        <v>200</v>
      </c>
      <c r="L810" t="str">
        <f t="shared" si="177"/>
        <v>9G35</v>
      </c>
      <c r="M810" t="str">
        <f t="shared" si="187"/>
        <v/>
      </c>
      <c r="N810" t="str">
        <f t="shared" si="188"/>
        <v/>
      </c>
      <c r="O810" t="str">
        <f t="shared" si="189"/>
        <v/>
      </c>
      <c r="P810" s="113" t="str">
        <f t="shared" si="178"/>
        <v>9G35</v>
      </c>
      <c r="Q810" s="114">
        <f t="shared" si="179"/>
        <v>235</v>
      </c>
      <c r="R810" s="114">
        <f t="shared" si="180"/>
        <v>226.33333333333334</v>
      </c>
      <c r="S810" s="113">
        <f t="shared" si="181"/>
        <v>221</v>
      </c>
      <c r="T810" s="111">
        <f t="shared" ca="1" si="182"/>
        <v>4.6399999999999997</v>
      </c>
      <c r="U810" s="111" t="str">
        <f t="shared" si="183"/>
        <v/>
      </c>
      <c r="V810" t="str">
        <f t="array" ref="V810">INDEX(P:P,MAX(U$3:U810))</f>
        <v>9G#2DTR(B)</v>
      </c>
      <c r="W810" t="str">
        <f t="shared" ca="1" si="184"/>
        <v/>
      </c>
      <c r="X810">
        <f t="shared" si="185"/>
        <v>11.4</v>
      </c>
      <c r="Y810">
        <f t="shared" si="186"/>
        <v>235</v>
      </c>
      <c r="Z810" t="str">
        <f t="shared" si="190"/>
        <v>漢寶</v>
      </c>
    </row>
    <row r="811" spans="1:26" x14ac:dyDescent="0.25">
      <c r="A811" s="118" t="s">
        <v>882</v>
      </c>
      <c r="B811" s="119" t="s">
        <v>908</v>
      </c>
      <c r="C811" s="119">
        <v>142</v>
      </c>
      <c r="D811" s="118" t="s">
        <v>179</v>
      </c>
      <c r="E811" s="118">
        <v>150</v>
      </c>
      <c r="F811" s="118" t="s">
        <v>179</v>
      </c>
      <c r="G811" s="118">
        <v>183</v>
      </c>
      <c r="H811" s="118" t="s">
        <v>179</v>
      </c>
      <c r="I811" s="378">
        <v>183</v>
      </c>
      <c r="J811" s="117">
        <v>79</v>
      </c>
      <c r="K811" s="117" t="s">
        <v>214</v>
      </c>
      <c r="L811" t="str">
        <f t="shared" si="177"/>
        <v>9G36</v>
      </c>
      <c r="M811" t="str">
        <f t="shared" si="187"/>
        <v/>
      </c>
      <c r="N811" t="str">
        <f t="shared" si="188"/>
        <v/>
      </c>
      <c r="O811" t="str">
        <f t="shared" si="189"/>
        <v/>
      </c>
      <c r="P811" s="113" t="str">
        <f t="shared" si="178"/>
        <v>9G36</v>
      </c>
      <c r="Q811" s="114">
        <f t="shared" si="179"/>
        <v>183</v>
      </c>
      <c r="R811" s="114">
        <f t="shared" si="180"/>
        <v>158.33333333333334</v>
      </c>
      <c r="S811" s="113">
        <f t="shared" si="181"/>
        <v>142</v>
      </c>
      <c r="T811" s="111">
        <f t="shared" ca="1" si="182"/>
        <v>3.61</v>
      </c>
      <c r="U811" s="111" t="str">
        <f t="shared" si="183"/>
        <v/>
      </c>
      <c r="V811" t="str">
        <f t="array" ref="V811">INDEX(P:P,MAX(U$3:U811))</f>
        <v>9G#2DTR(B)</v>
      </c>
      <c r="W811" t="str">
        <f t="shared" ca="1" si="184"/>
        <v/>
      </c>
      <c r="X811">
        <f t="shared" si="185"/>
        <v>11.4</v>
      </c>
      <c r="Y811">
        <f t="shared" si="186"/>
        <v>183</v>
      </c>
      <c r="Z811" t="str">
        <f t="shared" si="190"/>
        <v>漢寶</v>
      </c>
    </row>
    <row r="812" spans="1:26" x14ac:dyDescent="0.25">
      <c r="A812" s="118" t="s">
        <v>882</v>
      </c>
      <c r="B812" s="119" t="s">
        <v>909</v>
      </c>
      <c r="C812" s="119">
        <v>199</v>
      </c>
      <c r="D812" s="118" t="s">
        <v>179</v>
      </c>
      <c r="E812" s="118">
        <v>202</v>
      </c>
      <c r="F812" s="118" t="s">
        <v>179</v>
      </c>
      <c r="G812" s="118">
        <v>189</v>
      </c>
      <c r="H812" s="118" t="s">
        <v>203</v>
      </c>
      <c r="I812" s="378">
        <v>202</v>
      </c>
      <c r="J812" s="117">
        <v>39</v>
      </c>
      <c r="K812" s="117" t="s">
        <v>194</v>
      </c>
      <c r="L812" t="str">
        <f t="shared" si="177"/>
        <v>9G37</v>
      </c>
      <c r="M812" t="str">
        <f t="shared" si="187"/>
        <v/>
      </c>
      <c r="N812" t="str">
        <f t="shared" si="188"/>
        <v/>
      </c>
      <c r="O812" t="str">
        <f t="shared" si="189"/>
        <v/>
      </c>
      <c r="P812" s="113" t="str">
        <f t="shared" si="178"/>
        <v>9G37</v>
      </c>
      <c r="Q812" s="114">
        <f t="shared" si="179"/>
        <v>202</v>
      </c>
      <c r="R812" s="114">
        <f t="shared" si="180"/>
        <v>196.66666666666666</v>
      </c>
      <c r="S812" s="113">
        <f t="shared" si="181"/>
        <v>189</v>
      </c>
      <c r="T812" s="111">
        <f t="shared" ca="1" si="182"/>
        <v>3.99</v>
      </c>
      <c r="U812" s="111" t="str">
        <f t="shared" si="183"/>
        <v/>
      </c>
      <c r="V812" t="str">
        <f t="array" ref="V812">INDEX(P:P,MAX(U$3:U812))</f>
        <v>9G#2DTR(B)</v>
      </c>
      <c r="W812" t="str">
        <f t="shared" ca="1" si="184"/>
        <v/>
      </c>
      <c r="X812">
        <f t="shared" si="185"/>
        <v>11.4</v>
      </c>
      <c r="Y812">
        <f t="shared" si="186"/>
        <v>202</v>
      </c>
      <c r="Z812" t="str">
        <f t="shared" si="190"/>
        <v>漢寶</v>
      </c>
    </row>
    <row r="813" spans="1:26" x14ac:dyDescent="0.25">
      <c r="A813" s="118" t="s">
        <v>882</v>
      </c>
      <c r="B813" s="119" t="s">
        <v>910</v>
      </c>
      <c r="C813" s="119">
        <v>285</v>
      </c>
      <c r="D813" s="118" t="s">
        <v>177</v>
      </c>
      <c r="E813" s="118">
        <v>274</v>
      </c>
      <c r="F813" s="118" t="s">
        <v>177</v>
      </c>
      <c r="G813" s="118">
        <v>294</v>
      </c>
      <c r="H813" s="118" t="s">
        <v>177</v>
      </c>
      <c r="I813" s="378">
        <v>294</v>
      </c>
      <c r="J813" s="117">
        <v>51</v>
      </c>
      <c r="K813" s="117" t="s">
        <v>188</v>
      </c>
      <c r="L813" t="str">
        <f t="shared" si="177"/>
        <v>9G38</v>
      </c>
      <c r="M813" t="str">
        <f t="shared" si="187"/>
        <v/>
      </c>
      <c r="N813" t="str">
        <f t="shared" si="188"/>
        <v/>
      </c>
      <c r="O813" t="str">
        <f t="shared" si="189"/>
        <v/>
      </c>
      <c r="P813" s="113" t="str">
        <f t="shared" si="178"/>
        <v>9G38</v>
      </c>
      <c r="Q813" s="114">
        <f t="shared" si="179"/>
        <v>294</v>
      </c>
      <c r="R813" s="114">
        <f t="shared" si="180"/>
        <v>284.33333333333331</v>
      </c>
      <c r="S813" s="113">
        <f t="shared" si="181"/>
        <v>274</v>
      </c>
      <c r="T813" s="111">
        <f t="shared" ca="1" si="182"/>
        <v>5.81</v>
      </c>
      <c r="U813" s="111" t="str">
        <f t="shared" si="183"/>
        <v/>
      </c>
      <c r="V813" t="str">
        <f t="array" ref="V813">INDEX(P:P,MAX(U$3:U813))</f>
        <v>9G#2DTR(B)</v>
      </c>
      <c r="W813" t="str">
        <f t="shared" ca="1" si="184"/>
        <v/>
      </c>
      <c r="X813">
        <f t="shared" si="185"/>
        <v>11.4</v>
      </c>
      <c r="Y813">
        <f t="shared" si="186"/>
        <v>294</v>
      </c>
      <c r="Z813" t="str">
        <f t="shared" si="190"/>
        <v>漢寶</v>
      </c>
    </row>
    <row r="814" spans="1:26" x14ac:dyDescent="0.25">
      <c r="A814" s="118" t="s">
        <v>882</v>
      </c>
      <c r="B814" s="119" t="s">
        <v>911</v>
      </c>
      <c r="C814" s="119">
        <v>310</v>
      </c>
      <c r="D814" s="118" t="s">
        <v>179</v>
      </c>
      <c r="E814" s="118">
        <v>287</v>
      </c>
      <c r="F814" s="118" t="s">
        <v>179</v>
      </c>
      <c r="G814" s="118">
        <v>301</v>
      </c>
      <c r="H814" s="118" t="s">
        <v>205</v>
      </c>
      <c r="I814" s="378">
        <v>310</v>
      </c>
      <c r="J814" s="117">
        <v>66</v>
      </c>
      <c r="K814" s="117" t="s">
        <v>196</v>
      </c>
      <c r="L814" t="str">
        <f t="shared" si="177"/>
        <v>9G39</v>
      </c>
      <c r="M814" t="str">
        <f t="shared" si="187"/>
        <v/>
      </c>
      <c r="N814" t="str">
        <f t="shared" si="188"/>
        <v/>
      </c>
      <c r="O814" t="str">
        <f t="shared" si="189"/>
        <v/>
      </c>
      <c r="P814" s="113" t="str">
        <f t="shared" si="178"/>
        <v>9G39</v>
      </c>
      <c r="Q814" s="114">
        <f t="shared" si="179"/>
        <v>310</v>
      </c>
      <c r="R814" s="114">
        <f t="shared" si="180"/>
        <v>299.33333333333331</v>
      </c>
      <c r="S814" s="113">
        <f t="shared" si="181"/>
        <v>287</v>
      </c>
      <c r="T814" s="111">
        <f t="shared" ca="1" si="182"/>
        <v>6.12</v>
      </c>
      <c r="U814" s="111" t="str">
        <f t="shared" si="183"/>
        <v/>
      </c>
      <c r="V814" t="str">
        <f t="array" ref="V814">INDEX(P:P,MAX(U$3:U814))</f>
        <v>9G#2DTR(B)</v>
      </c>
      <c r="W814" t="str">
        <f t="shared" ca="1" si="184"/>
        <v/>
      </c>
      <c r="X814">
        <f t="shared" si="185"/>
        <v>11.4</v>
      </c>
      <c r="Y814">
        <f t="shared" si="186"/>
        <v>310</v>
      </c>
      <c r="Z814" t="str">
        <f t="shared" si="190"/>
        <v>漢寶</v>
      </c>
    </row>
    <row r="815" spans="1:26" x14ac:dyDescent="0.25">
      <c r="A815" s="118" t="s">
        <v>882</v>
      </c>
      <c r="B815" s="119" t="s">
        <v>912</v>
      </c>
      <c r="C815" s="119">
        <v>101</v>
      </c>
      <c r="D815" s="118" t="s">
        <v>198</v>
      </c>
      <c r="E815" s="118">
        <v>101</v>
      </c>
      <c r="F815" s="118" t="s">
        <v>203</v>
      </c>
      <c r="G815" s="118">
        <v>101</v>
      </c>
      <c r="H815" s="118" t="s">
        <v>198</v>
      </c>
      <c r="I815" s="378">
        <v>101</v>
      </c>
      <c r="J815" s="117">
        <v>0</v>
      </c>
      <c r="K815" s="117" t="s">
        <v>194</v>
      </c>
      <c r="L815" t="str">
        <f t="shared" si="177"/>
        <v>9GE9</v>
      </c>
      <c r="M815" t="str">
        <f t="shared" si="187"/>
        <v/>
      </c>
      <c r="N815" t="str">
        <f t="shared" si="188"/>
        <v/>
      </c>
      <c r="O815" t="str">
        <f t="shared" si="189"/>
        <v/>
      </c>
      <c r="P815" s="113" t="str">
        <f t="shared" si="178"/>
        <v>9GE9</v>
      </c>
      <c r="Q815" s="114">
        <f t="shared" si="179"/>
        <v>101</v>
      </c>
      <c r="R815" s="114">
        <f t="shared" si="180"/>
        <v>101</v>
      </c>
      <c r="S815" s="113">
        <f t="shared" si="181"/>
        <v>101</v>
      </c>
      <c r="T815" s="111" t="e">
        <f t="shared" ca="1" si="182"/>
        <v>#VALUE!</v>
      </c>
      <c r="U815" s="111" t="str">
        <f t="shared" si="183"/>
        <v/>
      </c>
      <c r="V815" t="str">
        <f t="array" ref="V815">INDEX(P:P,MAX(U$3:U815))</f>
        <v>9G#2DTR(B)</v>
      </c>
      <c r="W815" t="str">
        <f t="shared" ca="1" si="184"/>
        <v/>
      </c>
      <c r="X815" t="e">
        <f t="shared" si="185"/>
        <v>#VALUE!</v>
      </c>
      <c r="Y815">
        <f t="shared" si="186"/>
        <v>101</v>
      </c>
      <c r="Z815" t="str">
        <f t="shared" si="190"/>
        <v>漢寶</v>
      </c>
    </row>
    <row r="816" spans="1:26" x14ac:dyDescent="0.25">
      <c r="A816" s="118" t="s">
        <v>913</v>
      </c>
      <c r="B816" s="119" t="s">
        <v>175</v>
      </c>
      <c r="C816" s="119">
        <v>807</v>
      </c>
      <c r="D816" s="118" t="s">
        <v>198</v>
      </c>
      <c r="E816" s="118">
        <v>817</v>
      </c>
      <c r="F816" s="118" t="s">
        <v>198</v>
      </c>
      <c r="G816" s="118">
        <v>811</v>
      </c>
      <c r="H816" s="118" t="s">
        <v>198</v>
      </c>
      <c r="I816" s="378">
        <v>817</v>
      </c>
      <c r="J816" s="117"/>
      <c r="K816" s="117"/>
      <c r="L816" t="str">
        <f t="shared" si="177"/>
        <v>IP#1MTR</v>
      </c>
      <c r="M816" t="str">
        <f t="shared" si="187"/>
        <v/>
      </c>
      <c r="N816" t="str">
        <f t="shared" si="188"/>
        <v>IP#1MTR</v>
      </c>
      <c r="O816" t="str">
        <f t="shared" si="189"/>
        <v/>
      </c>
      <c r="P816" s="113" t="str">
        <f t="shared" si="178"/>
        <v>IP#1MTR</v>
      </c>
      <c r="Q816" s="114">
        <f t="shared" si="179"/>
        <v>817</v>
      </c>
      <c r="R816" s="114">
        <f t="shared" si="180"/>
        <v>811.66666666666663</v>
      </c>
      <c r="S816" s="113">
        <f t="shared" si="181"/>
        <v>807</v>
      </c>
      <c r="T816" s="111">
        <f t="shared" ca="1" si="182"/>
        <v>16.13</v>
      </c>
      <c r="U816" s="111">
        <f t="shared" si="183"/>
        <v>816</v>
      </c>
      <c r="V816" t="str">
        <f t="array" ref="V816">INDEX(P:P,MAX(U$3:U816))</f>
        <v>IP#1MTR</v>
      </c>
      <c r="W816">
        <f t="shared" ca="1" si="184"/>
        <v>25</v>
      </c>
      <c r="X816" t="str">
        <f t="shared" si="185"/>
        <v/>
      </c>
      <c r="Y816">
        <f t="shared" si="186"/>
        <v>817</v>
      </c>
      <c r="Z816" t="str">
        <f t="shared" si="190"/>
        <v>福工</v>
      </c>
    </row>
    <row r="817" spans="1:26" x14ac:dyDescent="0.25">
      <c r="A817" s="118" t="s">
        <v>913</v>
      </c>
      <c r="B817" s="119" t="s">
        <v>914</v>
      </c>
      <c r="C817" s="119">
        <v>258</v>
      </c>
      <c r="D817" s="118" t="s">
        <v>177</v>
      </c>
      <c r="E817" s="118">
        <v>259</v>
      </c>
      <c r="F817" s="118" t="s">
        <v>177</v>
      </c>
      <c r="G817" s="118">
        <v>271</v>
      </c>
      <c r="H817" s="118" t="s">
        <v>177</v>
      </c>
      <c r="I817" s="378">
        <v>271</v>
      </c>
      <c r="J817" s="117">
        <v>42</v>
      </c>
      <c r="K817" s="117" t="s">
        <v>177</v>
      </c>
      <c r="L817" t="str">
        <f t="shared" si="177"/>
        <v>IP29</v>
      </c>
      <c r="M817" t="str">
        <f>IF(LEFT(B817,1)="#",IF(LEN(B817)&lt;&gt;5,MID(B817,6,3),""),"")</f>
        <v/>
      </c>
      <c r="N817" t="str">
        <f>IF(LEFT(B817,1)="#",IF(LEN(B817)=5,RIGHT(A817,2)&amp;B817,RIGHT(A817,2)&amp;LEFT(B817,2)&amp;"DTR"),"")</f>
        <v/>
      </c>
      <c r="O817" t="str">
        <f>IF(LEFT(B817,1)="#",IF(LEN(B817)&lt;&gt;5,IF(LEN(B817)&lt;&gt;7,MID(B817,6,3),"("&amp;MID(B817,3,2)&amp;")"),""),"")</f>
        <v/>
      </c>
      <c r="P817" s="113" t="str">
        <f t="shared" si="178"/>
        <v>IP29</v>
      </c>
      <c r="Q817" s="114">
        <f t="shared" si="179"/>
        <v>271</v>
      </c>
      <c r="R817" s="114">
        <f t="shared" si="180"/>
        <v>262.66666666666669</v>
      </c>
      <c r="S817" s="113">
        <f t="shared" si="181"/>
        <v>258</v>
      </c>
      <c r="T817" s="111">
        <f t="shared" ca="1" si="182"/>
        <v>5.35</v>
      </c>
      <c r="U817" s="111" t="str">
        <f t="shared" si="183"/>
        <v/>
      </c>
      <c r="V817" t="str">
        <f t="array" ref="V817">INDEX(P:P,MAX(U$3:U817))</f>
        <v>IP#1MTR</v>
      </c>
      <c r="W817" t="str">
        <f t="shared" ca="1" si="184"/>
        <v/>
      </c>
      <c r="X817">
        <f t="shared" si="185"/>
        <v>11.4</v>
      </c>
      <c r="Y817">
        <f t="shared" si="186"/>
        <v>271</v>
      </c>
      <c r="Z817" t="str">
        <f>LEFT(A817,2)</f>
        <v>福工</v>
      </c>
    </row>
    <row r="818" spans="1:26" x14ac:dyDescent="0.25">
      <c r="A818" s="118" t="s">
        <v>913</v>
      </c>
      <c r="B818" s="119" t="s">
        <v>915</v>
      </c>
      <c r="C818" s="119">
        <v>117</v>
      </c>
      <c r="D818" s="118" t="s">
        <v>203</v>
      </c>
      <c r="E818" s="118">
        <v>114</v>
      </c>
      <c r="F818" s="118" t="s">
        <v>203</v>
      </c>
      <c r="G818" s="118">
        <v>117</v>
      </c>
      <c r="H818" s="118" t="s">
        <v>203</v>
      </c>
      <c r="I818" s="378">
        <v>117</v>
      </c>
      <c r="J818" s="117">
        <v>4</v>
      </c>
      <c r="K818" s="117" t="s">
        <v>376</v>
      </c>
      <c r="L818" t="str">
        <f t="shared" si="177"/>
        <v>IP24</v>
      </c>
      <c r="M818" t="str">
        <f>IF(LEFT(B818,1)="#",IF(LEN(B818)&lt;&gt;5,MID(B818,6,3),""),"")</f>
        <v/>
      </c>
      <c r="N818" t="str">
        <f>IF(LEFT(B818,1)="#",IF(LEN(B818)=5,RIGHT(A818,2)&amp;B818,RIGHT(A818,2)&amp;LEFT(B818,2)&amp;"DTR"),"")</f>
        <v/>
      </c>
      <c r="O818" t="str">
        <f>IF(LEFT(B818,1)="#",IF(LEN(B818)&lt;&gt;5,IF(LEN(B818)&lt;&gt;7,MID(B818,6,3),"("&amp;MID(B818,3,2)&amp;")"),""),"")</f>
        <v/>
      </c>
      <c r="P818" s="113" t="str">
        <f t="shared" si="178"/>
        <v>IP24</v>
      </c>
      <c r="Q818" s="114">
        <f t="shared" si="179"/>
        <v>117</v>
      </c>
      <c r="R818" s="114">
        <f t="shared" si="180"/>
        <v>116</v>
      </c>
      <c r="S818" s="113">
        <f t="shared" si="181"/>
        <v>114</v>
      </c>
      <c r="T818" s="111">
        <f t="shared" ca="1" si="182"/>
        <v>2.31</v>
      </c>
      <c r="U818" s="111" t="str">
        <f t="shared" si="183"/>
        <v/>
      </c>
      <c r="V818" t="str">
        <f t="array" ref="V818">INDEX(P:P,MAX(U$3:U818))</f>
        <v>IP#1MTR</v>
      </c>
      <c r="W818" t="str">
        <f t="shared" ca="1" si="184"/>
        <v/>
      </c>
      <c r="X818">
        <f t="shared" si="185"/>
        <v>11.4</v>
      </c>
      <c r="Y818">
        <f t="shared" si="186"/>
        <v>117</v>
      </c>
      <c r="Z818" t="str">
        <f>LEFT(A818,2)</f>
        <v>福工</v>
      </c>
    </row>
    <row r="819" spans="1:26" x14ac:dyDescent="0.25">
      <c r="A819" s="118" t="s">
        <v>913</v>
      </c>
      <c r="B819" s="119" t="s">
        <v>916</v>
      </c>
      <c r="C819" s="119">
        <v>223</v>
      </c>
      <c r="D819" s="118" t="s">
        <v>207</v>
      </c>
      <c r="E819" s="118">
        <v>207</v>
      </c>
      <c r="F819" s="118" t="s">
        <v>200</v>
      </c>
      <c r="G819" s="118">
        <v>196</v>
      </c>
      <c r="H819" s="118" t="s">
        <v>200</v>
      </c>
      <c r="I819" s="378">
        <v>223</v>
      </c>
      <c r="J819" s="117">
        <v>48</v>
      </c>
      <c r="K819" s="117" t="s">
        <v>176</v>
      </c>
      <c r="L819" t="str">
        <f t="shared" si="177"/>
        <v>IP22</v>
      </c>
      <c r="M819" t="str">
        <f>IF(LEFT(B819,1)="#",IF(LEN(B819)&lt;&gt;5,MID(B819,6,3),""),"")</f>
        <v/>
      </c>
      <c r="N819" t="str">
        <f>IF(LEFT(B819,1)="#",IF(LEN(B819)=5,RIGHT(A819,2)&amp;B819,RIGHT(A819,2)&amp;LEFT(B819,2)&amp;"DTR"),"")</f>
        <v/>
      </c>
      <c r="O819" t="str">
        <f>IF(LEFT(B819,1)="#",IF(LEN(B819)&lt;&gt;5,IF(LEN(B819)&lt;&gt;7,MID(B819,6,3),"("&amp;MID(B819,3,2)&amp;")"),""),"")</f>
        <v/>
      </c>
      <c r="P819" s="113" t="str">
        <f t="shared" si="178"/>
        <v>IP22</v>
      </c>
      <c r="Q819" s="114">
        <f t="shared" si="179"/>
        <v>223</v>
      </c>
      <c r="R819" s="114">
        <f t="shared" si="180"/>
        <v>208.66666666666666</v>
      </c>
      <c r="S819" s="113">
        <f t="shared" si="181"/>
        <v>196</v>
      </c>
      <c r="T819" s="111">
        <f t="shared" ca="1" si="182"/>
        <v>4.4000000000000004</v>
      </c>
      <c r="U819" s="111" t="str">
        <f t="shared" si="183"/>
        <v/>
      </c>
      <c r="V819" t="str">
        <f t="array" ref="V819">INDEX(P:P,MAX(U$3:U819))</f>
        <v>IP#1MTR</v>
      </c>
      <c r="W819" t="str">
        <f t="shared" ca="1" si="184"/>
        <v/>
      </c>
      <c r="X819">
        <f t="shared" si="185"/>
        <v>11.4</v>
      </c>
      <c r="Y819">
        <f t="shared" si="186"/>
        <v>223</v>
      </c>
      <c r="Z819" t="str">
        <f>LEFT(A819,2)</f>
        <v>福工</v>
      </c>
    </row>
    <row r="820" spans="1:26" x14ac:dyDescent="0.25">
      <c r="A820" s="118" t="s">
        <v>913</v>
      </c>
      <c r="B820" s="119" t="s">
        <v>917</v>
      </c>
      <c r="C820" s="119">
        <v>150</v>
      </c>
      <c r="D820" s="118" t="s">
        <v>203</v>
      </c>
      <c r="E820" s="118">
        <v>176</v>
      </c>
      <c r="F820" s="118" t="s">
        <v>203</v>
      </c>
      <c r="G820" s="118">
        <v>168</v>
      </c>
      <c r="H820" s="118" t="s">
        <v>203</v>
      </c>
      <c r="I820" s="378">
        <v>176</v>
      </c>
      <c r="J820" s="117">
        <v>61</v>
      </c>
      <c r="K820" s="117" t="s">
        <v>177</v>
      </c>
      <c r="L820" t="str">
        <f t="shared" si="177"/>
        <v>IP21</v>
      </c>
      <c r="M820" t="str">
        <f t="shared" ref="M820:M828" si="191">IF(LEFT(B820,1)="#",IF(LEN(B820)&lt;&gt;5,MID(B820,6,3),""),"")</f>
        <v/>
      </c>
      <c r="N820" t="str">
        <f t="shared" ref="N820:N828" si="192">IF(LEFT(B820,1)="#",IF(LEN(B820)=5,RIGHT(A820,2)&amp;B820,RIGHT(A820,2)&amp;LEFT(B820,2)&amp;"DTR"),"")</f>
        <v/>
      </c>
      <c r="O820" t="str">
        <f t="shared" ref="O820:O828" si="193">IF(LEFT(B820,1)="#",IF(LEN(B820)&lt;&gt;5,IF(LEN(B820)&lt;&gt;7,MID(B820,6,3),"("&amp;MID(B820,3,2)&amp;")"),""),"")</f>
        <v/>
      </c>
      <c r="P820" s="113" t="str">
        <f t="shared" si="178"/>
        <v>IP21</v>
      </c>
      <c r="Q820" s="114">
        <f t="shared" si="179"/>
        <v>176</v>
      </c>
      <c r="R820" s="114">
        <f t="shared" si="180"/>
        <v>164.66666666666666</v>
      </c>
      <c r="S820" s="113">
        <f t="shared" si="181"/>
        <v>150</v>
      </c>
      <c r="T820" s="111">
        <f t="shared" ca="1" si="182"/>
        <v>3.48</v>
      </c>
      <c r="U820" s="111" t="str">
        <f t="shared" si="183"/>
        <v/>
      </c>
      <c r="V820" t="str">
        <f t="array" ref="V820">INDEX(P:P,MAX(U$3:U820))</f>
        <v>IP#1MTR</v>
      </c>
      <c r="W820" t="str">
        <f t="shared" ca="1" si="184"/>
        <v/>
      </c>
      <c r="X820">
        <f t="shared" si="185"/>
        <v>11.4</v>
      </c>
      <c r="Y820">
        <f t="shared" si="186"/>
        <v>176</v>
      </c>
      <c r="Z820" t="str">
        <f t="shared" ref="Z820:Z828" si="194">LEFT(A820,2)</f>
        <v>福工</v>
      </c>
    </row>
    <row r="821" spans="1:26" x14ac:dyDescent="0.25">
      <c r="A821" s="118" t="s">
        <v>913</v>
      </c>
      <c r="B821" s="119" t="s">
        <v>918</v>
      </c>
      <c r="C821" s="119">
        <v>227</v>
      </c>
      <c r="D821" s="118" t="s">
        <v>200</v>
      </c>
      <c r="E821" s="118">
        <v>230</v>
      </c>
      <c r="F821" s="118" t="s">
        <v>207</v>
      </c>
      <c r="G821" s="118">
        <v>237</v>
      </c>
      <c r="H821" s="118" t="s">
        <v>229</v>
      </c>
      <c r="I821" s="378">
        <v>237</v>
      </c>
      <c r="J821" s="117">
        <v>39</v>
      </c>
      <c r="K821" s="117" t="s">
        <v>180</v>
      </c>
      <c r="L821" t="str">
        <f t="shared" si="177"/>
        <v>IP20</v>
      </c>
      <c r="M821" t="str">
        <f t="shared" si="191"/>
        <v/>
      </c>
      <c r="N821" t="str">
        <f t="shared" si="192"/>
        <v/>
      </c>
      <c r="O821" t="str">
        <f t="shared" si="193"/>
        <v/>
      </c>
      <c r="P821" s="113" t="str">
        <f t="shared" si="178"/>
        <v>IP20</v>
      </c>
      <c r="Q821" s="114">
        <f t="shared" si="179"/>
        <v>237</v>
      </c>
      <c r="R821" s="114">
        <f t="shared" si="180"/>
        <v>231.33333333333334</v>
      </c>
      <c r="S821" s="113">
        <f t="shared" si="181"/>
        <v>227</v>
      </c>
      <c r="T821" s="111">
        <f t="shared" ca="1" si="182"/>
        <v>4.68</v>
      </c>
      <c r="U821" s="111" t="str">
        <f t="shared" si="183"/>
        <v/>
      </c>
      <c r="V821" t="str">
        <f t="array" ref="V821">INDEX(P:P,MAX(U$3:U821))</f>
        <v>IP#1MTR</v>
      </c>
      <c r="W821" t="str">
        <f t="shared" ca="1" si="184"/>
        <v/>
      </c>
      <c r="X821">
        <f t="shared" si="185"/>
        <v>11.4</v>
      </c>
      <c r="Y821">
        <f t="shared" si="186"/>
        <v>237</v>
      </c>
      <c r="Z821" t="str">
        <f t="shared" si="194"/>
        <v>福工</v>
      </c>
    </row>
    <row r="822" spans="1:26" x14ac:dyDescent="0.25">
      <c r="A822" s="118" t="s">
        <v>913</v>
      </c>
      <c r="B822" s="119" t="s">
        <v>187</v>
      </c>
      <c r="C822" s="119">
        <v>716</v>
      </c>
      <c r="D822" s="118" t="s">
        <v>198</v>
      </c>
      <c r="E822" s="118">
        <v>712</v>
      </c>
      <c r="F822" s="118" t="s">
        <v>198</v>
      </c>
      <c r="G822" s="118">
        <v>750</v>
      </c>
      <c r="H822" s="118" t="s">
        <v>198</v>
      </c>
      <c r="I822" s="378">
        <v>750</v>
      </c>
      <c r="J822" s="117"/>
      <c r="K822" s="117"/>
      <c r="L822" t="str">
        <f t="shared" si="177"/>
        <v>IP#2MTR</v>
      </c>
      <c r="M822" t="str">
        <f t="shared" si="191"/>
        <v/>
      </c>
      <c r="N822" t="str">
        <f t="shared" si="192"/>
        <v>IP#2MTR</v>
      </c>
      <c r="O822" t="str">
        <f t="shared" si="193"/>
        <v/>
      </c>
      <c r="P822" s="113" t="str">
        <f t="shared" si="178"/>
        <v>IP#2MTR</v>
      </c>
      <c r="Q822" s="114">
        <f t="shared" si="179"/>
        <v>750</v>
      </c>
      <c r="R822" s="114">
        <f t="shared" si="180"/>
        <v>726</v>
      </c>
      <c r="S822" s="113">
        <f t="shared" si="181"/>
        <v>712</v>
      </c>
      <c r="T822" s="111">
        <f t="shared" ca="1" si="182"/>
        <v>14.81</v>
      </c>
      <c r="U822" s="111">
        <f t="shared" si="183"/>
        <v>822</v>
      </c>
      <c r="V822" t="str">
        <f t="array" ref="V822">INDEX(P:P,MAX(U$3:U822))</f>
        <v>IP#2MTR</v>
      </c>
      <c r="W822">
        <f t="shared" ca="1" si="184"/>
        <v>25</v>
      </c>
      <c r="X822" t="str">
        <f t="shared" si="185"/>
        <v/>
      </c>
      <c r="Y822">
        <f t="shared" si="186"/>
        <v>750</v>
      </c>
      <c r="Z822" t="str">
        <f t="shared" si="194"/>
        <v>福工</v>
      </c>
    </row>
    <row r="823" spans="1:26" x14ac:dyDescent="0.25">
      <c r="A823" s="118" t="s">
        <v>913</v>
      </c>
      <c r="B823" s="119" t="s">
        <v>919</v>
      </c>
      <c r="C823" s="119">
        <v>191</v>
      </c>
      <c r="D823" s="118" t="s">
        <v>179</v>
      </c>
      <c r="E823" s="118">
        <v>189</v>
      </c>
      <c r="F823" s="118" t="s">
        <v>198</v>
      </c>
      <c r="G823" s="118">
        <v>222</v>
      </c>
      <c r="H823" s="118" t="s">
        <v>198</v>
      </c>
      <c r="I823" s="378">
        <v>222</v>
      </c>
      <c r="J823" s="117">
        <v>68</v>
      </c>
      <c r="K823" s="117" t="s">
        <v>198</v>
      </c>
      <c r="L823" t="str">
        <f t="shared" si="177"/>
        <v>IP31</v>
      </c>
      <c r="M823" t="str">
        <f t="shared" si="191"/>
        <v/>
      </c>
      <c r="N823" t="str">
        <f t="shared" si="192"/>
        <v/>
      </c>
      <c r="O823" t="str">
        <f t="shared" si="193"/>
        <v/>
      </c>
      <c r="P823" s="113" t="str">
        <f t="shared" si="178"/>
        <v>IP31</v>
      </c>
      <c r="Q823" s="114">
        <f t="shared" si="179"/>
        <v>222</v>
      </c>
      <c r="R823" s="114">
        <f t="shared" si="180"/>
        <v>200.66666666666666</v>
      </c>
      <c r="S823" s="113">
        <f t="shared" si="181"/>
        <v>189</v>
      </c>
      <c r="T823" s="111">
        <f t="shared" ca="1" si="182"/>
        <v>4.38</v>
      </c>
      <c r="U823" s="111" t="str">
        <f t="shared" si="183"/>
        <v/>
      </c>
      <c r="V823" t="str">
        <f t="array" ref="V823">INDEX(P:P,MAX(U$3:U823))</f>
        <v>IP#2MTR</v>
      </c>
      <c r="W823" t="str">
        <f t="shared" ca="1" si="184"/>
        <v/>
      </c>
      <c r="X823">
        <f t="shared" si="185"/>
        <v>11.4</v>
      </c>
      <c r="Y823">
        <f t="shared" si="186"/>
        <v>222</v>
      </c>
      <c r="Z823" t="str">
        <f t="shared" si="194"/>
        <v>福工</v>
      </c>
    </row>
    <row r="824" spans="1:26" x14ac:dyDescent="0.25">
      <c r="A824" s="118" t="s">
        <v>913</v>
      </c>
      <c r="B824" s="119" t="s">
        <v>920</v>
      </c>
      <c r="C824" s="119">
        <v>168</v>
      </c>
      <c r="D824" s="118" t="s">
        <v>200</v>
      </c>
      <c r="E824" s="118">
        <v>166</v>
      </c>
      <c r="F824" s="118" t="s">
        <v>200</v>
      </c>
      <c r="G824" s="118">
        <v>168</v>
      </c>
      <c r="H824" s="118" t="s">
        <v>200</v>
      </c>
      <c r="I824" s="378">
        <v>168</v>
      </c>
      <c r="J824" s="117">
        <v>0</v>
      </c>
      <c r="K824" s="117" t="s">
        <v>194</v>
      </c>
      <c r="L824" t="str">
        <f t="shared" si="177"/>
        <v>IP30</v>
      </c>
      <c r="M824" t="str">
        <f t="shared" si="191"/>
        <v/>
      </c>
      <c r="N824" t="str">
        <f t="shared" si="192"/>
        <v/>
      </c>
      <c r="O824" t="str">
        <f t="shared" si="193"/>
        <v/>
      </c>
      <c r="P824" s="113" t="str">
        <f t="shared" si="178"/>
        <v>IP30</v>
      </c>
      <c r="Q824" s="114">
        <f t="shared" si="179"/>
        <v>168</v>
      </c>
      <c r="R824" s="114">
        <f t="shared" si="180"/>
        <v>167.33333333333334</v>
      </c>
      <c r="S824" s="113">
        <f t="shared" si="181"/>
        <v>166</v>
      </c>
      <c r="T824" s="111">
        <f t="shared" ca="1" si="182"/>
        <v>3.32</v>
      </c>
      <c r="U824" s="111" t="str">
        <f t="shared" si="183"/>
        <v/>
      </c>
      <c r="V824" t="str">
        <f t="array" ref="V824">INDEX(P:P,MAX(U$3:U824))</f>
        <v>IP#2MTR</v>
      </c>
      <c r="W824" t="str">
        <f t="shared" ca="1" si="184"/>
        <v/>
      </c>
      <c r="X824">
        <f t="shared" si="185"/>
        <v>11.4</v>
      </c>
      <c r="Y824">
        <f t="shared" si="186"/>
        <v>168</v>
      </c>
      <c r="Z824" t="str">
        <f t="shared" si="194"/>
        <v>福工</v>
      </c>
    </row>
    <row r="825" spans="1:26" x14ac:dyDescent="0.25">
      <c r="A825" s="118" t="s">
        <v>913</v>
      </c>
      <c r="B825" s="119" t="s">
        <v>921</v>
      </c>
      <c r="C825" s="119">
        <v>190</v>
      </c>
      <c r="D825" s="118" t="s">
        <v>192</v>
      </c>
      <c r="E825" s="118">
        <v>189</v>
      </c>
      <c r="F825" s="118" t="s">
        <v>192</v>
      </c>
      <c r="G825" s="118">
        <v>187</v>
      </c>
      <c r="H825" s="118" t="s">
        <v>192</v>
      </c>
      <c r="I825" s="378">
        <v>190</v>
      </c>
      <c r="J825" s="117">
        <v>0</v>
      </c>
      <c r="K825" s="117" t="s">
        <v>194</v>
      </c>
      <c r="L825" t="str">
        <f t="shared" si="177"/>
        <v>IP25</v>
      </c>
      <c r="M825" t="str">
        <f t="shared" si="191"/>
        <v/>
      </c>
      <c r="N825" t="str">
        <f t="shared" si="192"/>
        <v/>
      </c>
      <c r="O825" t="str">
        <f t="shared" si="193"/>
        <v/>
      </c>
      <c r="P825" s="113" t="str">
        <f t="shared" si="178"/>
        <v>IP25</v>
      </c>
      <c r="Q825" s="114">
        <f t="shared" si="179"/>
        <v>190</v>
      </c>
      <c r="R825" s="114">
        <f t="shared" si="180"/>
        <v>188.66666666666666</v>
      </c>
      <c r="S825" s="113">
        <f t="shared" si="181"/>
        <v>187</v>
      </c>
      <c r="T825" s="111">
        <f t="shared" ca="1" si="182"/>
        <v>3.75</v>
      </c>
      <c r="U825" s="111" t="str">
        <f t="shared" si="183"/>
        <v/>
      </c>
      <c r="V825" t="str">
        <f t="array" ref="V825">INDEX(P:P,MAX(U$3:U825))</f>
        <v>IP#2MTR</v>
      </c>
      <c r="W825" t="str">
        <f t="shared" ca="1" si="184"/>
        <v/>
      </c>
      <c r="X825">
        <f t="shared" si="185"/>
        <v>11.4</v>
      </c>
      <c r="Y825">
        <f t="shared" si="186"/>
        <v>190</v>
      </c>
      <c r="Z825" t="str">
        <f t="shared" si="194"/>
        <v>福工</v>
      </c>
    </row>
    <row r="826" spans="1:26" x14ac:dyDescent="0.25">
      <c r="A826" s="118" t="s">
        <v>913</v>
      </c>
      <c r="B826" s="119" t="s">
        <v>922</v>
      </c>
      <c r="C826" s="119">
        <v>151</v>
      </c>
      <c r="D826" s="118" t="s">
        <v>203</v>
      </c>
      <c r="E826" s="118">
        <v>143</v>
      </c>
      <c r="F826" s="118" t="s">
        <v>198</v>
      </c>
      <c r="G826" s="118">
        <v>148</v>
      </c>
      <c r="H826" s="118" t="s">
        <v>203</v>
      </c>
      <c r="I826" s="378">
        <v>151</v>
      </c>
      <c r="J826" s="117">
        <v>35</v>
      </c>
      <c r="K826" s="117" t="s">
        <v>177</v>
      </c>
      <c r="L826" t="str">
        <f t="shared" si="177"/>
        <v>IP27</v>
      </c>
      <c r="M826" t="str">
        <f t="shared" si="191"/>
        <v/>
      </c>
      <c r="N826" t="str">
        <f t="shared" si="192"/>
        <v/>
      </c>
      <c r="O826" t="str">
        <f t="shared" si="193"/>
        <v/>
      </c>
      <c r="P826" s="113" t="str">
        <f t="shared" si="178"/>
        <v>IP27</v>
      </c>
      <c r="Q826" s="114">
        <f t="shared" si="179"/>
        <v>151</v>
      </c>
      <c r="R826" s="114">
        <f t="shared" si="180"/>
        <v>147.33333333333334</v>
      </c>
      <c r="S826" s="113">
        <f t="shared" si="181"/>
        <v>143</v>
      </c>
      <c r="T826" s="111">
        <f t="shared" ca="1" si="182"/>
        <v>2.98</v>
      </c>
      <c r="U826" s="111" t="str">
        <f t="shared" si="183"/>
        <v/>
      </c>
      <c r="V826" t="str">
        <f t="array" ref="V826">INDEX(P:P,MAX(U$3:U826))</f>
        <v>IP#2MTR</v>
      </c>
      <c r="W826" t="str">
        <f t="shared" ca="1" si="184"/>
        <v/>
      </c>
      <c r="X826">
        <f t="shared" si="185"/>
        <v>11.4</v>
      </c>
      <c r="Y826">
        <f t="shared" si="186"/>
        <v>151</v>
      </c>
      <c r="Z826" t="str">
        <f t="shared" si="194"/>
        <v>福工</v>
      </c>
    </row>
    <row r="827" spans="1:26" x14ac:dyDescent="0.25">
      <c r="A827" s="118" t="s">
        <v>913</v>
      </c>
      <c r="B827" s="119" t="s">
        <v>923</v>
      </c>
      <c r="C827" s="119">
        <v>111</v>
      </c>
      <c r="D827" s="118" t="s">
        <v>192</v>
      </c>
      <c r="E827" s="118">
        <v>98</v>
      </c>
      <c r="F827" s="118" t="s">
        <v>192</v>
      </c>
      <c r="G827" s="118">
        <v>108</v>
      </c>
      <c r="H827" s="118" t="s">
        <v>200</v>
      </c>
      <c r="I827" s="378">
        <v>111</v>
      </c>
      <c r="J827" s="117">
        <v>38</v>
      </c>
      <c r="K827" s="117" t="s">
        <v>179</v>
      </c>
      <c r="L827" t="str">
        <f t="shared" si="177"/>
        <v>IP28</v>
      </c>
      <c r="M827" t="str">
        <f t="shared" si="191"/>
        <v/>
      </c>
      <c r="N827" t="str">
        <f t="shared" si="192"/>
        <v/>
      </c>
      <c r="O827" t="str">
        <f t="shared" si="193"/>
        <v/>
      </c>
      <c r="P827" s="113" t="str">
        <f t="shared" si="178"/>
        <v>IP28</v>
      </c>
      <c r="Q827" s="114">
        <f t="shared" si="179"/>
        <v>111</v>
      </c>
      <c r="R827" s="114">
        <f t="shared" si="180"/>
        <v>105.66666666666667</v>
      </c>
      <c r="S827" s="113">
        <f t="shared" si="181"/>
        <v>98</v>
      </c>
      <c r="T827" s="111">
        <f t="shared" ca="1" si="182"/>
        <v>2.19</v>
      </c>
      <c r="U827" s="111" t="str">
        <f t="shared" si="183"/>
        <v/>
      </c>
      <c r="V827" t="str">
        <f t="array" ref="V827">INDEX(P:P,MAX(U$3:U827))</f>
        <v>IP#2MTR</v>
      </c>
      <c r="W827" t="str">
        <f t="shared" ca="1" si="184"/>
        <v/>
      </c>
      <c r="X827">
        <f t="shared" si="185"/>
        <v>11.4</v>
      </c>
      <c r="Y827">
        <f t="shared" si="186"/>
        <v>111</v>
      </c>
      <c r="Z827" t="str">
        <f t="shared" si="194"/>
        <v>福工</v>
      </c>
    </row>
    <row r="828" spans="1:26" x14ac:dyDescent="0.25">
      <c r="A828" s="118" t="s">
        <v>913</v>
      </c>
      <c r="B828" s="119" t="s">
        <v>197</v>
      </c>
      <c r="C828" s="119">
        <v>881</v>
      </c>
      <c r="D828" s="118" t="s">
        <v>203</v>
      </c>
      <c r="E828" s="118">
        <v>905</v>
      </c>
      <c r="F828" s="118" t="s">
        <v>203</v>
      </c>
      <c r="G828" s="118">
        <v>932</v>
      </c>
      <c r="H828" s="118" t="s">
        <v>203</v>
      </c>
      <c r="I828" s="378">
        <v>932</v>
      </c>
      <c r="J828" s="117"/>
      <c r="K828" s="117"/>
      <c r="L828" t="str">
        <f t="shared" si="177"/>
        <v>IP#3MTR</v>
      </c>
      <c r="M828" t="str">
        <f t="shared" si="191"/>
        <v/>
      </c>
      <c r="N828" t="str">
        <f t="shared" si="192"/>
        <v>IP#3MTR</v>
      </c>
      <c r="O828" t="str">
        <f t="shared" si="193"/>
        <v/>
      </c>
      <c r="P828" s="113" t="str">
        <f t="shared" si="178"/>
        <v>IP#3MTR</v>
      </c>
      <c r="Q828" s="114">
        <f t="shared" si="179"/>
        <v>932</v>
      </c>
      <c r="R828" s="114">
        <f t="shared" si="180"/>
        <v>906</v>
      </c>
      <c r="S828" s="113">
        <f t="shared" si="181"/>
        <v>881</v>
      </c>
      <c r="T828" s="111">
        <f t="shared" ca="1" si="182"/>
        <v>18.399999999999999</v>
      </c>
      <c r="U828" s="111">
        <f t="shared" si="183"/>
        <v>828</v>
      </c>
      <c r="V828" t="str">
        <f t="array" ref="V828">INDEX(P:P,MAX(U$3:U828))</f>
        <v>IP#3MTR</v>
      </c>
      <c r="W828">
        <f t="shared" ca="1" si="184"/>
        <v>25</v>
      </c>
      <c r="X828" t="str">
        <f t="shared" si="185"/>
        <v/>
      </c>
      <c r="Y828">
        <f t="shared" si="186"/>
        <v>932</v>
      </c>
      <c r="Z828" t="str">
        <f t="shared" si="194"/>
        <v>福工</v>
      </c>
    </row>
    <row r="829" spans="1:26" x14ac:dyDescent="0.25">
      <c r="A829" s="111" t="s">
        <v>913</v>
      </c>
      <c r="B829" s="111" t="s">
        <v>924</v>
      </c>
      <c r="C829" s="111">
        <v>138</v>
      </c>
      <c r="D829" s="382">
        <v>0.33333333333333331</v>
      </c>
      <c r="E829" s="111">
        <v>134</v>
      </c>
      <c r="F829" s="382">
        <v>0.33333333333333331</v>
      </c>
      <c r="G829" s="111">
        <v>138</v>
      </c>
      <c r="H829" s="382">
        <v>0.33333333333333331</v>
      </c>
      <c r="I829" s="379">
        <v>138</v>
      </c>
      <c r="J829">
        <v>0</v>
      </c>
      <c r="K829" s="383">
        <v>0</v>
      </c>
      <c r="L829" t="str">
        <f t="shared" si="177"/>
        <v>IP23</v>
      </c>
      <c r="M829" t="str">
        <f t="shared" ref="M829:M870" si="195">IF(LEFT(B829,1)="#",IF(LEN(B829)&lt;&gt;5,MID(B829,6,3),""),"")</f>
        <v/>
      </c>
      <c r="N829" t="str">
        <f t="shared" ref="N829:N870" si="196">IF(LEFT(B829,1)="#",IF(LEN(B829)=5,RIGHT(A829,2)&amp;B829,RIGHT(A829,2)&amp;LEFT(B829,2)&amp;"DTR"),"")</f>
        <v/>
      </c>
      <c r="O829" t="str">
        <f t="shared" ref="O829:O870" si="197">IF(LEFT(B829,1)="#",IF(LEN(B829)&lt;&gt;5,IF(LEN(B829)&lt;&gt;7,MID(B829,6,3),"("&amp;MID(B829,3,2)&amp;")"),""),"")</f>
        <v/>
      </c>
      <c r="P829" s="113" t="str">
        <f t="shared" si="178"/>
        <v>IP23</v>
      </c>
      <c r="Q829" s="114">
        <f t="shared" si="179"/>
        <v>138</v>
      </c>
      <c r="R829" s="114">
        <f t="shared" si="180"/>
        <v>136.66666666666666</v>
      </c>
      <c r="S829" s="113">
        <f t="shared" si="181"/>
        <v>134</v>
      </c>
      <c r="T829" s="111">
        <f t="shared" ca="1" si="182"/>
        <v>2.72</v>
      </c>
      <c r="U829" s="111" t="str">
        <f t="shared" si="183"/>
        <v/>
      </c>
      <c r="V829" t="str">
        <f t="array" ref="V829">INDEX(P:P,MAX(U$3:U829))</f>
        <v>IP#3MTR</v>
      </c>
      <c r="W829" t="str">
        <f t="shared" ca="1" si="184"/>
        <v/>
      </c>
      <c r="X829">
        <f t="shared" si="185"/>
        <v>11.4</v>
      </c>
      <c r="Y829">
        <f t="shared" si="186"/>
        <v>138</v>
      </c>
      <c r="Z829" t="str">
        <f t="shared" ref="Z829:Z870" si="198">LEFT(A829,2)</f>
        <v>福工</v>
      </c>
    </row>
    <row r="830" spans="1:26" x14ac:dyDescent="0.25">
      <c r="A830" t="s">
        <v>913</v>
      </c>
      <c r="B830" t="s">
        <v>925</v>
      </c>
      <c r="C830">
        <v>143</v>
      </c>
      <c r="D830" s="383">
        <v>0.33333333333333331</v>
      </c>
      <c r="E830">
        <v>145</v>
      </c>
      <c r="F830" s="383">
        <v>0.33333333333333331</v>
      </c>
      <c r="G830">
        <v>147</v>
      </c>
      <c r="H830" s="383">
        <v>0.33333333333333331</v>
      </c>
      <c r="I830" s="380">
        <v>147</v>
      </c>
      <c r="J830">
        <v>13</v>
      </c>
      <c r="K830" s="383">
        <v>0.875</v>
      </c>
      <c r="L830" t="str">
        <f t="shared" si="177"/>
        <v>IP26</v>
      </c>
      <c r="M830" t="str">
        <f t="shared" si="195"/>
        <v/>
      </c>
      <c r="N830" t="str">
        <f t="shared" si="196"/>
        <v/>
      </c>
      <c r="O830" t="str">
        <f t="shared" si="197"/>
        <v/>
      </c>
      <c r="P830" s="113" t="str">
        <f t="shared" si="178"/>
        <v>IP26</v>
      </c>
      <c r="Q830" s="114">
        <f t="shared" si="179"/>
        <v>147</v>
      </c>
      <c r="R830" s="114">
        <f t="shared" si="180"/>
        <v>145</v>
      </c>
      <c r="S830" s="113">
        <f t="shared" si="181"/>
        <v>143</v>
      </c>
      <c r="T830" s="111">
        <f t="shared" ca="1" si="182"/>
        <v>2.9</v>
      </c>
      <c r="U830" s="111" t="str">
        <f t="shared" si="183"/>
        <v/>
      </c>
      <c r="V830" t="str">
        <f t="array" ref="V830">INDEX(P:P,MAX(U$3:U830))</f>
        <v>IP#3MTR</v>
      </c>
      <c r="W830" t="str">
        <f t="shared" ca="1" si="184"/>
        <v/>
      </c>
      <c r="X830">
        <f t="shared" si="185"/>
        <v>11.4</v>
      </c>
      <c r="Y830">
        <f t="shared" si="186"/>
        <v>147</v>
      </c>
      <c r="Z830" t="str">
        <f t="shared" si="198"/>
        <v>福工</v>
      </c>
    </row>
    <row r="831" spans="1:26" x14ac:dyDescent="0.25">
      <c r="A831" t="s">
        <v>913</v>
      </c>
      <c r="B831" t="s">
        <v>926</v>
      </c>
      <c r="C831">
        <v>384</v>
      </c>
      <c r="D831" s="383">
        <v>0.58333333333333337</v>
      </c>
      <c r="E831">
        <v>384</v>
      </c>
      <c r="F831" s="383">
        <v>0.58333333333333337</v>
      </c>
      <c r="G831">
        <v>377</v>
      </c>
      <c r="H831" s="383">
        <v>0.58333333333333337</v>
      </c>
      <c r="I831" s="380">
        <v>384</v>
      </c>
      <c r="J831">
        <v>27</v>
      </c>
      <c r="K831" s="383">
        <v>0.375</v>
      </c>
      <c r="L831" t="str">
        <f t="shared" si="177"/>
        <v>IP32</v>
      </c>
      <c r="M831" t="str">
        <f t="shared" si="195"/>
        <v/>
      </c>
      <c r="N831" t="str">
        <f t="shared" si="196"/>
        <v/>
      </c>
      <c r="O831" t="str">
        <f t="shared" si="197"/>
        <v/>
      </c>
      <c r="P831" s="113" t="str">
        <f t="shared" si="178"/>
        <v>IP32</v>
      </c>
      <c r="Q831" s="114">
        <f t="shared" si="179"/>
        <v>384</v>
      </c>
      <c r="R831" s="114">
        <f t="shared" si="180"/>
        <v>381.66666666666669</v>
      </c>
      <c r="S831" s="113">
        <f t="shared" si="181"/>
        <v>377</v>
      </c>
      <c r="T831" s="111">
        <f t="shared" ca="1" si="182"/>
        <v>7.58</v>
      </c>
      <c r="U831" s="111" t="str">
        <f t="shared" si="183"/>
        <v/>
      </c>
      <c r="V831" t="str">
        <f t="array" ref="V831">INDEX(P:P,MAX(U$3:U831))</f>
        <v>IP#3MTR</v>
      </c>
      <c r="W831" t="str">
        <f t="shared" ca="1" si="184"/>
        <v/>
      </c>
      <c r="X831">
        <f t="shared" si="185"/>
        <v>11.4</v>
      </c>
      <c r="Y831">
        <f t="shared" si="186"/>
        <v>384</v>
      </c>
      <c r="Z831" t="str">
        <f t="shared" si="198"/>
        <v>福工</v>
      </c>
    </row>
    <row r="832" spans="1:26" x14ac:dyDescent="0.25">
      <c r="A832" t="s">
        <v>913</v>
      </c>
      <c r="B832" t="s">
        <v>927</v>
      </c>
      <c r="C832">
        <v>252</v>
      </c>
      <c r="D832" s="383">
        <v>0.625</v>
      </c>
      <c r="E832">
        <v>256</v>
      </c>
      <c r="F832" s="383">
        <v>0.625</v>
      </c>
      <c r="G832">
        <v>270</v>
      </c>
      <c r="H832" s="383">
        <v>0.625</v>
      </c>
      <c r="I832" s="380">
        <v>270</v>
      </c>
      <c r="J832">
        <v>49</v>
      </c>
      <c r="K832" s="383">
        <v>0.91666666666666663</v>
      </c>
      <c r="L832" t="str">
        <f t="shared" si="177"/>
        <v>IP33</v>
      </c>
      <c r="M832" t="str">
        <f t="shared" si="195"/>
        <v/>
      </c>
      <c r="N832" t="str">
        <f t="shared" si="196"/>
        <v/>
      </c>
      <c r="O832" t="str">
        <f t="shared" si="197"/>
        <v/>
      </c>
      <c r="P832" s="113" t="str">
        <f t="shared" si="178"/>
        <v>IP33</v>
      </c>
      <c r="Q832" s="114">
        <f t="shared" si="179"/>
        <v>270</v>
      </c>
      <c r="R832" s="114">
        <f t="shared" si="180"/>
        <v>259.33333333333331</v>
      </c>
      <c r="S832" s="113">
        <f t="shared" si="181"/>
        <v>252</v>
      </c>
      <c r="T832" s="111">
        <f t="shared" ca="1" si="182"/>
        <v>5.33</v>
      </c>
      <c r="U832" s="111" t="str">
        <f t="shared" si="183"/>
        <v/>
      </c>
      <c r="V832" t="str">
        <f t="array" ref="V832">INDEX(P:P,MAX(U$3:U832))</f>
        <v>IP#3MTR</v>
      </c>
      <c r="W832" t="str">
        <f t="shared" ca="1" si="184"/>
        <v/>
      </c>
      <c r="X832">
        <f t="shared" si="185"/>
        <v>11.4</v>
      </c>
      <c r="Y832">
        <f t="shared" si="186"/>
        <v>270</v>
      </c>
      <c r="Z832" t="str">
        <f t="shared" si="198"/>
        <v>福工</v>
      </c>
    </row>
    <row r="833" spans="1:26" x14ac:dyDescent="0.25">
      <c r="A833" t="s">
        <v>913</v>
      </c>
      <c r="B833" t="s">
        <v>928</v>
      </c>
      <c r="C833">
        <v>109</v>
      </c>
      <c r="D833" s="383">
        <v>0.375</v>
      </c>
      <c r="E833">
        <v>125</v>
      </c>
      <c r="F833" s="383">
        <v>0.625</v>
      </c>
      <c r="G833">
        <v>150</v>
      </c>
      <c r="H833" s="383">
        <v>0.83333333333333337</v>
      </c>
      <c r="I833" s="380">
        <v>150</v>
      </c>
      <c r="J833">
        <v>69</v>
      </c>
      <c r="K833" s="383">
        <v>0.83333333333333337</v>
      </c>
      <c r="L833" t="str">
        <f t="shared" si="177"/>
        <v>IP34</v>
      </c>
      <c r="M833" t="str">
        <f t="shared" si="195"/>
        <v/>
      </c>
      <c r="N833" t="str">
        <f t="shared" si="196"/>
        <v/>
      </c>
      <c r="O833" t="str">
        <f t="shared" si="197"/>
        <v/>
      </c>
      <c r="P833" s="113" t="str">
        <f t="shared" si="178"/>
        <v>IP34</v>
      </c>
      <c r="Q833" s="114">
        <f t="shared" si="179"/>
        <v>150</v>
      </c>
      <c r="R833" s="114">
        <f t="shared" si="180"/>
        <v>128</v>
      </c>
      <c r="S833" s="113">
        <f t="shared" si="181"/>
        <v>109</v>
      </c>
      <c r="T833" s="111">
        <f t="shared" ca="1" si="182"/>
        <v>2.96</v>
      </c>
      <c r="U833" s="111" t="str">
        <f t="shared" si="183"/>
        <v/>
      </c>
      <c r="V833" t="str">
        <f t="array" ref="V833">INDEX(P:P,MAX(U$3:U833))</f>
        <v>IP#3MTR</v>
      </c>
      <c r="W833" t="str">
        <f t="shared" ca="1" si="184"/>
        <v/>
      </c>
      <c r="X833">
        <f t="shared" si="185"/>
        <v>11.4</v>
      </c>
      <c r="Y833">
        <f t="shared" si="186"/>
        <v>150</v>
      </c>
      <c r="Z833" t="str">
        <f t="shared" si="198"/>
        <v>福工</v>
      </c>
    </row>
    <row r="834" spans="1:26" x14ac:dyDescent="0.25">
      <c r="A834" t="s">
        <v>929</v>
      </c>
      <c r="B834" t="s">
        <v>254</v>
      </c>
      <c r="C834">
        <v>1056</v>
      </c>
      <c r="D834" s="383">
        <v>0.79166666666666663</v>
      </c>
      <c r="E834">
        <v>1016</v>
      </c>
      <c r="F834" s="383">
        <v>0.79166666666666663</v>
      </c>
      <c r="G834">
        <v>1015</v>
      </c>
      <c r="H834" s="383">
        <v>0.75</v>
      </c>
      <c r="I834" s="380">
        <v>1056</v>
      </c>
      <c r="L834" t="str">
        <f t="shared" si="177"/>
        <v>9I#1DTR(A)</v>
      </c>
      <c r="M834" t="str">
        <f t="shared" si="195"/>
        <v>(A)</v>
      </c>
      <c r="N834" t="str">
        <f t="shared" si="196"/>
        <v>9I#1DTR</v>
      </c>
      <c r="O834" t="str">
        <f t="shared" si="197"/>
        <v>(A)</v>
      </c>
      <c r="P834" s="113" t="str">
        <f t="shared" si="178"/>
        <v>9I#1DTR(A)</v>
      </c>
      <c r="Q834" s="114">
        <f t="shared" si="179"/>
        <v>1056</v>
      </c>
      <c r="R834" s="114">
        <f t="shared" si="180"/>
        <v>1029</v>
      </c>
      <c r="S834" s="113">
        <f t="shared" si="181"/>
        <v>1015</v>
      </c>
      <c r="T834" s="111">
        <f t="shared" ca="1" si="182"/>
        <v>20.85</v>
      </c>
      <c r="U834" s="111">
        <f t="shared" si="183"/>
        <v>834</v>
      </c>
      <c r="V834" t="str">
        <f t="array" ref="V834">INDEX(P:P,MAX(U$3:U834))</f>
        <v>9I#1DTR(A)</v>
      </c>
      <c r="W834">
        <f t="shared" ca="1" si="184"/>
        <v>30</v>
      </c>
      <c r="X834" t="str">
        <f t="shared" si="185"/>
        <v/>
      </c>
      <c r="Y834">
        <f t="shared" si="186"/>
        <v>1056</v>
      </c>
      <c r="Z834" t="str">
        <f t="shared" si="198"/>
        <v>福興</v>
      </c>
    </row>
    <row r="835" spans="1:26" x14ac:dyDescent="0.25">
      <c r="A835" t="s">
        <v>929</v>
      </c>
      <c r="B835" t="s">
        <v>930</v>
      </c>
      <c r="C835">
        <v>85</v>
      </c>
      <c r="D835" s="383">
        <v>0.83333333333333337</v>
      </c>
      <c r="E835">
        <v>115</v>
      </c>
      <c r="F835" s="383">
        <v>0.875</v>
      </c>
      <c r="G835">
        <v>90</v>
      </c>
      <c r="H835" s="383">
        <v>0.83333333333333337</v>
      </c>
      <c r="I835" s="380">
        <v>115</v>
      </c>
      <c r="J835">
        <v>43</v>
      </c>
      <c r="K835" s="383">
        <v>0.875</v>
      </c>
      <c r="L835" t="str">
        <f t="shared" ref="L835:L877" si="199">IF(COUNTIF(B835,"*TR*")&gt;0,SUBSTITUTE(RIGHT(TRIM(A835),2) &amp; B835," ",""),MID(B835,FIND("(",B835)+1,4))</f>
        <v>9I20</v>
      </c>
      <c r="M835" t="str">
        <f t="shared" si="195"/>
        <v/>
      </c>
      <c r="N835" t="str">
        <f t="shared" si="196"/>
        <v/>
      </c>
      <c r="O835" t="str">
        <f t="shared" si="197"/>
        <v/>
      </c>
      <c r="P835" s="113" t="str">
        <f t="shared" ref="P835:P877" si="200">IF(COUNTIF(B835,"*TR*")&gt;0,SUBSTITUTE(RIGHT(TRIM(A835),2) &amp; B835," ",""),MID(B835,FIND("(",B835)+1,4))</f>
        <v>9I20</v>
      </c>
      <c r="Q835" s="114">
        <f t="shared" ref="Q835:Q877" si="201">VALUE(I835)</f>
        <v>115</v>
      </c>
      <c r="R835" s="114">
        <f t="shared" ref="R835:R877" si="202">AVERAGE(C835*1,E835*1,G835*1)</f>
        <v>96.666666666666671</v>
      </c>
      <c r="S835" s="113">
        <f t="shared" ref="S835:S877" si="203">MIN(C835*1,E835*1,G835*1)</f>
        <v>85</v>
      </c>
      <c r="T835" s="111">
        <f t="shared" ref="T835:T877" ca="1" si="204">IF(LEFT(TRIM(B835),1)="#",ROUND(OFFSET(X835,1,0,1,1)*Y835*SQRT(3)/1000,2),ROUND(Q835*X835*SQRT(3)/1000,2))</f>
        <v>2.27</v>
      </c>
      <c r="U835" s="111" t="str">
        <f t="shared" ref="U835:U877" si="205">IF(ISNUMBER(FIND("#",B835)),ROW(),"")</f>
        <v/>
      </c>
      <c r="V835" t="str">
        <f t="array" ref="V835">INDEX(P:P,MAX(U$3:U835))</f>
        <v>9I#1DTR(A)</v>
      </c>
      <c r="W835" t="str">
        <f t="shared" ref="W835:W877" ca="1" si="206">IF(LEFT(TRIM(B835),1)="#",IF(ISNUMBER(FIND("DTR",B835)),IF(MID(OFFSET(P835,1,0,1,1),3,1)*1&lt;5,30,60),25),"")</f>
        <v/>
      </c>
      <c r="X835">
        <f t="shared" ref="X835:X877" si="207">IF(LEFT(TRIM(B835),1)= "#","",IF(MID(P835,3,1)*1&lt;5,11.4,22.8))</f>
        <v>11.4</v>
      </c>
      <c r="Y835">
        <f t="shared" ref="Y835:Y876" si="208">SUMIF(L:L,L835,I:I)</f>
        <v>115</v>
      </c>
      <c r="Z835" t="str">
        <f t="shared" si="198"/>
        <v>福興</v>
      </c>
    </row>
    <row r="836" spans="1:26" x14ac:dyDescent="0.25">
      <c r="A836" t="s">
        <v>929</v>
      </c>
      <c r="B836" t="s">
        <v>931</v>
      </c>
      <c r="C836">
        <v>227</v>
      </c>
      <c r="D836" s="383">
        <v>0.625</v>
      </c>
      <c r="E836">
        <v>242</v>
      </c>
      <c r="F836" s="383">
        <v>0.625</v>
      </c>
      <c r="G836">
        <v>275</v>
      </c>
      <c r="H836" s="383">
        <v>0.625</v>
      </c>
      <c r="I836" s="380">
        <v>275</v>
      </c>
      <c r="J836">
        <v>68</v>
      </c>
      <c r="K836" s="383">
        <v>0.45833333333333331</v>
      </c>
      <c r="L836" t="str">
        <f t="shared" si="199"/>
        <v>9I21</v>
      </c>
      <c r="M836" t="str">
        <f t="shared" si="195"/>
        <v/>
      </c>
      <c r="N836" t="str">
        <f t="shared" si="196"/>
        <v/>
      </c>
      <c r="O836" t="str">
        <f t="shared" si="197"/>
        <v/>
      </c>
      <c r="P836" s="113" t="str">
        <f t="shared" si="200"/>
        <v>9I21</v>
      </c>
      <c r="Q836" s="114">
        <f t="shared" si="201"/>
        <v>275</v>
      </c>
      <c r="R836" s="114">
        <f t="shared" si="202"/>
        <v>248</v>
      </c>
      <c r="S836" s="113">
        <f t="shared" si="203"/>
        <v>227</v>
      </c>
      <c r="T836" s="111">
        <f t="shared" ca="1" si="204"/>
        <v>5.43</v>
      </c>
      <c r="U836" s="111" t="str">
        <f t="shared" si="205"/>
        <v/>
      </c>
      <c r="V836" t="str">
        <f t="array" ref="V836">INDEX(P:P,MAX(U$3:U836))</f>
        <v>9I#1DTR(A)</v>
      </c>
      <c r="W836" t="str">
        <f t="shared" ca="1" si="206"/>
        <v/>
      </c>
      <c r="X836">
        <f t="shared" si="207"/>
        <v>11.4</v>
      </c>
      <c r="Y836">
        <f t="shared" si="208"/>
        <v>275</v>
      </c>
      <c r="Z836" t="str">
        <f t="shared" si="198"/>
        <v>福興</v>
      </c>
    </row>
    <row r="837" spans="1:26" x14ac:dyDescent="0.25">
      <c r="A837" t="s">
        <v>929</v>
      </c>
      <c r="B837" t="s">
        <v>932</v>
      </c>
      <c r="C837">
        <v>230</v>
      </c>
      <c r="D837" s="383">
        <v>0.75</v>
      </c>
      <c r="E837">
        <v>219</v>
      </c>
      <c r="F837" s="383">
        <v>0.66666666666666663</v>
      </c>
      <c r="G837">
        <v>187</v>
      </c>
      <c r="H837" s="383">
        <v>0.75</v>
      </c>
      <c r="I837" s="380">
        <v>230</v>
      </c>
      <c r="J837">
        <v>80</v>
      </c>
      <c r="K837" s="383">
        <v>0.625</v>
      </c>
      <c r="L837" t="str">
        <f t="shared" si="199"/>
        <v>9I22</v>
      </c>
      <c r="M837" t="str">
        <f t="shared" si="195"/>
        <v/>
      </c>
      <c r="N837" t="str">
        <f t="shared" si="196"/>
        <v/>
      </c>
      <c r="O837" t="str">
        <f t="shared" si="197"/>
        <v/>
      </c>
      <c r="P837" s="113" t="str">
        <f t="shared" si="200"/>
        <v>9I22</v>
      </c>
      <c r="Q837" s="114">
        <f t="shared" si="201"/>
        <v>230</v>
      </c>
      <c r="R837" s="114">
        <f t="shared" si="202"/>
        <v>212</v>
      </c>
      <c r="S837" s="113">
        <f t="shared" si="203"/>
        <v>187</v>
      </c>
      <c r="T837" s="111">
        <f t="shared" ca="1" si="204"/>
        <v>4.54</v>
      </c>
      <c r="U837" s="111" t="str">
        <f t="shared" si="205"/>
        <v/>
      </c>
      <c r="V837" t="str">
        <f t="array" ref="V837">INDEX(P:P,MAX(U$3:U837))</f>
        <v>9I#1DTR(A)</v>
      </c>
      <c r="W837" t="str">
        <f t="shared" ca="1" si="206"/>
        <v/>
      </c>
      <c r="X837">
        <f t="shared" si="207"/>
        <v>11.4</v>
      </c>
      <c r="Y837">
        <f t="shared" si="208"/>
        <v>230</v>
      </c>
      <c r="Z837" t="str">
        <f t="shared" si="198"/>
        <v>福興</v>
      </c>
    </row>
    <row r="838" spans="1:26" x14ac:dyDescent="0.25">
      <c r="A838" t="s">
        <v>929</v>
      </c>
      <c r="B838" t="s">
        <v>933</v>
      </c>
      <c r="C838">
        <v>50</v>
      </c>
      <c r="D838" s="383">
        <v>0.41666666666666669</v>
      </c>
      <c r="E838">
        <v>30</v>
      </c>
      <c r="F838" s="383">
        <v>0.625</v>
      </c>
      <c r="G838">
        <v>46</v>
      </c>
      <c r="H838" s="383">
        <v>0.41666666666666669</v>
      </c>
      <c r="I838" s="380">
        <v>50</v>
      </c>
      <c r="J838">
        <v>39</v>
      </c>
      <c r="K838" s="383">
        <v>0.41666666666666669</v>
      </c>
      <c r="L838" t="str">
        <f t="shared" si="199"/>
        <v>9I23</v>
      </c>
      <c r="M838" t="str">
        <f t="shared" si="195"/>
        <v/>
      </c>
      <c r="N838" t="str">
        <f t="shared" si="196"/>
        <v/>
      </c>
      <c r="O838" t="str">
        <f t="shared" si="197"/>
        <v/>
      </c>
      <c r="P838" s="113" t="str">
        <f t="shared" si="200"/>
        <v>9I23</v>
      </c>
      <c r="Q838" s="114">
        <f t="shared" si="201"/>
        <v>50</v>
      </c>
      <c r="R838" s="114">
        <f t="shared" si="202"/>
        <v>42</v>
      </c>
      <c r="S838" s="113">
        <f t="shared" si="203"/>
        <v>30</v>
      </c>
      <c r="T838" s="111">
        <f t="shared" ca="1" si="204"/>
        <v>0.99</v>
      </c>
      <c r="U838" s="111" t="str">
        <f t="shared" si="205"/>
        <v/>
      </c>
      <c r="V838" t="str">
        <f t="array" ref="V838">INDEX(P:P,MAX(U$3:U838))</f>
        <v>9I#1DTR(A)</v>
      </c>
      <c r="W838" t="str">
        <f t="shared" ca="1" si="206"/>
        <v/>
      </c>
      <c r="X838">
        <f t="shared" si="207"/>
        <v>11.4</v>
      </c>
      <c r="Y838">
        <f t="shared" si="208"/>
        <v>50</v>
      </c>
      <c r="Z838" t="str">
        <f t="shared" si="198"/>
        <v>福興</v>
      </c>
    </row>
    <row r="839" spans="1:26" x14ac:dyDescent="0.25">
      <c r="A839" t="s">
        <v>929</v>
      </c>
      <c r="B839" t="s">
        <v>934</v>
      </c>
      <c r="C839">
        <v>291</v>
      </c>
      <c r="D839" s="383">
        <v>0.58333333333333337</v>
      </c>
      <c r="E839">
        <v>274</v>
      </c>
      <c r="F839" s="383">
        <v>0.58333333333333337</v>
      </c>
      <c r="G839">
        <v>263</v>
      </c>
      <c r="H839" s="383">
        <v>0.58333333333333337</v>
      </c>
      <c r="I839" s="380">
        <v>291</v>
      </c>
      <c r="J839">
        <v>61</v>
      </c>
      <c r="K839" s="383">
        <v>0.95833333333333337</v>
      </c>
      <c r="L839" t="str">
        <f t="shared" si="199"/>
        <v>9I24</v>
      </c>
      <c r="M839" t="str">
        <f t="shared" si="195"/>
        <v/>
      </c>
      <c r="N839" t="str">
        <f t="shared" si="196"/>
        <v/>
      </c>
      <c r="O839" t="str">
        <f t="shared" si="197"/>
        <v/>
      </c>
      <c r="P839" s="113" t="str">
        <f t="shared" si="200"/>
        <v>9I24</v>
      </c>
      <c r="Q839" s="114">
        <f t="shared" si="201"/>
        <v>291</v>
      </c>
      <c r="R839" s="114">
        <f t="shared" si="202"/>
        <v>276</v>
      </c>
      <c r="S839" s="113">
        <f t="shared" si="203"/>
        <v>263</v>
      </c>
      <c r="T839" s="111">
        <f t="shared" ca="1" si="204"/>
        <v>5.75</v>
      </c>
      <c r="U839" s="111" t="str">
        <f t="shared" si="205"/>
        <v/>
      </c>
      <c r="V839" t="str">
        <f t="array" ref="V839">INDEX(P:P,MAX(U$3:U839))</f>
        <v>9I#1DTR(A)</v>
      </c>
      <c r="W839" t="str">
        <f t="shared" ca="1" si="206"/>
        <v/>
      </c>
      <c r="X839">
        <f t="shared" si="207"/>
        <v>11.4</v>
      </c>
      <c r="Y839">
        <f t="shared" si="208"/>
        <v>291</v>
      </c>
      <c r="Z839" t="str">
        <f t="shared" si="198"/>
        <v>福興</v>
      </c>
    </row>
    <row r="840" spans="1:26" x14ac:dyDescent="0.25">
      <c r="A840" t="s">
        <v>929</v>
      </c>
      <c r="B840" t="s">
        <v>935</v>
      </c>
      <c r="C840">
        <v>296</v>
      </c>
      <c r="D840" s="383">
        <v>0.875</v>
      </c>
      <c r="E840">
        <v>255</v>
      </c>
      <c r="F840" s="383">
        <v>0.875</v>
      </c>
      <c r="G840">
        <v>274</v>
      </c>
      <c r="H840" s="383">
        <v>0.875</v>
      </c>
      <c r="I840" s="380">
        <v>296</v>
      </c>
      <c r="J840">
        <v>64</v>
      </c>
      <c r="K840" s="383">
        <v>0.91666666666666663</v>
      </c>
      <c r="L840" t="str">
        <f t="shared" si="199"/>
        <v>9I25</v>
      </c>
      <c r="M840" t="str">
        <f t="shared" si="195"/>
        <v/>
      </c>
      <c r="N840" t="str">
        <f t="shared" si="196"/>
        <v/>
      </c>
      <c r="O840" t="str">
        <f t="shared" si="197"/>
        <v/>
      </c>
      <c r="P840" s="113" t="str">
        <f t="shared" si="200"/>
        <v>9I25</v>
      </c>
      <c r="Q840" s="114">
        <f t="shared" si="201"/>
        <v>296</v>
      </c>
      <c r="R840" s="114">
        <f t="shared" si="202"/>
        <v>275</v>
      </c>
      <c r="S840" s="113">
        <f t="shared" si="203"/>
        <v>255</v>
      </c>
      <c r="T840" s="111">
        <f t="shared" ca="1" si="204"/>
        <v>5.84</v>
      </c>
      <c r="U840" s="111" t="str">
        <f t="shared" si="205"/>
        <v/>
      </c>
      <c r="V840" t="str">
        <f t="array" ref="V840">INDEX(P:P,MAX(U$3:U840))</f>
        <v>9I#1DTR(A)</v>
      </c>
      <c r="W840" t="str">
        <f t="shared" ca="1" si="206"/>
        <v/>
      </c>
      <c r="X840">
        <f t="shared" si="207"/>
        <v>11.4</v>
      </c>
      <c r="Y840">
        <f t="shared" si="208"/>
        <v>296</v>
      </c>
      <c r="Z840" t="str">
        <f t="shared" si="198"/>
        <v>福興</v>
      </c>
    </row>
    <row r="841" spans="1:26" x14ac:dyDescent="0.25">
      <c r="A841" t="s">
        <v>929</v>
      </c>
      <c r="B841" t="s">
        <v>295</v>
      </c>
      <c r="C841">
        <v>601</v>
      </c>
      <c r="D841" s="383">
        <v>0.79166666666666663</v>
      </c>
      <c r="E841">
        <v>585</v>
      </c>
      <c r="F841" s="383">
        <v>0.75</v>
      </c>
      <c r="G841">
        <v>645</v>
      </c>
      <c r="H841" s="383">
        <v>0.79166666666666663</v>
      </c>
      <c r="I841" s="380">
        <v>645</v>
      </c>
      <c r="L841" t="str">
        <f t="shared" si="199"/>
        <v>9I#1DTR(B)</v>
      </c>
      <c r="M841" t="str">
        <f t="shared" si="195"/>
        <v>(B)</v>
      </c>
      <c r="N841" t="str">
        <f t="shared" si="196"/>
        <v>9I#1DTR</v>
      </c>
      <c r="O841" t="str">
        <f t="shared" si="197"/>
        <v>(B)</v>
      </c>
      <c r="P841" s="113" t="str">
        <f t="shared" si="200"/>
        <v>9I#1DTR(B)</v>
      </c>
      <c r="Q841" s="114">
        <f t="shared" si="201"/>
        <v>645</v>
      </c>
      <c r="R841" s="114">
        <f t="shared" si="202"/>
        <v>610.33333333333337</v>
      </c>
      <c r="S841" s="113">
        <f t="shared" si="203"/>
        <v>585</v>
      </c>
      <c r="T841" s="111">
        <f t="shared" ca="1" si="204"/>
        <v>12.74</v>
      </c>
      <c r="U841" s="111">
        <f t="shared" si="205"/>
        <v>841</v>
      </c>
      <c r="V841" t="str">
        <f t="array" ref="V841">INDEX(P:P,MAX(U$3:U841))</f>
        <v>9I#1DTR(B)</v>
      </c>
      <c r="W841">
        <f t="shared" ca="1" si="206"/>
        <v>30</v>
      </c>
      <c r="X841" t="str">
        <f t="shared" si="207"/>
        <v/>
      </c>
      <c r="Y841">
        <f t="shared" si="208"/>
        <v>645</v>
      </c>
      <c r="Z841" t="str">
        <f t="shared" si="198"/>
        <v>福興</v>
      </c>
    </row>
    <row r="842" spans="1:26" x14ac:dyDescent="0.25">
      <c r="A842" t="s">
        <v>929</v>
      </c>
      <c r="B842" t="s">
        <v>936</v>
      </c>
      <c r="C842">
        <v>95</v>
      </c>
      <c r="D842" s="383">
        <v>0.83333333333333337</v>
      </c>
      <c r="E842">
        <v>92</v>
      </c>
      <c r="F842" s="383">
        <v>0.375</v>
      </c>
      <c r="G842">
        <v>94</v>
      </c>
      <c r="H842" s="383">
        <v>0.79166666666666663</v>
      </c>
      <c r="I842" s="380">
        <v>95</v>
      </c>
      <c r="J842">
        <v>30</v>
      </c>
      <c r="K842" s="383">
        <v>0</v>
      </c>
      <c r="L842" t="str">
        <f t="shared" si="199"/>
        <v>9I39</v>
      </c>
      <c r="M842" t="str">
        <f t="shared" si="195"/>
        <v/>
      </c>
      <c r="N842" t="str">
        <f t="shared" si="196"/>
        <v/>
      </c>
      <c r="O842" t="str">
        <f t="shared" si="197"/>
        <v/>
      </c>
      <c r="P842" s="113" t="str">
        <f t="shared" si="200"/>
        <v>9I39</v>
      </c>
      <c r="Q842" s="114">
        <f t="shared" si="201"/>
        <v>95</v>
      </c>
      <c r="R842" s="114">
        <f t="shared" si="202"/>
        <v>93.666666666666671</v>
      </c>
      <c r="S842" s="113">
        <f t="shared" si="203"/>
        <v>92</v>
      </c>
      <c r="T842" s="111">
        <f t="shared" ca="1" si="204"/>
        <v>1.88</v>
      </c>
      <c r="U842" s="111" t="str">
        <f t="shared" si="205"/>
        <v/>
      </c>
      <c r="V842" t="str">
        <f t="array" ref="V842">INDEX(P:P,MAX(U$3:U842))</f>
        <v>9I#1DTR(B)</v>
      </c>
      <c r="W842" t="str">
        <f t="shared" ca="1" si="206"/>
        <v/>
      </c>
      <c r="X842">
        <f t="shared" si="207"/>
        <v>11.4</v>
      </c>
      <c r="Y842">
        <f t="shared" si="208"/>
        <v>95</v>
      </c>
      <c r="Z842" t="str">
        <f t="shared" si="198"/>
        <v>福興</v>
      </c>
    </row>
    <row r="843" spans="1:26" x14ac:dyDescent="0.25">
      <c r="A843" t="s">
        <v>929</v>
      </c>
      <c r="B843" t="s">
        <v>937</v>
      </c>
      <c r="C843">
        <v>194</v>
      </c>
      <c r="D843" s="383">
        <v>0.79166666666666663</v>
      </c>
      <c r="E843">
        <v>184</v>
      </c>
      <c r="F843" s="383">
        <v>0.83333333333333337</v>
      </c>
      <c r="G843">
        <v>176</v>
      </c>
      <c r="H843" s="383">
        <v>0.75</v>
      </c>
      <c r="I843" s="380">
        <v>194</v>
      </c>
      <c r="J843">
        <v>40</v>
      </c>
      <c r="K843" s="383">
        <v>0.83333333333333337</v>
      </c>
      <c r="L843" t="str">
        <f t="shared" si="199"/>
        <v>9I38</v>
      </c>
      <c r="M843" t="str">
        <f t="shared" si="195"/>
        <v/>
      </c>
      <c r="N843" t="str">
        <f t="shared" si="196"/>
        <v/>
      </c>
      <c r="O843" t="str">
        <f t="shared" si="197"/>
        <v/>
      </c>
      <c r="P843" s="113" t="str">
        <f t="shared" si="200"/>
        <v>9I38</v>
      </c>
      <c r="Q843" s="114">
        <f t="shared" si="201"/>
        <v>194</v>
      </c>
      <c r="R843" s="114">
        <f t="shared" si="202"/>
        <v>184.66666666666666</v>
      </c>
      <c r="S843" s="113">
        <f t="shared" si="203"/>
        <v>176</v>
      </c>
      <c r="T843" s="111">
        <f t="shared" ca="1" si="204"/>
        <v>3.83</v>
      </c>
      <c r="U843" s="111" t="str">
        <f t="shared" si="205"/>
        <v/>
      </c>
      <c r="V843" t="str">
        <f t="array" ref="V843">INDEX(P:P,MAX(U$3:U843))</f>
        <v>9I#1DTR(B)</v>
      </c>
      <c r="W843" t="str">
        <f t="shared" ca="1" si="206"/>
        <v/>
      </c>
      <c r="X843">
        <f t="shared" si="207"/>
        <v>11.4</v>
      </c>
      <c r="Y843">
        <f t="shared" si="208"/>
        <v>194</v>
      </c>
      <c r="Z843" t="str">
        <f t="shared" si="198"/>
        <v>福興</v>
      </c>
    </row>
    <row r="844" spans="1:26" x14ac:dyDescent="0.25">
      <c r="A844" t="s">
        <v>929</v>
      </c>
      <c r="B844" t="s">
        <v>938</v>
      </c>
      <c r="C844">
        <v>212</v>
      </c>
      <c r="D844" s="383">
        <v>0.58333333333333337</v>
      </c>
      <c r="E844">
        <v>184</v>
      </c>
      <c r="F844" s="383">
        <v>0.58333333333333337</v>
      </c>
      <c r="G844">
        <v>208</v>
      </c>
      <c r="H844" s="383">
        <v>0.58333333333333337</v>
      </c>
      <c r="I844" s="380">
        <v>212</v>
      </c>
      <c r="J844">
        <v>66</v>
      </c>
      <c r="K844" s="383">
        <v>0.91666666666666663</v>
      </c>
      <c r="L844" t="str">
        <f t="shared" si="199"/>
        <v>9I37</v>
      </c>
      <c r="M844" t="str">
        <f t="shared" si="195"/>
        <v/>
      </c>
      <c r="N844" t="str">
        <f t="shared" si="196"/>
        <v/>
      </c>
      <c r="O844" t="str">
        <f t="shared" si="197"/>
        <v/>
      </c>
      <c r="P844" s="113" t="str">
        <f t="shared" si="200"/>
        <v>9I37</v>
      </c>
      <c r="Q844" s="114">
        <f t="shared" si="201"/>
        <v>212</v>
      </c>
      <c r="R844" s="114">
        <f t="shared" si="202"/>
        <v>201.33333333333334</v>
      </c>
      <c r="S844" s="113">
        <f t="shared" si="203"/>
        <v>184</v>
      </c>
      <c r="T844" s="111">
        <f t="shared" ca="1" si="204"/>
        <v>4.1900000000000004</v>
      </c>
      <c r="U844" s="111" t="str">
        <f t="shared" si="205"/>
        <v/>
      </c>
      <c r="V844" t="str">
        <f t="array" ref="V844">INDEX(P:P,MAX(U$3:U844))</f>
        <v>9I#1DTR(B)</v>
      </c>
      <c r="W844" t="str">
        <f t="shared" ca="1" si="206"/>
        <v/>
      </c>
      <c r="X844">
        <f t="shared" si="207"/>
        <v>11.4</v>
      </c>
      <c r="Y844">
        <f t="shared" si="208"/>
        <v>212</v>
      </c>
      <c r="Z844" t="str">
        <f t="shared" si="198"/>
        <v>福興</v>
      </c>
    </row>
    <row r="845" spans="1:26" x14ac:dyDescent="0.25">
      <c r="A845" t="s">
        <v>929</v>
      </c>
      <c r="B845" t="s">
        <v>939</v>
      </c>
      <c r="C845">
        <v>197</v>
      </c>
      <c r="D845" s="383">
        <v>0.58333333333333337</v>
      </c>
      <c r="E845">
        <v>205</v>
      </c>
      <c r="F845" s="383">
        <v>0.75</v>
      </c>
      <c r="G845">
        <v>219</v>
      </c>
      <c r="H845" s="383">
        <v>0.75</v>
      </c>
      <c r="I845" s="380">
        <v>219</v>
      </c>
      <c r="J845">
        <v>45</v>
      </c>
      <c r="K845" s="383">
        <v>0.83333333333333337</v>
      </c>
      <c r="L845" t="str">
        <f t="shared" si="199"/>
        <v>9I36</v>
      </c>
      <c r="M845" t="str">
        <f t="shared" si="195"/>
        <v/>
      </c>
      <c r="N845" t="str">
        <f t="shared" si="196"/>
        <v/>
      </c>
      <c r="O845" t="str">
        <f t="shared" si="197"/>
        <v/>
      </c>
      <c r="P845" s="113" t="str">
        <f t="shared" si="200"/>
        <v>9I36</v>
      </c>
      <c r="Q845" s="114">
        <f t="shared" si="201"/>
        <v>219</v>
      </c>
      <c r="R845" s="114">
        <f t="shared" si="202"/>
        <v>207</v>
      </c>
      <c r="S845" s="113">
        <f t="shared" si="203"/>
        <v>197</v>
      </c>
      <c r="T845" s="111">
        <f t="shared" ca="1" si="204"/>
        <v>4.32</v>
      </c>
      <c r="U845" s="111" t="str">
        <f t="shared" si="205"/>
        <v/>
      </c>
      <c r="V845" t="str">
        <f t="array" ref="V845">INDEX(P:P,MAX(U$3:U845))</f>
        <v>9I#1DTR(B)</v>
      </c>
      <c r="W845" t="str">
        <f t="shared" ca="1" si="206"/>
        <v/>
      </c>
      <c r="X845">
        <f t="shared" si="207"/>
        <v>11.4</v>
      </c>
      <c r="Y845">
        <f t="shared" si="208"/>
        <v>219</v>
      </c>
      <c r="Z845" t="str">
        <f t="shared" si="198"/>
        <v>福興</v>
      </c>
    </row>
    <row r="846" spans="1:26" x14ac:dyDescent="0.25">
      <c r="A846" t="s">
        <v>929</v>
      </c>
      <c r="B846" t="s">
        <v>301</v>
      </c>
      <c r="C846">
        <v>711</v>
      </c>
      <c r="D846" s="383">
        <v>0.79166666666666663</v>
      </c>
      <c r="E846">
        <v>645</v>
      </c>
      <c r="F846" s="383">
        <v>0.79166666666666663</v>
      </c>
      <c r="G846">
        <v>596</v>
      </c>
      <c r="H846" s="383">
        <v>0.58333333333333337</v>
      </c>
      <c r="I846" s="380">
        <v>711</v>
      </c>
      <c r="L846" t="str">
        <f t="shared" si="199"/>
        <v>9I#2DTR(A)</v>
      </c>
      <c r="M846" t="str">
        <f t="shared" si="195"/>
        <v>(A)</v>
      </c>
      <c r="N846" t="str">
        <f t="shared" si="196"/>
        <v>9I#2DTR</v>
      </c>
      <c r="O846" t="str">
        <f t="shared" si="197"/>
        <v>(A)</v>
      </c>
      <c r="P846" s="113" t="str">
        <f t="shared" si="200"/>
        <v>9I#2DTR(A)</v>
      </c>
      <c r="Q846" s="114">
        <f t="shared" si="201"/>
        <v>711</v>
      </c>
      <c r="R846" s="114">
        <f t="shared" si="202"/>
        <v>650.66666666666663</v>
      </c>
      <c r="S846" s="113">
        <f t="shared" si="203"/>
        <v>596</v>
      </c>
      <c r="T846" s="111">
        <f t="shared" ca="1" si="204"/>
        <v>14.04</v>
      </c>
      <c r="U846" s="111">
        <f t="shared" si="205"/>
        <v>846</v>
      </c>
      <c r="V846" t="str">
        <f t="array" ref="V846">INDEX(P:P,MAX(U$3:U846))</f>
        <v>9I#2DTR(A)</v>
      </c>
      <c r="W846">
        <f t="shared" ca="1" si="206"/>
        <v>30</v>
      </c>
      <c r="X846" t="str">
        <f t="shared" si="207"/>
        <v/>
      </c>
      <c r="Y846">
        <f t="shared" si="208"/>
        <v>711</v>
      </c>
      <c r="Z846" t="str">
        <f t="shared" si="198"/>
        <v>福興</v>
      </c>
    </row>
    <row r="847" spans="1:26" x14ac:dyDescent="0.25">
      <c r="A847" t="s">
        <v>929</v>
      </c>
      <c r="B847" t="s">
        <v>940</v>
      </c>
      <c r="C847">
        <v>132</v>
      </c>
      <c r="D847" s="383">
        <v>0.54166666666666663</v>
      </c>
      <c r="E847">
        <v>126</v>
      </c>
      <c r="F847" s="383">
        <v>0.58333333333333337</v>
      </c>
      <c r="G847">
        <v>101</v>
      </c>
      <c r="H847" s="383">
        <v>0.58333333333333337</v>
      </c>
      <c r="I847" s="380">
        <v>132</v>
      </c>
      <c r="J847">
        <v>66</v>
      </c>
      <c r="K847" s="383">
        <v>0.875</v>
      </c>
      <c r="L847" t="str">
        <f t="shared" si="199"/>
        <v>9I26</v>
      </c>
      <c r="M847" t="str">
        <f t="shared" si="195"/>
        <v/>
      </c>
      <c r="N847" t="str">
        <f t="shared" si="196"/>
        <v/>
      </c>
      <c r="O847" t="str">
        <f t="shared" si="197"/>
        <v/>
      </c>
      <c r="P847" s="113" t="str">
        <f t="shared" si="200"/>
        <v>9I26</v>
      </c>
      <c r="Q847" s="114">
        <f t="shared" si="201"/>
        <v>132</v>
      </c>
      <c r="R847" s="114">
        <f t="shared" si="202"/>
        <v>119.66666666666667</v>
      </c>
      <c r="S847" s="113">
        <f t="shared" si="203"/>
        <v>101</v>
      </c>
      <c r="T847" s="111">
        <f t="shared" ca="1" si="204"/>
        <v>2.61</v>
      </c>
      <c r="U847" s="111" t="str">
        <f t="shared" si="205"/>
        <v/>
      </c>
      <c r="V847" t="str">
        <f t="array" ref="V847">INDEX(P:P,MAX(U$3:U847))</f>
        <v>9I#2DTR(A)</v>
      </c>
      <c r="W847" t="str">
        <f t="shared" ca="1" si="206"/>
        <v/>
      </c>
      <c r="X847">
        <f t="shared" si="207"/>
        <v>11.4</v>
      </c>
      <c r="Y847">
        <f t="shared" si="208"/>
        <v>132</v>
      </c>
      <c r="Z847" t="str">
        <f t="shared" si="198"/>
        <v>福興</v>
      </c>
    </row>
    <row r="848" spans="1:26" x14ac:dyDescent="0.25">
      <c r="A848" t="s">
        <v>929</v>
      </c>
      <c r="B848" t="s">
        <v>941</v>
      </c>
      <c r="C848">
        <v>91</v>
      </c>
      <c r="D848" s="383">
        <v>0.79166666666666663</v>
      </c>
      <c r="E848">
        <v>89</v>
      </c>
      <c r="F848" s="383">
        <v>0.75</v>
      </c>
      <c r="G848">
        <v>76</v>
      </c>
      <c r="H848" s="383">
        <v>0.66666666666666663</v>
      </c>
      <c r="I848" s="380">
        <v>91</v>
      </c>
      <c r="J848">
        <v>44</v>
      </c>
      <c r="K848" s="383">
        <v>0.79166666666666663</v>
      </c>
      <c r="L848" t="str">
        <f t="shared" si="199"/>
        <v>9I27</v>
      </c>
      <c r="M848" t="str">
        <f t="shared" si="195"/>
        <v/>
      </c>
      <c r="N848" t="str">
        <f t="shared" si="196"/>
        <v/>
      </c>
      <c r="O848" t="str">
        <f t="shared" si="197"/>
        <v/>
      </c>
      <c r="P848" s="113" t="str">
        <f t="shared" si="200"/>
        <v>9I27</v>
      </c>
      <c r="Q848" s="114">
        <f t="shared" si="201"/>
        <v>91</v>
      </c>
      <c r="R848" s="114">
        <f t="shared" si="202"/>
        <v>85.333333333333329</v>
      </c>
      <c r="S848" s="113">
        <f t="shared" si="203"/>
        <v>76</v>
      </c>
      <c r="T848" s="111">
        <f t="shared" ca="1" si="204"/>
        <v>1.8</v>
      </c>
      <c r="U848" s="111" t="str">
        <f t="shared" si="205"/>
        <v/>
      </c>
      <c r="V848" t="str">
        <f t="array" ref="V848">INDEX(P:P,MAX(U$3:U848))</f>
        <v>9I#2DTR(A)</v>
      </c>
      <c r="W848" t="str">
        <f t="shared" ca="1" si="206"/>
        <v/>
      </c>
      <c r="X848">
        <f t="shared" si="207"/>
        <v>11.4</v>
      </c>
      <c r="Y848">
        <f t="shared" si="208"/>
        <v>91</v>
      </c>
      <c r="Z848" t="str">
        <f t="shared" si="198"/>
        <v>福興</v>
      </c>
    </row>
    <row r="849" spans="1:26" x14ac:dyDescent="0.25">
      <c r="A849" t="s">
        <v>929</v>
      </c>
      <c r="B849" t="s">
        <v>942</v>
      </c>
      <c r="C849">
        <v>237</v>
      </c>
      <c r="D849" s="383">
        <v>0.83333333333333337</v>
      </c>
      <c r="E849">
        <v>212</v>
      </c>
      <c r="F849" s="383">
        <v>0.625</v>
      </c>
      <c r="G849">
        <v>230</v>
      </c>
      <c r="H849" s="383">
        <v>0.66666666666666663</v>
      </c>
      <c r="I849" s="380">
        <v>237</v>
      </c>
      <c r="J849">
        <v>49</v>
      </c>
      <c r="K849" s="383">
        <v>0.83333333333333337</v>
      </c>
      <c r="L849" t="str">
        <f t="shared" si="199"/>
        <v>9I28</v>
      </c>
      <c r="M849" t="str">
        <f t="shared" si="195"/>
        <v/>
      </c>
      <c r="N849" t="str">
        <f t="shared" si="196"/>
        <v/>
      </c>
      <c r="O849" t="str">
        <f t="shared" si="197"/>
        <v/>
      </c>
      <c r="P849" s="113" t="str">
        <f t="shared" si="200"/>
        <v>9I28</v>
      </c>
      <c r="Q849" s="114">
        <f t="shared" si="201"/>
        <v>237</v>
      </c>
      <c r="R849" s="114">
        <f t="shared" si="202"/>
        <v>226.33333333333334</v>
      </c>
      <c r="S849" s="113">
        <f t="shared" si="203"/>
        <v>212</v>
      </c>
      <c r="T849" s="111">
        <f t="shared" ca="1" si="204"/>
        <v>4.68</v>
      </c>
      <c r="U849" s="111" t="str">
        <f t="shared" si="205"/>
        <v/>
      </c>
      <c r="V849" t="str">
        <f t="array" ref="V849">INDEX(P:P,MAX(U$3:U849))</f>
        <v>9I#2DTR(A)</v>
      </c>
      <c r="W849" t="str">
        <f t="shared" ca="1" si="206"/>
        <v/>
      </c>
      <c r="X849">
        <f t="shared" si="207"/>
        <v>11.4</v>
      </c>
      <c r="Y849">
        <f t="shared" si="208"/>
        <v>237</v>
      </c>
      <c r="Z849" t="str">
        <f t="shared" si="198"/>
        <v>福興</v>
      </c>
    </row>
    <row r="850" spans="1:26" x14ac:dyDescent="0.25">
      <c r="A850" t="s">
        <v>929</v>
      </c>
      <c r="B850" t="s">
        <v>943</v>
      </c>
      <c r="C850">
        <v>291</v>
      </c>
      <c r="D850" s="383">
        <v>0.45833333333333331</v>
      </c>
      <c r="E850">
        <v>256</v>
      </c>
      <c r="F850" s="383">
        <v>0.54166666666666663</v>
      </c>
      <c r="G850">
        <v>237</v>
      </c>
      <c r="H850" s="383">
        <v>0.54166666666666663</v>
      </c>
      <c r="I850" s="380">
        <v>291</v>
      </c>
      <c r="J850">
        <v>72</v>
      </c>
      <c r="K850" s="383">
        <v>0.45833333333333331</v>
      </c>
      <c r="L850" t="str">
        <f t="shared" si="199"/>
        <v>9I29</v>
      </c>
      <c r="M850" t="str">
        <f t="shared" si="195"/>
        <v/>
      </c>
      <c r="N850" t="str">
        <f t="shared" si="196"/>
        <v/>
      </c>
      <c r="O850" t="str">
        <f t="shared" si="197"/>
        <v/>
      </c>
      <c r="P850" s="113" t="str">
        <f t="shared" si="200"/>
        <v>9I29</v>
      </c>
      <c r="Q850" s="114">
        <f t="shared" si="201"/>
        <v>291</v>
      </c>
      <c r="R850" s="114">
        <f t="shared" si="202"/>
        <v>261.33333333333331</v>
      </c>
      <c r="S850" s="113">
        <f t="shared" si="203"/>
        <v>237</v>
      </c>
      <c r="T850" s="111">
        <f t="shared" ca="1" si="204"/>
        <v>5.75</v>
      </c>
      <c r="U850" s="111" t="str">
        <f t="shared" si="205"/>
        <v/>
      </c>
      <c r="V850" t="str">
        <f t="array" ref="V850">INDEX(P:P,MAX(U$3:U850))</f>
        <v>9I#2DTR(A)</v>
      </c>
      <c r="W850" t="str">
        <f t="shared" ca="1" si="206"/>
        <v/>
      </c>
      <c r="X850">
        <f t="shared" si="207"/>
        <v>11.4</v>
      </c>
      <c r="Y850">
        <f t="shared" si="208"/>
        <v>291</v>
      </c>
      <c r="Z850" t="str">
        <f t="shared" si="198"/>
        <v>福興</v>
      </c>
    </row>
    <row r="851" spans="1:26" x14ac:dyDescent="0.25">
      <c r="A851" t="s">
        <v>929</v>
      </c>
      <c r="B851" t="s">
        <v>283</v>
      </c>
      <c r="C851">
        <v>873</v>
      </c>
      <c r="D851" s="383">
        <v>0.75</v>
      </c>
      <c r="E851">
        <v>897</v>
      </c>
      <c r="F851" s="383">
        <v>0.75</v>
      </c>
      <c r="G851">
        <v>905</v>
      </c>
      <c r="H851" s="383">
        <v>0.75</v>
      </c>
      <c r="I851" s="380">
        <v>905</v>
      </c>
      <c r="L851" t="str">
        <f t="shared" si="199"/>
        <v>9I#2DTR(B)</v>
      </c>
      <c r="M851" t="str">
        <f t="shared" si="195"/>
        <v>(B)</v>
      </c>
      <c r="N851" t="str">
        <f t="shared" si="196"/>
        <v>9I#2DTR</v>
      </c>
      <c r="O851" t="str">
        <f t="shared" si="197"/>
        <v>(B)</v>
      </c>
      <c r="P851" s="113" t="str">
        <f t="shared" si="200"/>
        <v>9I#2DTR(B)</v>
      </c>
      <c r="Q851" s="114">
        <f t="shared" si="201"/>
        <v>905</v>
      </c>
      <c r="R851" s="114">
        <f t="shared" si="202"/>
        <v>891.66666666666663</v>
      </c>
      <c r="S851" s="113">
        <f t="shared" si="203"/>
        <v>873</v>
      </c>
      <c r="T851" s="111">
        <f t="shared" ca="1" si="204"/>
        <v>17.87</v>
      </c>
      <c r="U851" s="111">
        <f t="shared" si="205"/>
        <v>851</v>
      </c>
      <c r="V851" t="str">
        <f t="array" ref="V851">INDEX(P:P,MAX(U$3:U851))</f>
        <v>9I#2DTR(B)</v>
      </c>
      <c r="W851">
        <f t="shared" ca="1" si="206"/>
        <v>30</v>
      </c>
      <c r="X851" t="str">
        <f t="shared" si="207"/>
        <v/>
      </c>
      <c r="Y851">
        <f t="shared" si="208"/>
        <v>905</v>
      </c>
      <c r="Z851" t="str">
        <f t="shared" si="198"/>
        <v>福興</v>
      </c>
    </row>
    <row r="852" spans="1:26" x14ac:dyDescent="0.25">
      <c r="A852" t="s">
        <v>929</v>
      </c>
      <c r="B852" t="s">
        <v>944</v>
      </c>
      <c r="C852">
        <v>189</v>
      </c>
      <c r="D852" s="383">
        <v>0.75</v>
      </c>
      <c r="E852">
        <v>180</v>
      </c>
      <c r="F852" s="383">
        <v>0.75</v>
      </c>
      <c r="G852">
        <v>178</v>
      </c>
      <c r="H852" s="383">
        <v>0.75</v>
      </c>
      <c r="I852" s="380">
        <v>189</v>
      </c>
      <c r="J852">
        <v>47</v>
      </c>
      <c r="K852" s="383">
        <v>0.5</v>
      </c>
      <c r="L852" t="str">
        <f t="shared" si="199"/>
        <v>9I35</v>
      </c>
      <c r="M852" t="str">
        <f t="shared" si="195"/>
        <v/>
      </c>
      <c r="N852" t="str">
        <f t="shared" si="196"/>
        <v/>
      </c>
      <c r="O852" t="str">
        <f t="shared" si="197"/>
        <v/>
      </c>
      <c r="P852" s="113" t="str">
        <f t="shared" si="200"/>
        <v>9I35</v>
      </c>
      <c r="Q852" s="114">
        <f t="shared" si="201"/>
        <v>189</v>
      </c>
      <c r="R852" s="114">
        <f t="shared" si="202"/>
        <v>182.33333333333334</v>
      </c>
      <c r="S852" s="113">
        <f t="shared" si="203"/>
        <v>178</v>
      </c>
      <c r="T852" s="111">
        <f t="shared" ca="1" si="204"/>
        <v>3.73</v>
      </c>
      <c r="U852" s="111" t="str">
        <f t="shared" si="205"/>
        <v/>
      </c>
      <c r="V852" t="str">
        <f t="array" ref="V852">INDEX(P:P,MAX(U$3:U852))</f>
        <v>9I#2DTR(B)</v>
      </c>
      <c r="W852" t="str">
        <f t="shared" ca="1" si="206"/>
        <v/>
      </c>
      <c r="X852">
        <f t="shared" si="207"/>
        <v>11.4</v>
      </c>
      <c r="Y852">
        <f t="shared" si="208"/>
        <v>189</v>
      </c>
      <c r="Z852" t="str">
        <f t="shared" si="198"/>
        <v>福興</v>
      </c>
    </row>
    <row r="853" spans="1:26" x14ac:dyDescent="0.25">
      <c r="A853" t="s">
        <v>929</v>
      </c>
      <c r="B853" t="s">
        <v>945</v>
      </c>
      <c r="C853">
        <v>117</v>
      </c>
      <c r="D853" s="383">
        <v>0.625</v>
      </c>
      <c r="E853">
        <v>97</v>
      </c>
      <c r="F853" s="383">
        <v>0.58333333333333337</v>
      </c>
      <c r="G853">
        <v>103</v>
      </c>
      <c r="H853" s="383">
        <v>0.625</v>
      </c>
      <c r="I853" s="380">
        <v>117</v>
      </c>
      <c r="J853">
        <v>35</v>
      </c>
      <c r="K853" s="383">
        <v>0.625</v>
      </c>
      <c r="L853" t="str">
        <f t="shared" si="199"/>
        <v>9I34</v>
      </c>
      <c r="M853" t="str">
        <f t="shared" si="195"/>
        <v/>
      </c>
      <c r="N853" t="str">
        <f t="shared" si="196"/>
        <v/>
      </c>
      <c r="O853" t="str">
        <f t="shared" si="197"/>
        <v/>
      </c>
      <c r="P853" s="113" t="str">
        <f t="shared" si="200"/>
        <v>9I34</v>
      </c>
      <c r="Q853" s="114">
        <f t="shared" si="201"/>
        <v>117</v>
      </c>
      <c r="R853" s="114">
        <f t="shared" si="202"/>
        <v>105.66666666666667</v>
      </c>
      <c r="S853" s="113">
        <f t="shared" si="203"/>
        <v>97</v>
      </c>
      <c r="T853" s="111">
        <f t="shared" ca="1" si="204"/>
        <v>2.31</v>
      </c>
      <c r="U853" s="111" t="str">
        <f t="shared" si="205"/>
        <v/>
      </c>
      <c r="V853" t="str">
        <f t="array" ref="V853">INDEX(P:P,MAX(U$3:U853))</f>
        <v>9I#2DTR(B)</v>
      </c>
      <c r="W853" t="str">
        <f t="shared" ca="1" si="206"/>
        <v/>
      </c>
      <c r="X853">
        <f t="shared" si="207"/>
        <v>11.4</v>
      </c>
      <c r="Y853">
        <f t="shared" si="208"/>
        <v>117</v>
      </c>
      <c r="Z853" t="str">
        <f t="shared" si="198"/>
        <v>福興</v>
      </c>
    </row>
    <row r="854" spans="1:26" x14ac:dyDescent="0.25">
      <c r="A854" t="s">
        <v>929</v>
      </c>
      <c r="B854" t="s">
        <v>946</v>
      </c>
      <c r="C854">
        <v>258</v>
      </c>
      <c r="D854" s="383">
        <v>0.75</v>
      </c>
      <c r="E854">
        <v>278</v>
      </c>
      <c r="F854" s="383">
        <v>0.75</v>
      </c>
      <c r="G854">
        <v>276</v>
      </c>
      <c r="H854" s="383">
        <v>0.75</v>
      </c>
      <c r="I854" s="380">
        <v>278</v>
      </c>
      <c r="J854">
        <v>50</v>
      </c>
      <c r="K854" s="383">
        <v>0.29166666666666669</v>
      </c>
      <c r="L854" t="str">
        <f t="shared" si="199"/>
        <v>9I33</v>
      </c>
      <c r="M854" t="str">
        <f t="shared" si="195"/>
        <v/>
      </c>
      <c r="N854" t="str">
        <f t="shared" si="196"/>
        <v/>
      </c>
      <c r="O854" t="str">
        <f t="shared" si="197"/>
        <v/>
      </c>
      <c r="P854" s="113" t="str">
        <f t="shared" si="200"/>
        <v>9I33</v>
      </c>
      <c r="Q854" s="114">
        <f t="shared" si="201"/>
        <v>278</v>
      </c>
      <c r="R854" s="114">
        <f t="shared" si="202"/>
        <v>270.66666666666669</v>
      </c>
      <c r="S854" s="113">
        <f t="shared" si="203"/>
        <v>258</v>
      </c>
      <c r="T854" s="111">
        <f t="shared" ca="1" si="204"/>
        <v>5.49</v>
      </c>
      <c r="U854" s="111" t="str">
        <f t="shared" si="205"/>
        <v/>
      </c>
      <c r="V854" t="str">
        <f t="array" ref="V854">INDEX(P:P,MAX(U$3:U854))</f>
        <v>9I#2DTR(B)</v>
      </c>
      <c r="W854" t="str">
        <f t="shared" ca="1" si="206"/>
        <v/>
      </c>
      <c r="X854">
        <f t="shared" si="207"/>
        <v>11.4</v>
      </c>
      <c r="Y854">
        <f t="shared" si="208"/>
        <v>278</v>
      </c>
      <c r="Z854" t="str">
        <f t="shared" si="198"/>
        <v>福興</v>
      </c>
    </row>
    <row r="855" spans="1:26" x14ac:dyDescent="0.25">
      <c r="A855" t="s">
        <v>929</v>
      </c>
      <c r="B855" t="s">
        <v>947</v>
      </c>
      <c r="C855">
        <v>123</v>
      </c>
      <c r="D855" s="383">
        <v>0.83333333333333337</v>
      </c>
      <c r="E855">
        <v>151</v>
      </c>
      <c r="F855" s="383">
        <v>0.875</v>
      </c>
      <c r="G855">
        <v>129</v>
      </c>
      <c r="H855" s="383">
        <v>0.79166666666666663</v>
      </c>
      <c r="I855" s="380">
        <v>151</v>
      </c>
      <c r="J855">
        <v>41</v>
      </c>
      <c r="K855" s="383">
        <v>0.95833333333333337</v>
      </c>
      <c r="L855" t="str">
        <f t="shared" si="199"/>
        <v>9I32</v>
      </c>
      <c r="M855" t="str">
        <f t="shared" si="195"/>
        <v/>
      </c>
      <c r="N855" t="str">
        <f t="shared" si="196"/>
        <v/>
      </c>
      <c r="O855" t="str">
        <f t="shared" si="197"/>
        <v/>
      </c>
      <c r="P855" s="113" t="str">
        <f t="shared" si="200"/>
        <v>9I32</v>
      </c>
      <c r="Q855" s="114">
        <f t="shared" si="201"/>
        <v>151</v>
      </c>
      <c r="R855" s="114">
        <f t="shared" si="202"/>
        <v>134.33333333333334</v>
      </c>
      <c r="S855" s="113">
        <f t="shared" si="203"/>
        <v>123</v>
      </c>
      <c r="T855" s="111">
        <f t="shared" ca="1" si="204"/>
        <v>2.98</v>
      </c>
      <c r="U855" s="111" t="str">
        <f t="shared" si="205"/>
        <v/>
      </c>
      <c r="V855" t="str">
        <f t="array" ref="V855">INDEX(P:P,MAX(U$3:U855))</f>
        <v>9I#2DTR(B)</v>
      </c>
      <c r="W855" t="str">
        <f t="shared" ca="1" si="206"/>
        <v/>
      </c>
      <c r="X855">
        <f t="shared" si="207"/>
        <v>11.4</v>
      </c>
      <c r="Y855">
        <f t="shared" si="208"/>
        <v>151</v>
      </c>
      <c r="Z855" t="str">
        <f t="shared" si="198"/>
        <v>福興</v>
      </c>
    </row>
    <row r="856" spans="1:26" x14ac:dyDescent="0.25">
      <c r="A856" t="s">
        <v>929</v>
      </c>
      <c r="B856" t="s">
        <v>948</v>
      </c>
      <c r="C856">
        <v>182</v>
      </c>
      <c r="D856" s="383">
        <v>0.70833333333333337</v>
      </c>
      <c r="E856">
        <v>165</v>
      </c>
      <c r="F856" s="383">
        <v>0.75</v>
      </c>
      <c r="G856">
        <v>161</v>
      </c>
      <c r="H856" s="383">
        <v>0.70833333333333337</v>
      </c>
      <c r="I856" s="380">
        <v>182</v>
      </c>
      <c r="J856">
        <v>44</v>
      </c>
      <c r="K856" s="383">
        <v>0.79166666666666663</v>
      </c>
      <c r="L856" t="str">
        <f t="shared" si="199"/>
        <v>9I31</v>
      </c>
      <c r="M856" t="str">
        <f t="shared" si="195"/>
        <v/>
      </c>
      <c r="N856" t="str">
        <f t="shared" si="196"/>
        <v/>
      </c>
      <c r="O856" t="str">
        <f t="shared" si="197"/>
        <v/>
      </c>
      <c r="P856" s="113" t="str">
        <f t="shared" si="200"/>
        <v>9I31</v>
      </c>
      <c r="Q856" s="114">
        <f t="shared" si="201"/>
        <v>182</v>
      </c>
      <c r="R856" s="114">
        <f t="shared" si="202"/>
        <v>169.33333333333334</v>
      </c>
      <c r="S856" s="113">
        <f t="shared" si="203"/>
        <v>161</v>
      </c>
      <c r="T856" s="111">
        <f t="shared" ca="1" si="204"/>
        <v>3.59</v>
      </c>
      <c r="U856" s="111" t="str">
        <f t="shared" si="205"/>
        <v/>
      </c>
      <c r="V856" t="str">
        <f t="array" ref="V856">INDEX(P:P,MAX(U$3:U856))</f>
        <v>9I#2DTR(B)</v>
      </c>
      <c r="W856" t="str">
        <f t="shared" ca="1" si="206"/>
        <v/>
      </c>
      <c r="X856">
        <f t="shared" si="207"/>
        <v>11.4</v>
      </c>
      <c r="Y856">
        <f t="shared" si="208"/>
        <v>182</v>
      </c>
      <c r="Z856" t="str">
        <f t="shared" si="198"/>
        <v>福興</v>
      </c>
    </row>
    <row r="857" spans="1:26" x14ac:dyDescent="0.25">
      <c r="A857" t="s">
        <v>929</v>
      </c>
      <c r="B857" t="s">
        <v>949</v>
      </c>
      <c r="C857">
        <v>114</v>
      </c>
      <c r="D857" s="383">
        <v>0.45833333333333331</v>
      </c>
      <c r="E857">
        <v>90</v>
      </c>
      <c r="F857" s="383">
        <v>0.45833333333333331</v>
      </c>
      <c r="G857">
        <v>104</v>
      </c>
      <c r="H857" s="383">
        <v>0.79166666666666663</v>
      </c>
      <c r="I857" s="380">
        <v>114</v>
      </c>
      <c r="J857">
        <v>65</v>
      </c>
      <c r="K857" s="383">
        <v>0.79166666666666663</v>
      </c>
      <c r="L857" t="str">
        <f t="shared" si="199"/>
        <v>9I30</v>
      </c>
      <c r="M857" t="str">
        <f t="shared" si="195"/>
        <v/>
      </c>
      <c r="N857" t="str">
        <f t="shared" si="196"/>
        <v/>
      </c>
      <c r="O857" t="str">
        <f t="shared" si="197"/>
        <v/>
      </c>
      <c r="P857" s="113" t="str">
        <f t="shared" si="200"/>
        <v>9I30</v>
      </c>
      <c r="Q857" s="114">
        <f t="shared" si="201"/>
        <v>114</v>
      </c>
      <c r="R857" s="114">
        <f t="shared" si="202"/>
        <v>102.66666666666667</v>
      </c>
      <c r="S857" s="113">
        <f t="shared" si="203"/>
        <v>90</v>
      </c>
      <c r="T857" s="111">
        <f t="shared" ca="1" si="204"/>
        <v>2.25</v>
      </c>
      <c r="U857" s="111" t="str">
        <f t="shared" si="205"/>
        <v/>
      </c>
      <c r="V857" t="str">
        <f t="array" ref="V857">INDEX(P:P,MAX(U$3:U857))</f>
        <v>9I#2DTR(B)</v>
      </c>
      <c r="W857" t="str">
        <f t="shared" ca="1" si="206"/>
        <v/>
      </c>
      <c r="X857">
        <f t="shared" si="207"/>
        <v>11.4</v>
      </c>
      <c r="Y857">
        <f t="shared" si="208"/>
        <v>114</v>
      </c>
      <c r="Z857" t="str">
        <f t="shared" si="198"/>
        <v>福興</v>
      </c>
    </row>
    <row r="858" spans="1:26" x14ac:dyDescent="0.25">
      <c r="A858" t="s">
        <v>950</v>
      </c>
      <c r="B858" t="s">
        <v>351</v>
      </c>
      <c r="C858">
        <v>808</v>
      </c>
      <c r="D858" s="383">
        <v>0</v>
      </c>
      <c r="E858">
        <v>796</v>
      </c>
      <c r="F858" s="383">
        <v>0</v>
      </c>
      <c r="G858">
        <v>810</v>
      </c>
      <c r="H858" s="383">
        <v>0</v>
      </c>
      <c r="I858" s="380">
        <v>810</v>
      </c>
      <c r="L858" t="str">
        <f t="shared" si="199"/>
        <v>9B#1DTR</v>
      </c>
      <c r="M858" t="str">
        <f t="shared" si="195"/>
        <v/>
      </c>
      <c r="N858" t="str">
        <f t="shared" si="196"/>
        <v>9B#1DTR</v>
      </c>
      <c r="O858" t="str">
        <f t="shared" si="197"/>
        <v/>
      </c>
      <c r="P858" s="113" t="str">
        <f t="shared" si="200"/>
        <v>9B#1DTR</v>
      </c>
      <c r="Q858" s="114">
        <f t="shared" si="201"/>
        <v>810</v>
      </c>
      <c r="R858" s="114">
        <f t="shared" si="202"/>
        <v>804.66666666666663</v>
      </c>
      <c r="S858" s="113">
        <f t="shared" si="203"/>
        <v>796</v>
      </c>
      <c r="T858" s="111">
        <f t="shared" ca="1" si="204"/>
        <v>31.99</v>
      </c>
      <c r="U858" s="111">
        <f t="shared" si="205"/>
        <v>858</v>
      </c>
      <c r="V858" t="str">
        <f t="array" ref="V858">INDEX(P:P,MAX(U$3:U858))</f>
        <v>9B#1DTR</v>
      </c>
      <c r="W858">
        <f t="shared" ca="1" si="206"/>
        <v>60</v>
      </c>
      <c r="X858" t="str">
        <f t="shared" si="207"/>
        <v/>
      </c>
      <c r="Y858">
        <f t="shared" si="208"/>
        <v>810</v>
      </c>
      <c r="Z858" t="str">
        <f t="shared" si="198"/>
        <v>線西</v>
      </c>
    </row>
    <row r="859" spans="1:26" x14ac:dyDescent="0.25">
      <c r="A859" t="s">
        <v>950</v>
      </c>
      <c r="B859" t="s">
        <v>951</v>
      </c>
      <c r="C859">
        <v>0</v>
      </c>
      <c r="D859" s="383">
        <v>0</v>
      </c>
      <c r="E859">
        <v>0</v>
      </c>
      <c r="F859" s="383">
        <v>0</v>
      </c>
      <c r="G859">
        <v>0</v>
      </c>
      <c r="H859" s="383">
        <v>0</v>
      </c>
      <c r="I859" s="380">
        <v>0</v>
      </c>
      <c r="J859">
        <v>0</v>
      </c>
      <c r="K859" s="383">
        <v>0</v>
      </c>
      <c r="L859" t="str">
        <f t="shared" si="199"/>
        <v>9B51</v>
      </c>
      <c r="M859" t="str">
        <f t="shared" si="195"/>
        <v/>
      </c>
      <c r="N859" t="str">
        <f t="shared" si="196"/>
        <v/>
      </c>
      <c r="O859" t="str">
        <f t="shared" si="197"/>
        <v/>
      </c>
      <c r="P859" s="113" t="str">
        <f t="shared" si="200"/>
        <v>9B51</v>
      </c>
      <c r="Q859" s="114">
        <f t="shared" si="201"/>
        <v>0</v>
      </c>
      <c r="R859" s="114">
        <f t="shared" si="202"/>
        <v>0</v>
      </c>
      <c r="S859" s="113">
        <f t="shared" si="203"/>
        <v>0</v>
      </c>
      <c r="T859" s="111">
        <f t="shared" ca="1" si="204"/>
        <v>0</v>
      </c>
      <c r="U859" s="111" t="str">
        <f t="shared" si="205"/>
        <v/>
      </c>
      <c r="V859" t="str">
        <f t="array" ref="V859">INDEX(P:P,MAX(U$3:U859))</f>
        <v>9B#1DTR</v>
      </c>
      <c r="W859" t="str">
        <f t="shared" ca="1" si="206"/>
        <v/>
      </c>
      <c r="X859">
        <f t="shared" si="207"/>
        <v>22.8</v>
      </c>
      <c r="Y859">
        <f t="shared" si="208"/>
        <v>0</v>
      </c>
      <c r="Z859" t="str">
        <f t="shared" si="198"/>
        <v>線西</v>
      </c>
    </row>
    <row r="860" spans="1:26" x14ac:dyDescent="0.25">
      <c r="A860" t="s">
        <v>950</v>
      </c>
      <c r="B860" t="s">
        <v>952</v>
      </c>
      <c r="C860">
        <v>230</v>
      </c>
      <c r="D860" s="383">
        <v>4.1666666666666664E-2</v>
      </c>
      <c r="E860">
        <v>230</v>
      </c>
      <c r="F860" s="383">
        <v>4.1666666666666664E-2</v>
      </c>
      <c r="G860">
        <v>231</v>
      </c>
      <c r="H860" s="383">
        <v>4.1666666666666664E-2</v>
      </c>
      <c r="I860" s="380">
        <v>231</v>
      </c>
      <c r="J860">
        <v>0</v>
      </c>
      <c r="K860" s="383">
        <v>0</v>
      </c>
      <c r="L860" t="str">
        <f t="shared" si="199"/>
        <v>9B52</v>
      </c>
      <c r="M860" t="str">
        <f t="shared" si="195"/>
        <v/>
      </c>
      <c r="N860" t="str">
        <f t="shared" si="196"/>
        <v/>
      </c>
      <c r="O860" t="str">
        <f t="shared" si="197"/>
        <v/>
      </c>
      <c r="P860" s="113" t="str">
        <f t="shared" si="200"/>
        <v>9B52</v>
      </c>
      <c r="Q860" s="114">
        <f t="shared" si="201"/>
        <v>231</v>
      </c>
      <c r="R860" s="114">
        <f t="shared" si="202"/>
        <v>230.33333333333334</v>
      </c>
      <c r="S860" s="113">
        <f t="shared" si="203"/>
        <v>230</v>
      </c>
      <c r="T860" s="111">
        <f t="shared" ca="1" si="204"/>
        <v>9.1199999999999992</v>
      </c>
      <c r="U860" s="111" t="str">
        <f t="shared" si="205"/>
        <v/>
      </c>
      <c r="V860" t="str">
        <f t="array" ref="V860">INDEX(P:P,MAX(U$3:U860))</f>
        <v>9B#1DTR</v>
      </c>
      <c r="W860" t="str">
        <f t="shared" ca="1" si="206"/>
        <v/>
      </c>
      <c r="X860">
        <f t="shared" si="207"/>
        <v>22.8</v>
      </c>
      <c r="Y860">
        <f t="shared" si="208"/>
        <v>231</v>
      </c>
      <c r="Z860" t="str">
        <f t="shared" si="198"/>
        <v>線西</v>
      </c>
    </row>
    <row r="861" spans="1:26" x14ac:dyDescent="0.25">
      <c r="A861" t="s">
        <v>950</v>
      </c>
      <c r="B861" t="s">
        <v>953</v>
      </c>
      <c r="C861">
        <v>209</v>
      </c>
      <c r="D861" s="383">
        <v>0.79166666666666663</v>
      </c>
      <c r="E861">
        <v>204</v>
      </c>
      <c r="F861" s="383">
        <v>0.79166666666666663</v>
      </c>
      <c r="G861">
        <v>209</v>
      </c>
      <c r="H861" s="383">
        <v>0.79166666666666663</v>
      </c>
      <c r="I861" s="380">
        <v>209</v>
      </c>
      <c r="J861">
        <v>16</v>
      </c>
      <c r="K861" s="383">
        <v>0.41666666666666669</v>
      </c>
      <c r="L861" t="str">
        <f t="shared" si="199"/>
        <v>9B53</v>
      </c>
      <c r="M861" t="str">
        <f t="shared" si="195"/>
        <v/>
      </c>
      <c r="N861" t="str">
        <f t="shared" si="196"/>
        <v/>
      </c>
      <c r="O861" t="str">
        <f t="shared" si="197"/>
        <v/>
      </c>
      <c r="P861" s="113" t="str">
        <f t="shared" si="200"/>
        <v>9B53</v>
      </c>
      <c r="Q861" s="114">
        <f t="shared" si="201"/>
        <v>209</v>
      </c>
      <c r="R861" s="114">
        <f t="shared" si="202"/>
        <v>207.33333333333334</v>
      </c>
      <c r="S861" s="113">
        <f t="shared" si="203"/>
        <v>204</v>
      </c>
      <c r="T861" s="111">
        <f t="shared" ca="1" si="204"/>
        <v>8.25</v>
      </c>
      <c r="U861" s="111" t="str">
        <f t="shared" si="205"/>
        <v/>
      </c>
      <c r="V861" t="str">
        <f t="array" ref="V861">INDEX(P:P,MAX(U$3:U861))</f>
        <v>9B#1DTR</v>
      </c>
      <c r="W861" t="str">
        <f t="shared" ca="1" si="206"/>
        <v/>
      </c>
      <c r="X861">
        <f t="shared" si="207"/>
        <v>22.8</v>
      </c>
      <c r="Y861">
        <f t="shared" si="208"/>
        <v>209</v>
      </c>
      <c r="Z861" t="str">
        <f t="shared" si="198"/>
        <v>線西</v>
      </c>
    </row>
    <row r="862" spans="1:26" x14ac:dyDescent="0.25">
      <c r="A862" t="s">
        <v>950</v>
      </c>
      <c r="B862" t="s">
        <v>954</v>
      </c>
      <c r="C862">
        <v>258</v>
      </c>
      <c r="D862" s="383">
        <v>8.3333333333333329E-2</v>
      </c>
      <c r="E862">
        <v>254</v>
      </c>
      <c r="F862" s="383">
        <v>8.3333333333333329E-2</v>
      </c>
      <c r="G862">
        <v>258</v>
      </c>
      <c r="H862" s="383">
        <v>8.3333333333333329E-2</v>
      </c>
      <c r="I862" s="380">
        <v>258</v>
      </c>
      <c r="J862">
        <v>0</v>
      </c>
      <c r="K862" s="383">
        <v>0</v>
      </c>
      <c r="L862" t="str">
        <f t="shared" si="199"/>
        <v>9B54</v>
      </c>
      <c r="M862" t="str">
        <f t="shared" si="195"/>
        <v/>
      </c>
      <c r="N862" t="str">
        <f t="shared" si="196"/>
        <v/>
      </c>
      <c r="O862" t="str">
        <f t="shared" si="197"/>
        <v/>
      </c>
      <c r="P862" s="113" t="str">
        <f t="shared" si="200"/>
        <v>9B54</v>
      </c>
      <c r="Q862" s="114">
        <f t="shared" si="201"/>
        <v>258</v>
      </c>
      <c r="R862" s="114">
        <f t="shared" si="202"/>
        <v>256.66666666666669</v>
      </c>
      <c r="S862" s="113">
        <f t="shared" si="203"/>
        <v>254</v>
      </c>
      <c r="T862" s="111">
        <f t="shared" ca="1" si="204"/>
        <v>10.19</v>
      </c>
      <c r="U862" s="111" t="str">
        <f t="shared" si="205"/>
        <v/>
      </c>
      <c r="V862" t="str">
        <f t="array" ref="V862">INDEX(P:P,MAX(U$3:U862))</f>
        <v>9B#1DTR</v>
      </c>
      <c r="W862" t="str">
        <f t="shared" ca="1" si="206"/>
        <v/>
      </c>
      <c r="X862">
        <f t="shared" si="207"/>
        <v>22.8</v>
      </c>
      <c r="Y862">
        <f t="shared" si="208"/>
        <v>258</v>
      </c>
      <c r="Z862" t="str">
        <f t="shared" si="198"/>
        <v>線西</v>
      </c>
    </row>
    <row r="863" spans="1:26" x14ac:dyDescent="0.25">
      <c r="A863" t="s">
        <v>950</v>
      </c>
      <c r="B863" t="s">
        <v>955</v>
      </c>
      <c r="C863">
        <v>94</v>
      </c>
      <c r="D863" s="383">
        <v>0.5</v>
      </c>
      <c r="E863">
        <v>93</v>
      </c>
      <c r="F863" s="383">
        <v>0.5</v>
      </c>
      <c r="G863">
        <v>93</v>
      </c>
      <c r="H863" s="383">
        <v>0.5</v>
      </c>
      <c r="I863" s="380">
        <v>94</v>
      </c>
      <c r="J863">
        <v>6</v>
      </c>
      <c r="K863" s="383">
        <v>0.375</v>
      </c>
      <c r="L863" t="str">
        <f t="shared" si="199"/>
        <v>9B55</v>
      </c>
      <c r="M863" t="str">
        <f t="shared" si="195"/>
        <v/>
      </c>
      <c r="N863" t="str">
        <f t="shared" si="196"/>
        <v/>
      </c>
      <c r="O863" t="str">
        <f t="shared" si="197"/>
        <v/>
      </c>
      <c r="P863" s="113" t="str">
        <f t="shared" si="200"/>
        <v>9B55</v>
      </c>
      <c r="Q863" s="114">
        <f t="shared" si="201"/>
        <v>94</v>
      </c>
      <c r="R863" s="114">
        <f t="shared" si="202"/>
        <v>93.333333333333329</v>
      </c>
      <c r="S863" s="113">
        <f t="shared" si="203"/>
        <v>93</v>
      </c>
      <c r="T863" s="111">
        <f t="shared" ca="1" si="204"/>
        <v>3.71</v>
      </c>
      <c r="U863" s="111" t="str">
        <f t="shared" si="205"/>
        <v/>
      </c>
      <c r="V863" t="str">
        <f t="array" ref="V863">INDEX(P:P,MAX(U$3:U863))</f>
        <v>9B#1DTR</v>
      </c>
      <c r="W863" t="str">
        <f t="shared" ca="1" si="206"/>
        <v/>
      </c>
      <c r="X863">
        <f t="shared" si="207"/>
        <v>22.8</v>
      </c>
      <c r="Y863">
        <f t="shared" si="208"/>
        <v>94</v>
      </c>
      <c r="Z863" t="str">
        <f t="shared" si="198"/>
        <v>線西</v>
      </c>
    </row>
    <row r="864" spans="1:26" x14ac:dyDescent="0.25">
      <c r="A864" t="s">
        <v>950</v>
      </c>
      <c r="B864" t="s">
        <v>956</v>
      </c>
      <c r="C864">
        <v>0</v>
      </c>
      <c r="D864" s="383">
        <v>0</v>
      </c>
      <c r="E864">
        <v>0</v>
      </c>
      <c r="F864" s="383">
        <v>0</v>
      </c>
      <c r="G864">
        <v>0</v>
      </c>
      <c r="H864" s="383">
        <v>0</v>
      </c>
      <c r="I864" s="380">
        <v>0</v>
      </c>
      <c r="J864">
        <v>0</v>
      </c>
      <c r="K864" s="383">
        <v>0</v>
      </c>
      <c r="L864" t="str">
        <f t="shared" si="199"/>
        <v>9B56</v>
      </c>
      <c r="M864" t="str">
        <f t="shared" si="195"/>
        <v/>
      </c>
      <c r="N864" t="str">
        <f t="shared" si="196"/>
        <v/>
      </c>
      <c r="O864" t="str">
        <f t="shared" si="197"/>
        <v/>
      </c>
      <c r="P864" s="113" t="str">
        <f t="shared" si="200"/>
        <v>9B56</v>
      </c>
      <c r="Q864" s="114">
        <f t="shared" si="201"/>
        <v>0</v>
      </c>
      <c r="R864" s="114">
        <f t="shared" si="202"/>
        <v>0</v>
      </c>
      <c r="S864" s="113">
        <f t="shared" si="203"/>
        <v>0</v>
      </c>
      <c r="T864" s="111">
        <f t="shared" ca="1" si="204"/>
        <v>0</v>
      </c>
      <c r="U864" s="111" t="str">
        <f t="shared" si="205"/>
        <v/>
      </c>
      <c r="V864" t="str">
        <f t="array" ref="V864">INDEX(P:P,MAX(U$3:U864))</f>
        <v>9B#1DTR</v>
      </c>
      <c r="W864" t="str">
        <f t="shared" ca="1" si="206"/>
        <v/>
      </c>
      <c r="X864">
        <f t="shared" si="207"/>
        <v>22.8</v>
      </c>
      <c r="Y864">
        <f t="shared" si="208"/>
        <v>0</v>
      </c>
      <c r="Z864" t="str">
        <f t="shared" si="198"/>
        <v>線西</v>
      </c>
    </row>
    <row r="865" spans="1:26" x14ac:dyDescent="0.25">
      <c r="A865" t="s">
        <v>950</v>
      </c>
      <c r="B865" t="s">
        <v>957</v>
      </c>
      <c r="C865">
        <v>138</v>
      </c>
      <c r="D865" s="383">
        <v>0.33333333333333331</v>
      </c>
      <c r="E865">
        <v>132</v>
      </c>
      <c r="F865" s="383">
        <v>0.33333333333333331</v>
      </c>
      <c r="G865">
        <v>134</v>
      </c>
      <c r="H865" s="383">
        <v>0.33333333333333331</v>
      </c>
      <c r="I865" s="380">
        <v>138</v>
      </c>
      <c r="J865">
        <v>0</v>
      </c>
      <c r="K865" s="383">
        <v>0</v>
      </c>
      <c r="L865" t="str">
        <f t="shared" si="199"/>
        <v>9B57</v>
      </c>
      <c r="M865" t="str">
        <f t="shared" si="195"/>
        <v/>
      </c>
      <c r="N865" t="str">
        <f t="shared" si="196"/>
        <v/>
      </c>
      <c r="O865" t="str">
        <f t="shared" si="197"/>
        <v/>
      </c>
      <c r="P865" s="113" t="str">
        <f t="shared" si="200"/>
        <v>9B57</v>
      </c>
      <c r="Q865" s="114">
        <f t="shared" si="201"/>
        <v>138</v>
      </c>
      <c r="R865" s="114">
        <f t="shared" si="202"/>
        <v>134.66666666666666</v>
      </c>
      <c r="S865" s="113">
        <f t="shared" si="203"/>
        <v>132</v>
      </c>
      <c r="T865" s="111">
        <f t="shared" ca="1" si="204"/>
        <v>5.45</v>
      </c>
      <c r="U865" s="111" t="str">
        <f t="shared" si="205"/>
        <v/>
      </c>
      <c r="V865" t="str">
        <f t="array" ref="V865">INDEX(P:P,MAX(U$3:U865))</f>
        <v>9B#1DTR</v>
      </c>
      <c r="W865" t="str">
        <f t="shared" ca="1" si="206"/>
        <v/>
      </c>
      <c r="X865">
        <f t="shared" si="207"/>
        <v>22.8</v>
      </c>
      <c r="Y865">
        <f t="shared" si="208"/>
        <v>138</v>
      </c>
      <c r="Z865" t="str">
        <f t="shared" si="198"/>
        <v>線西</v>
      </c>
    </row>
    <row r="866" spans="1:26" x14ac:dyDescent="0.25">
      <c r="A866" t="s">
        <v>950</v>
      </c>
      <c r="B866" t="s">
        <v>958</v>
      </c>
      <c r="C866">
        <v>20</v>
      </c>
      <c r="D866" s="383">
        <v>0.41666666666666669</v>
      </c>
      <c r="E866">
        <v>19</v>
      </c>
      <c r="F866" s="383">
        <v>0.41666666666666669</v>
      </c>
      <c r="G866">
        <v>21</v>
      </c>
      <c r="H866" s="383">
        <v>0.41666666666666669</v>
      </c>
      <c r="I866" s="380">
        <v>21</v>
      </c>
      <c r="J866">
        <v>0</v>
      </c>
      <c r="K866" s="383">
        <v>0</v>
      </c>
      <c r="L866" t="str">
        <f t="shared" si="199"/>
        <v>9B58</v>
      </c>
      <c r="M866" t="str">
        <f t="shared" si="195"/>
        <v/>
      </c>
      <c r="N866" t="str">
        <f t="shared" si="196"/>
        <v/>
      </c>
      <c r="O866" t="str">
        <f t="shared" si="197"/>
        <v/>
      </c>
      <c r="P866" s="113" t="str">
        <f t="shared" si="200"/>
        <v>9B58</v>
      </c>
      <c r="Q866" s="114">
        <f t="shared" si="201"/>
        <v>21</v>
      </c>
      <c r="R866" s="114">
        <f t="shared" si="202"/>
        <v>20</v>
      </c>
      <c r="S866" s="113">
        <f t="shared" si="203"/>
        <v>19</v>
      </c>
      <c r="T866" s="111">
        <f t="shared" ca="1" si="204"/>
        <v>0.83</v>
      </c>
      <c r="U866" s="111" t="str">
        <f t="shared" si="205"/>
        <v/>
      </c>
      <c r="V866" t="str">
        <f t="array" ref="V866">INDEX(P:P,MAX(U$3:U866))</f>
        <v>9B#1DTR</v>
      </c>
      <c r="W866" t="str">
        <f t="shared" ca="1" si="206"/>
        <v/>
      </c>
      <c r="X866">
        <f t="shared" si="207"/>
        <v>22.8</v>
      </c>
      <c r="Y866">
        <f t="shared" si="208"/>
        <v>21</v>
      </c>
      <c r="Z866" t="str">
        <f t="shared" si="198"/>
        <v>線西</v>
      </c>
    </row>
    <row r="867" spans="1:26" x14ac:dyDescent="0.25">
      <c r="A867" t="s">
        <v>950</v>
      </c>
      <c r="B867" t="s">
        <v>301</v>
      </c>
      <c r="C867">
        <v>150</v>
      </c>
      <c r="D867" s="383">
        <v>0.75</v>
      </c>
      <c r="E867">
        <v>145</v>
      </c>
      <c r="F867" s="383">
        <v>0.75</v>
      </c>
      <c r="G867">
        <v>147</v>
      </c>
      <c r="H867" s="383">
        <v>0.75</v>
      </c>
      <c r="I867" s="380">
        <v>150</v>
      </c>
      <c r="L867" t="str">
        <f t="shared" si="199"/>
        <v>9B#2DTR(A)</v>
      </c>
      <c r="M867" t="str">
        <f t="shared" si="195"/>
        <v>(A)</v>
      </c>
      <c r="N867" t="str">
        <f t="shared" si="196"/>
        <v>9B#2DTR</v>
      </c>
      <c r="O867" t="str">
        <f t="shared" si="197"/>
        <v>(A)</v>
      </c>
      <c r="P867" s="113" t="str">
        <f t="shared" si="200"/>
        <v>9B#2DTR(A)</v>
      </c>
      <c r="Q867" s="114">
        <f t="shared" si="201"/>
        <v>150</v>
      </c>
      <c r="R867" s="114">
        <f t="shared" si="202"/>
        <v>147.33333333333334</v>
      </c>
      <c r="S867" s="113">
        <f t="shared" si="203"/>
        <v>145</v>
      </c>
      <c r="T867" s="111">
        <f t="shared" ca="1" si="204"/>
        <v>5.92</v>
      </c>
      <c r="U867" s="111">
        <f t="shared" si="205"/>
        <v>867</v>
      </c>
      <c r="V867" t="str">
        <f t="array" ref="V867">INDEX(P:P,MAX(U$3:U867))</f>
        <v>9B#2DTR(A)</v>
      </c>
      <c r="W867">
        <f t="shared" ca="1" si="206"/>
        <v>60</v>
      </c>
      <c r="X867" t="str">
        <f t="shared" si="207"/>
        <v/>
      </c>
      <c r="Y867">
        <f t="shared" si="208"/>
        <v>150</v>
      </c>
      <c r="Z867" t="str">
        <f t="shared" si="198"/>
        <v>線西</v>
      </c>
    </row>
    <row r="868" spans="1:26" x14ac:dyDescent="0.25">
      <c r="A868" t="s">
        <v>950</v>
      </c>
      <c r="B868" t="s">
        <v>959</v>
      </c>
      <c r="C868">
        <v>0</v>
      </c>
      <c r="D868" s="383">
        <v>0</v>
      </c>
      <c r="E868">
        <v>0</v>
      </c>
      <c r="F868" s="383">
        <v>0</v>
      </c>
      <c r="G868">
        <v>0</v>
      </c>
      <c r="H868" s="383">
        <v>0</v>
      </c>
      <c r="I868" s="380">
        <v>0</v>
      </c>
      <c r="J868">
        <v>0</v>
      </c>
      <c r="K868" s="383">
        <v>0</v>
      </c>
      <c r="L868" t="str">
        <f t="shared" si="199"/>
        <v>9B61</v>
      </c>
      <c r="M868" t="str">
        <f t="shared" si="195"/>
        <v/>
      </c>
      <c r="N868" t="str">
        <f t="shared" si="196"/>
        <v/>
      </c>
      <c r="O868" t="str">
        <f t="shared" si="197"/>
        <v/>
      </c>
      <c r="P868" s="113" t="str">
        <f t="shared" si="200"/>
        <v>9B61</v>
      </c>
      <c r="Q868" s="114">
        <f t="shared" si="201"/>
        <v>0</v>
      </c>
      <c r="R868" s="114">
        <f t="shared" si="202"/>
        <v>0</v>
      </c>
      <c r="S868" s="113">
        <f t="shared" si="203"/>
        <v>0</v>
      </c>
      <c r="T868" s="111">
        <f t="shared" ca="1" si="204"/>
        <v>0</v>
      </c>
      <c r="U868" s="111" t="str">
        <f t="shared" si="205"/>
        <v/>
      </c>
      <c r="V868" t="str">
        <f t="array" ref="V868">INDEX(P:P,MAX(U$3:U868))</f>
        <v>9B#2DTR(A)</v>
      </c>
      <c r="W868" t="str">
        <f t="shared" ca="1" si="206"/>
        <v/>
      </c>
      <c r="X868">
        <f t="shared" si="207"/>
        <v>22.8</v>
      </c>
      <c r="Y868">
        <f t="shared" si="208"/>
        <v>0</v>
      </c>
      <c r="Z868" t="str">
        <f t="shared" si="198"/>
        <v>線西</v>
      </c>
    </row>
    <row r="869" spans="1:26" x14ac:dyDescent="0.25">
      <c r="A869" t="s">
        <v>950</v>
      </c>
      <c r="B869" t="s">
        <v>960</v>
      </c>
      <c r="C869">
        <v>67</v>
      </c>
      <c r="D869" s="383">
        <v>0.45833333333333331</v>
      </c>
      <c r="E869">
        <v>68</v>
      </c>
      <c r="F869" s="383">
        <v>0.45833333333333331</v>
      </c>
      <c r="G869">
        <v>68</v>
      </c>
      <c r="H869" s="383">
        <v>0.45833333333333331</v>
      </c>
      <c r="I869" s="380">
        <v>68</v>
      </c>
      <c r="J869">
        <v>0</v>
      </c>
      <c r="K869" s="383">
        <v>0</v>
      </c>
      <c r="L869" t="str">
        <f t="shared" si="199"/>
        <v>9B62</v>
      </c>
      <c r="M869" t="str">
        <f t="shared" si="195"/>
        <v/>
      </c>
      <c r="N869" t="str">
        <f t="shared" si="196"/>
        <v/>
      </c>
      <c r="O869" t="str">
        <f t="shared" si="197"/>
        <v/>
      </c>
      <c r="P869" s="113" t="str">
        <f t="shared" si="200"/>
        <v>9B62</v>
      </c>
      <c r="Q869" s="114">
        <f t="shared" si="201"/>
        <v>68</v>
      </c>
      <c r="R869" s="114">
        <f t="shared" si="202"/>
        <v>67.666666666666671</v>
      </c>
      <c r="S869" s="113">
        <f t="shared" si="203"/>
        <v>67</v>
      </c>
      <c r="T869" s="111">
        <f t="shared" ca="1" si="204"/>
        <v>2.69</v>
      </c>
      <c r="U869" s="111" t="str">
        <f t="shared" si="205"/>
        <v/>
      </c>
      <c r="V869" t="str">
        <f t="array" ref="V869">INDEX(P:P,MAX(U$3:U869))</f>
        <v>9B#2DTR(A)</v>
      </c>
      <c r="W869" t="str">
        <f t="shared" ca="1" si="206"/>
        <v/>
      </c>
      <c r="X869">
        <f t="shared" si="207"/>
        <v>22.8</v>
      </c>
      <c r="Y869">
        <f t="shared" si="208"/>
        <v>68</v>
      </c>
      <c r="Z869" t="str">
        <f t="shared" si="198"/>
        <v>線西</v>
      </c>
    </row>
    <row r="870" spans="1:26" x14ac:dyDescent="0.25">
      <c r="A870" t="s">
        <v>950</v>
      </c>
      <c r="B870" t="s">
        <v>961</v>
      </c>
      <c r="C870">
        <v>103</v>
      </c>
      <c r="D870" s="383">
        <v>0.75</v>
      </c>
      <c r="E870">
        <v>99</v>
      </c>
      <c r="F870" s="383">
        <v>0.75</v>
      </c>
      <c r="G870">
        <v>101</v>
      </c>
      <c r="H870" s="383">
        <v>0.75</v>
      </c>
      <c r="I870" s="380">
        <v>103</v>
      </c>
      <c r="J870">
        <v>0</v>
      </c>
      <c r="K870" s="383">
        <v>0</v>
      </c>
      <c r="L870" t="str">
        <f t="shared" si="199"/>
        <v>9B63</v>
      </c>
      <c r="M870" t="str">
        <f t="shared" si="195"/>
        <v/>
      </c>
      <c r="N870" t="str">
        <f t="shared" si="196"/>
        <v/>
      </c>
      <c r="O870" t="str">
        <f t="shared" si="197"/>
        <v/>
      </c>
      <c r="P870" s="113" t="str">
        <f t="shared" si="200"/>
        <v>9B63</v>
      </c>
      <c r="Q870" s="114">
        <f t="shared" si="201"/>
        <v>103</v>
      </c>
      <c r="R870" s="114">
        <f t="shared" si="202"/>
        <v>101</v>
      </c>
      <c r="S870" s="113">
        <f t="shared" si="203"/>
        <v>99</v>
      </c>
      <c r="T870" s="111">
        <f t="shared" ca="1" si="204"/>
        <v>4.07</v>
      </c>
      <c r="U870" s="111" t="str">
        <f t="shared" si="205"/>
        <v/>
      </c>
      <c r="V870" t="str">
        <f t="array" ref="V870">INDEX(P:P,MAX(U$3:U870))</f>
        <v>9B#2DTR(A)</v>
      </c>
      <c r="W870" t="str">
        <f t="shared" ca="1" si="206"/>
        <v/>
      </c>
      <c r="X870">
        <f t="shared" si="207"/>
        <v>22.8</v>
      </c>
      <c r="Y870">
        <f t="shared" si="208"/>
        <v>103</v>
      </c>
      <c r="Z870" t="str">
        <f t="shared" si="198"/>
        <v>線西</v>
      </c>
    </row>
    <row r="871" spans="1:26" x14ac:dyDescent="0.25">
      <c r="A871" t="s">
        <v>950</v>
      </c>
      <c r="B871" t="s">
        <v>962</v>
      </c>
      <c r="C871">
        <v>37</v>
      </c>
      <c r="D871" s="383">
        <v>0.41666666666666669</v>
      </c>
      <c r="E871">
        <v>44</v>
      </c>
      <c r="F871" s="383">
        <v>0.91666666666666663</v>
      </c>
      <c r="G871">
        <v>43</v>
      </c>
      <c r="H871" s="383">
        <v>0.91666666666666663</v>
      </c>
      <c r="I871" s="380">
        <v>44</v>
      </c>
      <c r="J871">
        <v>0</v>
      </c>
      <c r="K871" s="383">
        <v>0</v>
      </c>
      <c r="L871" t="str">
        <f t="shared" si="199"/>
        <v>9B64</v>
      </c>
      <c r="P871" s="113" t="str">
        <f t="shared" si="200"/>
        <v>9B64</v>
      </c>
      <c r="Q871" s="114">
        <f t="shared" si="201"/>
        <v>44</v>
      </c>
      <c r="R871" s="114">
        <f t="shared" si="202"/>
        <v>41.333333333333336</v>
      </c>
      <c r="S871" s="113">
        <f t="shared" si="203"/>
        <v>37</v>
      </c>
      <c r="T871" s="111">
        <f t="shared" ca="1" si="204"/>
        <v>1.74</v>
      </c>
      <c r="U871" s="111" t="str">
        <f t="shared" si="205"/>
        <v/>
      </c>
      <c r="V871" t="str">
        <f t="array" ref="V871">INDEX(P:P,MAX(U$3:U871))</f>
        <v>9B#2DTR(A)</v>
      </c>
      <c r="W871" t="str">
        <f t="shared" ca="1" si="206"/>
        <v/>
      </c>
      <c r="X871">
        <f t="shared" si="207"/>
        <v>22.8</v>
      </c>
      <c r="Y871">
        <f t="shared" si="208"/>
        <v>44</v>
      </c>
      <c r="Z871" t="str">
        <f t="shared" ref="Z871:Z876" si="209">LEFT(A871,2)</f>
        <v>線西</v>
      </c>
    </row>
    <row r="872" spans="1:26" x14ac:dyDescent="0.25">
      <c r="A872" t="s">
        <v>950</v>
      </c>
      <c r="B872" t="s">
        <v>283</v>
      </c>
      <c r="C872">
        <v>187</v>
      </c>
      <c r="D872" s="383">
        <v>0.66666666666666663</v>
      </c>
      <c r="E872">
        <v>181</v>
      </c>
      <c r="F872" s="383">
        <v>0.66666666666666663</v>
      </c>
      <c r="G872">
        <v>183</v>
      </c>
      <c r="H872" s="383">
        <v>0.66666666666666663</v>
      </c>
      <c r="I872" s="380">
        <v>187</v>
      </c>
      <c r="L872" t="str">
        <f t="shared" si="199"/>
        <v>9B#2DTR(B)</v>
      </c>
      <c r="P872" s="113" t="str">
        <f t="shared" si="200"/>
        <v>9B#2DTR(B)</v>
      </c>
      <c r="Q872" s="114">
        <f t="shared" si="201"/>
        <v>187</v>
      </c>
      <c r="R872" s="114">
        <f t="shared" si="202"/>
        <v>183.66666666666666</v>
      </c>
      <c r="S872" s="113">
        <f t="shared" si="203"/>
        <v>181</v>
      </c>
      <c r="T872" s="111">
        <f t="shared" ca="1" si="204"/>
        <v>7.38</v>
      </c>
      <c r="U872" s="111">
        <f t="shared" si="205"/>
        <v>872</v>
      </c>
      <c r="V872" t="str">
        <f t="array" ref="V872">INDEX(P:P,MAX(U$3:U872))</f>
        <v>9B#2DTR(B)</v>
      </c>
      <c r="W872">
        <f t="shared" ca="1" si="206"/>
        <v>60</v>
      </c>
      <c r="X872" t="str">
        <f t="shared" si="207"/>
        <v/>
      </c>
      <c r="Y872">
        <f t="shared" si="208"/>
        <v>187</v>
      </c>
      <c r="Z872" t="str">
        <f t="shared" si="209"/>
        <v>線西</v>
      </c>
    </row>
    <row r="873" spans="1:26" x14ac:dyDescent="0.25">
      <c r="A873" t="s">
        <v>950</v>
      </c>
      <c r="B873" t="s">
        <v>963</v>
      </c>
      <c r="C873">
        <v>106</v>
      </c>
      <c r="D873" s="383">
        <v>0.66666666666666663</v>
      </c>
      <c r="E873">
        <v>102</v>
      </c>
      <c r="F873" s="383">
        <v>0.79166666666666663</v>
      </c>
      <c r="G873">
        <v>104</v>
      </c>
      <c r="H873" s="383">
        <v>0.70833333333333337</v>
      </c>
      <c r="I873" s="380">
        <v>106</v>
      </c>
      <c r="J873">
        <v>0</v>
      </c>
      <c r="K873" s="383">
        <v>0</v>
      </c>
      <c r="L873" t="str">
        <f t="shared" si="199"/>
        <v>9B65</v>
      </c>
      <c r="P873" s="113" t="str">
        <f t="shared" si="200"/>
        <v>9B65</v>
      </c>
      <c r="Q873" s="114">
        <f t="shared" si="201"/>
        <v>106</v>
      </c>
      <c r="R873" s="114">
        <f t="shared" si="202"/>
        <v>104</v>
      </c>
      <c r="S873" s="113">
        <f t="shared" si="203"/>
        <v>102</v>
      </c>
      <c r="T873" s="111">
        <f t="shared" ca="1" si="204"/>
        <v>4.1900000000000004</v>
      </c>
      <c r="U873" s="111" t="str">
        <f t="shared" si="205"/>
        <v/>
      </c>
      <c r="V873" t="str">
        <f t="array" ref="V873">INDEX(P:P,MAX(U$3:U873))</f>
        <v>9B#2DTR(B)</v>
      </c>
      <c r="W873" t="str">
        <f t="shared" ca="1" si="206"/>
        <v/>
      </c>
      <c r="X873">
        <f t="shared" si="207"/>
        <v>22.8</v>
      </c>
      <c r="Y873">
        <f t="shared" si="208"/>
        <v>106</v>
      </c>
      <c r="Z873" t="str">
        <f t="shared" si="209"/>
        <v>線西</v>
      </c>
    </row>
    <row r="874" spans="1:26" x14ac:dyDescent="0.25">
      <c r="A874" t="s">
        <v>950</v>
      </c>
      <c r="B874" t="s">
        <v>964</v>
      </c>
      <c r="C874">
        <v>0</v>
      </c>
      <c r="D874" s="383">
        <v>0</v>
      </c>
      <c r="E874">
        <v>0</v>
      </c>
      <c r="F874" s="383">
        <v>0</v>
      </c>
      <c r="G874">
        <v>0</v>
      </c>
      <c r="H874" s="383">
        <v>0</v>
      </c>
      <c r="I874" s="380">
        <v>0</v>
      </c>
      <c r="J874">
        <v>0</v>
      </c>
      <c r="K874" s="383">
        <v>0</v>
      </c>
      <c r="L874" t="str">
        <f t="shared" si="199"/>
        <v>9B66</v>
      </c>
      <c r="P874" s="113" t="str">
        <f t="shared" si="200"/>
        <v>9B66</v>
      </c>
      <c r="Q874" s="114">
        <f t="shared" si="201"/>
        <v>0</v>
      </c>
      <c r="R874" s="114">
        <f t="shared" si="202"/>
        <v>0</v>
      </c>
      <c r="S874" s="113">
        <f t="shared" si="203"/>
        <v>0</v>
      </c>
      <c r="T874" s="111">
        <f t="shared" ca="1" si="204"/>
        <v>0</v>
      </c>
      <c r="U874" s="111" t="str">
        <f t="shared" si="205"/>
        <v/>
      </c>
      <c r="V874" t="str">
        <f t="array" ref="V874">INDEX(P:P,MAX(U$3:U874))</f>
        <v>9B#2DTR(B)</v>
      </c>
      <c r="W874" t="str">
        <f t="shared" ca="1" si="206"/>
        <v/>
      </c>
      <c r="X874">
        <f t="shared" si="207"/>
        <v>22.8</v>
      </c>
      <c r="Y874">
        <f t="shared" si="208"/>
        <v>0</v>
      </c>
      <c r="Z874" t="str">
        <f t="shared" si="209"/>
        <v>線西</v>
      </c>
    </row>
    <row r="875" spans="1:26" x14ac:dyDescent="0.25">
      <c r="A875" t="s">
        <v>950</v>
      </c>
      <c r="B875" t="s">
        <v>965</v>
      </c>
      <c r="C875">
        <v>85</v>
      </c>
      <c r="D875" s="383">
        <v>0.41666666666666669</v>
      </c>
      <c r="E875">
        <v>83</v>
      </c>
      <c r="F875" s="383">
        <v>0.41666666666666669</v>
      </c>
      <c r="G875">
        <v>86</v>
      </c>
      <c r="H875" s="383">
        <v>0.41666666666666669</v>
      </c>
      <c r="I875" s="380">
        <v>86</v>
      </c>
      <c r="J875">
        <v>0</v>
      </c>
      <c r="K875" s="383">
        <v>0</v>
      </c>
      <c r="L875" t="str">
        <f t="shared" si="199"/>
        <v>9B67</v>
      </c>
      <c r="P875" s="113" t="str">
        <f t="shared" si="200"/>
        <v>9B67</v>
      </c>
      <c r="Q875" s="114">
        <f t="shared" si="201"/>
        <v>86</v>
      </c>
      <c r="R875" s="114">
        <f t="shared" si="202"/>
        <v>84.666666666666671</v>
      </c>
      <c r="S875" s="113">
        <f t="shared" si="203"/>
        <v>83</v>
      </c>
      <c r="T875" s="111">
        <f t="shared" ca="1" si="204"/>
        <v>3.4</v>
      </c>
      <c r="U875" s="111" t="str">
        <f t="shared" si="205"/>
        <v/>
      </c>
      <c r="V875" t="str">
        <f t="array" ref="V875">INDEX(P:P,MAX(U$3:U875))</f>
        <v>9B#2DTR(B)</v>
      </c>
      <c r="W875" t="str">
        <f t="shared" ca="1" si="206"/>
        <v/>
      </c>
      <c r="X875">
        <f t="shared" si="207"/>
        <v>22.8</v>
      </c>
      <c r="Y875">
        <f t="shared" si="208"/>
        <v>86</v>
      </c>
      <c r="Z875" t="str">
        <f t="shared" si="209"/>
        <v>線西</v>
      </c>
    </row>
    <row r="876" spans="1:26" x14ac:dyDescent="0.25">
      <c r="A876" t="s">
        <v>950</v>
      </c>
      <c r="B876" t="s">
        <v>966</v>
      </c>
      <c r="C876">
        <v>0</v>
      </c>
      <c r="D876" s="383">
        <v>0</v>
      </c>
      <c r="E876">
        <v>0</v>
      </c>
      <c r="F876" s="383">
        <v>0</v>
      </c>
      <c r="G876">
        <v>0</v>
      </c>
      <c r="H876" s="383">
        <v>0</v>
      </c>
      <c r="I876" s="380">
        <v>0</v>
      </c>
      <c r="J876">
        <v>0</v>
      </c>
      <c r="K876" s="383">
        <v>0</v>
      </c>
      <c r="L876" t="str">
        <f t="shared" si="199"/>
        <v>9B68</v>
      </c>
      <c r="P876" s="113" t="str">
        <f t="shared" si="200"/>
        <v>9B68</v>
      </c>
      <c r="Q876" s="114">
        <f t="shared" si="201"/>
        <v>0</v>
      </c>
      <c r="R876" s="114">
        <f t="shared" si="202"/>
        <v>0</v>
      </c>
      <c r="S876" s="113">
        <f t="shared" si="203"/>
        <v>0</v>
      </c>
      <c r="T876" s="111">
        <f t="shared" ca="1" si="204"/>
        <v>0</v>
      </c>
      <c r="U876" s="111" t="str">
        <f t="shared" si="205"/>
        <v/>
      </c>
      <c r="V876" t="str">
        <f t="array" ref="V876">INDEX(P:P,MAX(U$3:U876))</f>
        <v>9B#2DTR(B)</v>
      </c>
      <c r="W876" t="str">
        <f t="shared" ca="1" si="206"/>
        <v/>
      </c>
      <c r="X876">
        <f t="shared" si="207"/>
        <v>22.8</v>
      </c>
      <c r="Y876">
        <f t="shared" si="208"/>
        <v>0</v>
      </c>
      <c r="Z876" t="str">
        <f t="shared" si="209"/>
        <v>線西</v>
      </c>
    </row>
    <row r="877" spans="1:26" x14ac:dyDescent="0.25">
      <c r="A877" t="s">
        <v>967</v>
      </c>
      <c r="B877" t="s">
        <v>967</v>
      </c>
      <c r="C877" t="s">
        <v>967</v>
      </c>
      <c r="D877" t="s">
        <v>967</v>
      </c>
      <c r="E877" t="s">
        <v>967</v>
      </c>
      <c r="F877" t="s">
        <v>967</v>
      </c>
      <c r="G877" t="s">
        <v>967</v>
      </c>
      <c r="H877" t="s">
        <v>967</v>
      </c>
      <c r="I877" t="s">
        <v>967</v>
      </c>
      <c r="J877" t="s">
        <v>967</v>
      </c>
      <c r="K877" t="s">
        <v>967</v>
      </c>
      <c r="L877" t="e">
        <f t="shared" si="199"/>
        <v>#VALUE!</v>
      </c>
      <c r="P877" s="113" t="e">
        <f t="shared" si="200"/>
        <v>#VALUE!</v>
      </c>
      <c r="Q877" s="111" t="e">
        <f t="shared" si="201"/>
        <v>#VALUE!</v>
      </c>
      <c r="R877" s="112" t="e">
        <f t="shared" si="202"/>
        <v>#VALUE!</v>
      </c>
      <c r="S877" s="111" t="e">
        <f t="shared" si="203"/>
        <v>#VALUE!</v>
      </c>
      <c r="T877" s="111" t="e">
        <f t="shared" ca="1" si="204"/>
        <v>#VALUE!</v>
      </c>
      <c r="U877" s="111" t="str">
        <f t="shared" si="205"/>
        <v/>
      </c>
      <c r="W877" t="str">
        <f t="shared" ca="1" si="206"/>
        <v/>
      </c>
      <c r="X877" t="e">
        <f t="shared" si="207"/>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J10" sqref="J10"/>
    </sheetView>
  </sheetViews>
  <sheetFormatPr defaultColWidth="8.875" defaultRowHeight="16.5" x14ac:dyDescent="0.25"/>
  <cols>
    <col min="1" max="6" width="8.875" style="111"/>
    <col min="7" max="9" width="8.875" style="112"/>
    <col min="10" max="10" width="17.25" style="112" customWidth="1"/>
    <col min="11" max="11" width="16.875" style="112" customWidth="1"/>
    <col min="12" max="13" width="8.875" style="112"/>
    <col min="14" max="16" width="8.875" style="111"/>
    <col min="17" max="17" width="18.75" style="112" customWidth="1"/>
    <col min="18" max="19" width="15.5" style="115" customWidth="1"/>
    <col min="20" max="16384" width="8.875" style="111"/>
  </cols>
  <sheetData>
    <row r="1" spans="3:17" x14ac:dyDescent="0.25">
      <c r="E1" s="111">
        <v>4</v>
      </c>
      <c r="F1" s="111">
        <v>3</v>
      </c>
      <c r="G1" s="112">
        <v>2</v>
      </c>
      <c r="H1" s="112">
        <v>1</v>
      </c>
      <c r="I1" s="112" t="s">
        <v>57</v>
      </c>
      <c r="L1" s="112">
        <v>4</v>
      </c>
      <c r="M1" s="112">
        <v>3</v>
      </c>
      <c r="N1" s="111">
        <v>2</v>
      </c>
      <c r="O1" s="111">
        <v>1</v>
      </c>
      <c r="P1" s="112" t="s">
        <v>57</v>
      </c>
    </row>
    <row r="2" spans="3:17" x14ac:dyDescent="0.25">
      <c r="C2" s="111">
        <v>1</v>
      </c>
      <c r="D2" s="111" t="str">
        <f>IFERROR(VLOOKUP(C2,'主變(變電所全停)'!N:W,8,0),"")</f>
        <v>9G27</v>
      </c>
      <c r="E2" s="111">
        <f>VALUE(IF(COUNTIF($D$2:D2,D2)&gt;4,"4","0"))</f>
        <v>0</v>
      </c>
      <c r="F2" s="111">
        <f>VALUE(IF(COUNTIF($D$2:D2,D2)&gt;3,"3","0"))</f>
        <v>0</v>
      </c>
      <c r="G2" s="112">
        <f>VALUE(IF(COUNTIF($D$2:D2,D2)&gt;2,"2","0"))</f>
        <v>0</v>
      </c>
      <c r="H2" s="112">
        <f>VALUE(IF(COUNTIF($D$2:D2,D2)&gt;1,"1","0"))</f>
        <v>0</v>
      </c>
      <c r="I2" s="112">
        <f>VALUE(MAX(E2:H2,H2))</f>
        <v>0</v>
      </c>
      <c r="J2" s="116" t="str">
        <f>D2&amp;"-"&amp;I2</f>
        <v>9G27-0</v>
      </c>
      <c r="K2" s="112" t="str">
        <f>IFERROR(VLOOKUP(C2,'主變(變電所全停)'!N:W,10,0),"")</f>
        <v>9G#1DTR(B)</v>
      </c>
      <c r="L2" s="112">
        <f>VALUE(IF(COUNTIF($K$2:K2,K2)&gt;4,"4","0"))</f>
        <v>0</v>
      </c>
      <c r="M2" s="112">
        <f>VALUE(IF(COUNTIF($K$2:K2,K2)&gt;3,"3","0"))</f>
        <v>0</v>
      </c>
      <c r="N2" s="111">
        <f>VALUE(IF(COUNTIF($K$2:K2,K2)&gt;2,"2","0"))</f>
        <v>0</v>
      </c>
      <c r="O2" s="111">
        <f>VALUE(IF(COUNTIF($K$2:K2,K2)&gt;1,"1","0"))</f>
        <v>0</v>
      </c>
      <c r="P2" s="112">
        <f>VALUE(MAX(L2:O2,O2))</f>
        <v>0</v>
      </c>
      <c r="Q2" s="116" t="str">
        <f t="shared" ref="Q2:Q39" si="0">K2&amp;"-"&amp;P2</f>
        <v>9G#1DTR(B)-0</v>
      </c>
    </row>
    <row r="3" spans="3:17" x14ac:dyDescent="0.25">
      <c r="C3" s="111">
        <v>2</v>
      </c>
      <c r="D3" s="111" t="str">
        <f>IFERROR(VLOOKUP(C3,'主變(變電所全停)'!N:W,8,0),"")</f>
        <v>9G24</v>
      </c>
      <c r="E3" s="111">
        <f>VALUE(IF(COUNTIF($D$2:D3,D3)&gt;4,"4","0"))</f>
        <v>0</v>
      </c>
      <c r="F3" s="111">
        <f>VALUE(IF(COUNTIF($D$2:D3,D3)&gt;3,"3","0"))</f>
        <v>0</v>
      </c>
      <c r="G3" s="112">
        <f>VALUE(IF(COUNTIF($D$2:D3,D3)&gt;2,"2","0"))</f>
        <v>0</v>
      </c>
      <c r="H3" s="112">
        <f>VALUE(IF(COUNTIF($D$2:D3,D3)&gt;1,"1","0"))</f>
        <v>0</v>
      </c>
      <c r="I3" s="112">
        <f t="shared" ref="I3:I39" si="1">VALUE(MAX(E3:H3,H3))</f>
        <v>0</v>
      </c>
      <c r="J3" s="116" t="str">
        <f t="shared" ref="J3:J39" si="2">D3&amp;"-"&amp;I3</f>
        <v>9G24-0</v>
      </c>
      <c r="K3" s="112" t="str">
        <f>IFERROR(VLOOKUP(C3,'主變(變電所全停)'!N:W,10,0),"")</f>
        <v>9G#1DTR(A)</v>
      </c>
      <c r="L3" s="112">
        <f>VALUE(IF(COUNTIF($K$2:K3,K3)&gt;4,"4","0"))</f>
        <v>0</v>
      </c>
      <c r="M3" s="112">
        <f>VALUE(IF(COUNTIF($K$2:K3,K3)&gt;3,"3","0"))</f>
        <v>0</v>
      </c>
      <c r="N3" s="111">
        <f>VALUE(IF(COUNTIF($K$2:K3,K3)&gt;2,"2","0"))</f>
        <v>0</v>
      </c>
      <c r="O3" s="111">
        <f>VALUE(IF(COUNTIF($K$2:K3,K3)&gt;1,"1","0"))</f>
        <v>0</v>
      </c>
      <c r="P3" s="112">
        <f t="shared" ref="P3:P39" si="3">VALUE(MAX(L3:O3,O3))</f>
        <v>0</v>
      </c>
      <c r="Q3" s="116" t="str">
        <f t="shared" si="0"/>
        <v>9G#1DTR(A)-0</v>
      </c>
    </row>
    <row r="4" spans="3:17" x14ac:dyDescent="0.25">
      <c r="C4" s="111">
        <v>3</v>
      </c>
      <c r="D4" s="111" t="str">
        <f>IFERROR(VLOOKUP(C4,'主變(變電所全停)'!N:W,8,0),"")</f>
        <v>9G38</v>
      </c>
      <c r="E4" s="111">
        <f>VALUE(IF(COUNTIF($D$2:D4,D4)&gt;4,"4","0"))</f>
        <v>0</v>
      </c>
      <c r="F4" s="111">
        <f>VALUE(IF(COUNTIF($D$2:D4,D4)&gt;3,"3","0"))</f>
        <v>0</v>
      </c>
      <c r="G4" s="112">
        <f>VALUE(IF(COUNTIF($D$2:D4,D4)&gt;2,"2","0"))</f>
        <v>0</v>
      </c>
      <c r="H4" s="112">
        <f>VALUE(IF(COUNTIF($D$2:D4,D4)&gt;1,"1","0"))</f>
        <v>0</v>
      </c>
      <c r="I4" s="112">
        <f t="shared" si="1"/>
        <v>0</v>
      </c>
      <c r="J4" s="116" t="str">
        <f t="shared" si="2"/>
        <v>9G38-0</v>
      </c>
      <c r="K4" s="112" t="str">
        <f>IFERROR(VLOOKUP(C4,'主變(變電所全停)'!N:W,10,0),"")</f>
        <v>9G#2DTR(B)</v>
      </c>
      <c r="L4" s="112">
        <f>VALUE(IF(COUNTIF($K$2:K4,K4)&gt;4,"4","0"))</f>
        <v>0</v>
      </c>
      <c r="M4" s="112">
        <f>VALUE(IF(COUNTIF($K$2:K4,K4)&gt;3,"3","0"))</f>
        <v>0</v>
      </c>
      <c r="N4" s="111">
        <f>VALUE(IF(COUNTIF($K$2:K4,K4)&gt;2,"2","0"))</f>
        <v>0</v>
      </c>
      <c r="O4" s="111">
        <f>VALUE(IF(COUNTIF($K$2:K4,K4)&gt;1,"1","0"))</f>
        <v>0</v>
      </c>
      <c r="P4" s="112">
        <f t="shared" si="3"/>
        <v>0</v>
      </c>
      <c r="Q4" s="116" t="str">
        <f t="shared" si="0"/>
        <v>9G#2DTR(B)-0</v>
      </c>
    </row>
    <row r="5" spans="3:17" x14ac:dyDescent="0.25">
      <c r="C5" s="111">
        <v>4</v>
      </c>
      <c r="D5" s="111" t="str">
        <f>IFERROR(VLOOKUP(C5,'主變(變電所全停)'!N:W,8,0),"")</f>
        <v>9I38</v>
      </c>
      <c r="E5" s="111">
        <f>VALUE(IF(COUNTIF($D$2:D5,D5)&gt;4,"4","0"))</f>
        <v>0</v>
      </c>
      <c r="F5" s="111">
        <f>VALUE(IF(COUNTIF($D$2:D5,D5)&gt;3,"3","0"))</f>
        <v>0</v>
      </c>
      <c r="G5" s="112">
        <f>VALUE(IF(COUNTIF($D$2:D5,D5)&gt;2,"2","0"))</f>
        <v>0</v>
      </c>
      <c r="H5" s="112">
        <f>VALUE(IF(COUNTIF($D$2:D5,D5)&gt;1,"1","0"))</f>
        <v>0</v>
      </c>
      <c r="I5" s="112">
        <f t="shared" si="1"/>
        <v>0</v>
      </c>
      <c r="J5" s="116" t="str">
        <f t="shared" si="2"/>
        <v>9I38-0</v>
      </c>
      <c r="K5" s="112" t="str">
        <f>IFERROR(VLOOKUP(C5,'主變(變電所全停)'!N:W,10,0),"")</f>
        <v>9I#1DTR(B)</v>
      </c>
      <c r="L5" s="112">
        <f>VALUE(IF(COUNTIF($K$2:K5,K5)&gt;4,"4","0"))</f>
        <v>0</v>
      </c>
      <c r="M5" s="112">
        <f>VALUE(IF(COUNTIF($K$2:K5,K5)&gt;3,"3","0"))</f>
        <v>0</v>
      </c>
      <c r="N5" s="111">
        <f>VALUE(IF(COUNTIF($K$2:K5,K5)&gt;2,"2","0"))</f>
        <v>0</v>
      </c>
      <c r="O5" s="111">
        <f>VALUE(IF(COUNTIF($K$2:K5,K5)&gt;1,"1","0"))</f>
        <v>0</v>
      </c>
      <c r="P5" s="112">
        <f t="shared" si="3"/>
        <v>0</v>
      </c>
      <c r="Q5" s="116" t="str">
        <f t="shared" si="0"/>
        <v>9I#1DTR(B)-0</v>
      </c>
    </row>
    <row r="6" spans="3:17" x14ac:dyDescent="0.25">
      <c r="C6" s="111">
        <v>5</v>
      </c>
      <c r="D6" s="111" t="str">
        <f>IFERROR(VLOOKUP(C6,'主變(變電所全停)'!N:W,8,0),"")</f>
        <v>9I24</v>
      </c>
      <c r="E6" s="111">
        <f>VALUE(IF(COUNTIF($D$2:D6,D6)&gt;4,"4","0"))</f>
        <v>0</v>
      </c>
      <c r="F6" s="111">
        <f>VALUE(IF(COUNTIF($D$2:D6,D6)&gt;3,"3","0"))</f>
        <v>0</v>
      </c>
      <c r="G6" s="112">
        <f>VALUE(IF(COUNTIF($D$2:D6,D6)&gt;2,"2","0"))</f>
        <v>0</v>
      </c>
      <c r="H6" s="112">
        <f>VALUE(IF(COUNTIF($D$2:D6,D6)&gt;1,"1","0"))</f>
        <v>0</v>
      </c>
      <c r="I6" s="112">
        <f t="shared" si="1"/>
        <v>0</v>
      </c>
      <c r="J6" s="116" t="str">
        <f t="shared" si="2"/>
        <v>9I24-0</v>
      </c>
      <c r="K6" s="112" t="str">
        <f>IFERROR(VLOOKUP(C6,'主變(變電所全停)'!N:W,10,0),"")</f>
        <v>9I#1DTR(A)</v>
      </c>
      <c r="L6" s="112">
        <f>VALUE(IF(COUNTIF($K$2:K6,K6)&gt;4,"4","0"))</f>
        <v>0</v>
      </c>
      <c r="M6" s="112">
        <f>VALUE(IF(COUNTIF($K$2:K6,K6)&gt;3,"3","0"))</f>
        <v>0</v>
      </c>
      <c r="N6" s="111">
        <f>VALUE(IF(COUNTIF($K$2:K6,K6)&gt;2,"2","0"))</f>
        <v>0</v>
      </c>
      <c r="O6" s="111">
        <f>VALUE(IF(COUNTIF($K$2:K6,K6)&gt;1,"1","0"))</f>
        <v>0</v>
      </c>
      <c r="P6" s="112">
        <f t="shared" si="3"/>
        <v>0</v>
      </c>
      <c r="Q6" s="116" t="str">
        <f t="shared" si="0"/>
        <v>9I#1DTR(A)-0</v>
      </c>
    </row>
    <row r="7" spans="3:17" x14ac:dyDescent="0.25">
      <c r="C7" s="111">
        <v>6</v>
      </c>
      <c r="D7" s="111" t="str">
        <f>IFERROR(VLOOKUP(C7,'主變(變電所全停)'!N:W,8,0),"")</f>
        <v>9I30</v>
      </c>
      <c r="E7" s="111">
        <f>VALUE(IF(COUNTIF($D$2:D7,D7)&gt;4,"4","0"))</f>
        <v>0</v>
      </c>
      <c r="F7" s="111">
        <f>VALUE(IF(COUNTIF($D$2:D7,D7)&gt;3,"3","0"))</f>
        <v>0</v>
      </c>
      <c r="G7" s="112">
        <f>VALUE(IF(COUNTIF($D$2:D7,D7)&gt;2,"2","0"))</f>
        <v>0</v>
      </c>
      <c r="H7" s="112">
        <f>VALUE(IF(COUNTIF($D$2:D7,D7)&gt;1,"1","0"))</f>
        <v>0</v>
      </c>
      <c r="I7" s="112">
        <f t="shared" si="1"/>
        <v>0</v>
      </c>
      <c r="J7" s="116" t="str">
        <f t="shared" si="2"/>
        <v>9I30-0</v>
      </c>
      <c r="K7" s="112" t="str">
        <f>IFERROR(VLOOKUP(C7,'主變(變電所全停)'!N:W,10,0),"")</f>
        <v>9I#2DTR(B)</v>
      </c>
      <c r="L7" s="112">
        <f>VALUE(IF(COUNTIF($K$2:K7,K7)&gt;4,"4","0"))</f>
        <v>0</v>
      </c>
      <c r="M7" s="112">
        <f>VALUE(IF(COUNTIF($K$2:K7,K7)&gt;3,"3","0"))</f>
        <v>0</v>
      </c>
      <c r="N7" s="111">
        <f>VALUE(IF(COUNTIF($K$2:K7,K7)&gt;2,"2","0"))</f>
        <v>0</v>
      </c>
      <c r="O7" s="111">
        <f>VALUE(IF(COUNTIF($K$2:K7,K7)&gt;1,"1","0"))</f>
        <v>0</v>
      </c>
      <c r="P7" s="112">
        <f t="shared" si="3"/>
        <v>0</v>
      </c>
      <c r="Q7" s="116" t="str">
        <f t="shared" si="0"/>
        <v>9I#2DTR(B)-0</v>
      </c>
    </row>
    <row r="8" spans="3:17" x14ac:dyDescent="0.25">
      <c r="C8" s="111">
        <v>7</v>
      </c>
      <c r="D8" s="111" t="str">
        <f>IFERROR(VLOOKUP(C8,'主變(變電所全停)'!N:W,8,0),"")</f>
        <v>9G38</v>
      </c>
      <c r="E8" s="111">
        <f>VALUE(IF(COUNTIF($D$2:D8,D8)&gt;4,"4","0"))</f>
        <v>0</v>
      </c>
      <c r="F8" s="111">
        <f>VALUE(IF(COUNTIF($D$2:D8,D8)&gt;3,"3","0"))</f>
        <v>0</v>
      </c>
      <c r="G8" s="112">
        <f>VALUE(IF(COUNTIF($D$2:D8,D8)&gt;2,"2","0"))</f>
        <v>0</v>
      </c>
      <c r="H8" s="112">
        <f>VALUE(IF(COUNTIF($D$2:D8,D8)&gt;1,"1","0"))</f>
        <v>1</v>
      </c>
      <c r="I8" s="112">
        <f t="shared" si="1"/>
        <v>1</v>
      </c>
      <c r="J8" s="116" t="str">
        <f t="shared" si="2"/>
        <v>9G38-1</v>
      </c>
      <c r="K8" s="112" t="str">
        <f>IFERROR(VLOOKUP(C8,'主變(變電所全停)'!N:W,10,0),"")</f>
        <v>9G#2DTR(B)</v>
      </c>
      <c r="L8" s="112">
        <f>VALUE(IF(COUNTIF($K$2:K8,K8)&gt;4,"4","0"))</f>
        <v>0</v>
      </c>
      <c r="M8" s="112">
        <f>VALUE(IF(COUNTIF($K$2:K8,K8)&gt;3,"3","0"))</f>
        <v>0</v>
      </c>
      <c r="N8" s="111">
        <f>VALUE(IF(COUNTIF($K$2:K8,K8)&gt;2,"2","0"))</f>
        <v>0</v>
      </c>
      <c r="O8" s="111">
        <f>VALUE(IF(COUNTIF($K$2:K8,K8)&gt;1,"1","0"))</f>
        <v>1</v>
      </c>
      <c r="P8" s="112">
        <f t="shared" si="3"/>
        <v>1</v>
      </c>
      <c r="Q8" s="116" t="str">
        <f t="shared" si="0"/>
        <v>9G#2DTR(B)-1</v>
      </c>
    </row>
    <row r="9" spans="3:17" x14ac:dyDescent="0.25">
      <c r="C9" s="111">
        <v>8</v>
      </c>
      <c r="D9" s="111" t="str">
        <f>IFERROR(VLOOKUP(C9,'主變(變電所全停)'!N:W,8,0),"")</f>
        <v>9G36</v>
      </c>
      <c r="E9" s="111">
        <f>VALUE(IF(COUNTIF($D$2:D9,D9)&gt;4,"4","0"))</f>
        <v>0</v>
      </c>
      <c r="F9" s="111">
        <f>VALUE(IF(COUNTIF($D$2:D9,D9)&gt;3,"3","0"))</f>
        <v>0</v>
      </c>
      <c r="G9" s="112">
        <f>VALUE(IF(COUNTIF($D$2:D9,D9)&gt;2,"2","0"))</f>
        <v>0</v>
      </c>
      <c r="H9" s="112">
        <f>VALUE(IF(COUNTIF($D$2:D9,D9)&gt;1,"1","0"))</f>
        <v>0</v>
      </c>
      <c r="I9" s="112">
        <f t="shared" si="1"/>
        <v>0</v>
      </c>
      <c r="J9" s="116" t="str">
        <f t="shared" si="2"/>
        <v>9G36-0</v>
      </c>
      <c r="K9" s="112" t="str">
        <f>IFERROR(VLOOKUP(C9,'主變(變電所全停)'!N:W,10,0),"")</f>
        <v>9G#2DTR(B)</v>
      </c>
      <c r="L9" s="112">
        <f>VALUE(IF(COUNTIF($K$2:K9,K9)&gt;4,"4","0"))</f>
        <v>0</v>
      </c>
      <c r="M9" s="112">
        <f>VALUE(IF(COUNTIF($K$2:K9,K9)&gt;3,"3","0"))</f>
        <v>0</v>
      </c>
      <c r="N9" s="111">
        <f>VALUE(IF(COUNTIF($K$2:K9,K9)&gt;2,"2","0"))</f>
        <v>2</v>
      </c>
      <c r="O9" s="111">
        <f>VALUE(IF(COUNTIF($K$2:K9,K9)&gt;1,"1","0"))</f>
        <v>1</v>
      </c>
      <c r="P9" s="112">
        <f t="shared" si="3"/>
        <v>2</v>
      </c>
      <c r="Q9" s="116" t="str">
        <f t="shared" si="0"/>
        <v>9G#2DTR(B)-2</v>
      </c>
    </row>
    <row r="10" spans="3:17" x14ac:dyDescent="0.25">
      <c r="C10" s="111">
        <v>9</v>
      </c>
      <c r="D10" s="111" t="str">
        <f>IFERROR(VLOOKUP(C10,'主變(變電所全停)'!N:W,8,0),"")</f>
        <v>9G37</v>
      </c>
      <c r="E10" s="111">
        <f>VALUE(IF(COUNTIF($D$2:D10,D10)&gt;4,"4","0"))</f>
        <v>0</v>
      </c>
      <c r="F10" s="111">
        <f>VALUE(IF(COUNTIF($D$2:D10,D10)&gt;3,"3","0"))</f>
        <v>0</v>
      </c>
      <c r="G10" s="112">
        <f>VALUE(IF(COUNTIF($D$2:D10,D10)&gt;2,"2","0"))</f>
        <v>0</v>
      </c>
      <c r="H10" s="112">
        <f>VALUE(IF(COUNTIF($D$2:D10,D10)&gt;1,"1","0"))</f>
        <v>0</v>
      </c>
      <c r="I10" s="112">
        <f t="shared" si="1"/>
        <v>0</v>
      </c>
      <c r="J10" s="116" t="str">
        <f t="shared" si="2"/>
        <v>9G37-0</v>
      </c>
      <c r="K10" s="112" t="str">
        <f>IFERROR(VLOOKUP(C10,'主變(變電所全停)'!N:W,10,0),"")</f>
        <v>9G#2DTR(B)</v>
      </c>
      <c r="L10" s="112">
        <f>VALUE(IF(COUNTIF($K$2:K10,K10)&gt;4,"4","0"))</f>
        <v>0</v>
      </c>
      <c r="M10" s="112">
        <f>VALUE(IF(COUNTIF($K$2:K10,K10)&gt;3,"3","0"))</f>
        <v>3</v>
      </c>
      <c r="N10" s="111">
        <f>VALUE(IF(COUNTIF($K$2:K10,K10)&gt;2,"2","0"))</f>
        <v>2</v>
      </c>
      <c r="O10" s="111">
        <f>VALUE(IF(COUNTIF($K$2:K10,K10)&gt;1,"1","0"))</f>
        <v>1</v>
      </c>
      <c r="P10" s="112">
        <f t="shared" si="3"/>
        <v>3</v>
      </c>
      <c r="Q10" s="116" t="str">
        <f t="shared" si="0"/>
        <v>9G#2DTR(B)-3</v>
      </c>
    </row>
    <row r="11" spans="3:17" x14ac:dyDescent="0.25">
      <c r="C11" s="111">
        <v>10</v>
      </c>
      <c r="D11" s="111" t="str">
        <f>IFERROR(VLOOKUP(C11,'主變(變電所全停)'!N:W,8,0),"")</f>
        <v>9I26</v>
      </c>
      <c r="E11" s="111">
        <f>VALUE(IF(COUNTIF($D$2:D11,D11)&gt;4,"4","0"))</f>
        <v>0</v>
      </c>
      <c r="F11" s="111">
        <f>VALUE(IF(COUNTIF($D$2:D11,D11)&gt;3,"3","0"))</f>
        <v>0</v>
      </c>
      <c r="G11" s="112">
        <f>VALUE(IF(COUNTIF($D$2:D11,D11)&gt;2,"2","0"))</f>
        <v>0</v>
      </c>
      <c r="H11" s="112">
        <f>VALUE(IF(COUNTIF($D$2:D11,D11)&gt;1,"1","0"))</f>
        <v>0</v>
      </c>
      <c r="I11" s="112">
        <f t="shared" si="1"/>
        <v>0</v>
      </c>
      <c r="J11" s="116" t="str">
        <f t="shared" si="2"/>
        <v>9I26-0</v>
      </c>
      <c r="K11" s="112" t="str">
        <f>IFERROR(VLOOKUP(C11,'主變(變電所全停)'!N:W,10,0),"")</f>
        <v>9I#2DTR(A)</v>
      </c>
      <c r="L11" s="112">
        <f>VALUE(IF(COUNTIF($K$2:K11,K11)&gt;4,"4","0"))</f>
        <v>0</v>
      </c>
      <c r="M11" s="112">
        <f>VALUE(IF(COUNTIF($K$2:K11,K11)&gt;3,"3","0"))</f>
        <v>0</v>
      </c>
      <c r="N11" s="111">
        <f>VALUE(IF(COUNTIF($K$2:K11,K11)&gt;2,"2","0"))</f>
        <v>0</v>
      </c>
      <c r="O11" s="111">
        <f>VALUE(IF(COUNTIF($K$2:K11,K11)&gt;1,"1","0"))</f>
        <v>0</v>
      </c>
      <c r="P11" s="112">
        <f t="shared" si="3"/>
        <v>0</v>
      </c>
      <c r="Q11" s="116" t="str">
        <f t="shared" si="0"/>
        <v>9I#2DTR(A)-0</v>
      </c>
    </row>
    <row r="12" spans="3:17" x14ac:dyDescent="0.25">
      <c r="C12" s="111">
        <v>11</v>
      </c>
      <c r="D12" s="111" t="str">
        <f>IFERROR(VLOOKUP(C12,'主變(變電所全停)'!N:W,8,0),"")</f>
        <v>IO26</v>
      </c>
      <c r="E12" s="111">
        <f>VALUE(IF(COUNTIF($D$2:D12,D12)&gt;4,"4","0"))</f>
        <v>0</v>
      </c>
      <c r="F12" s="111">
        <f>VALUE(IF(COUNTIF($D$2:D12,D12)&gt;3,"3","0"))</f>
        <v>0</v>
      </c>
      <c r="G12" s="112">
        <f>VALUE(IF(COUNTIF($D$2:D12,D12)&gt;2,"2","0"))</f>
        <v>0</v>
      </c>
      <c r="H12" s="112">
        <f>VALUE(IF(COUNTIF($D$2:D12,D12)&gt;1,"1","0"))</f>
        <v>0</v>
      </c>
      <c r="I12" s="112">
        <f t="shared" si="1"/>
        <v>0</v>
      </c>
      <c r="J12" s="116" t="str">
        <f t="shared" si="2"/>
        <v>IO26-0</v>
      </c>
      <c r="K12" s="112" t="str">
        <f>IFERROR(VLOOKUP(C12,'主變(變電所全停)'!N:W,10,0),"")</f>
        <v>IO#1DTR(B)</v>
      </c>
      <c r="L12" s="112">
        <f>VALUE(IF(COUNTIF($K$2:K12,K12)&gt;4,"4","0"))</f>
        <v>0</v>
      </c>
      <c r="M12" s="112">
        <f>VALUE(IF(COUNTIF($K$2:K12,K12)&gt;3,"3","0"))</f>
        <v>0</v>
      </c>
      <c r="N12" s="111">
        <f>VALUE(IF(COUNTIF($K$2:K12,K12)&gt;2,"2","0"))</f>
        <v>0</v>
      </c>
      <c r="O12" s="111">
        <f>VALUE(IF(COUNTIF($K$2:K12,K12)&gt;1,"1","0"))</f>
        <v>0</v>
      </c>
      <c r="P12" s="112">
        <f t="shared" si="3"/>
        <v>0</v>
      </c>
      <c r="Q12" s="116" t="str">
        <f t="shared" si="0"/>
        <v>IO#1DTR(B)-0</v>
      </c>
    </row>
    <row r="13" spans="3:17" x14ac:dyDescent="0.25">
      <c r="C13" s="111">
        <v>12</v>
      </c>
      <c r="D13" s="111" t="str">
        <f>IFERROR(VLOOKUP(C13,'主變(變電所全停)'!N:W,8,0),"")</f>
        <v>9I22</v>
      </c>
      <c r="E13" s="111">
        <f>VALUE(IF(COUNTIF($D$2:D13,D13)&gt;4,"4","0"))</f>
        <v>0</v>
      </c>
      <c r="F13" s="111">
        <f>VALUE(IF(COUNTIF($D$2:D13,D13)&gt;3,"3","0"))</f>
        <v>0</v>
      </c>
      <c r="G13" s="112">
        <f>VALUE(IF(COUNTIF($D$2:D13,D13)&gt;2,"2","0"))</f>
        <v>0</v>
      </c>
      <c r="H13" s="112">
        <f>VALUE(IF(COUNTIF($D$2:D13,D13)&gt;1,"1","0"))</f>
        <v>0</v>
      </c>
      <c r="I13" s="112">
        <f t="shared" si="1"/>
        <v>0</v>
      </c>
      <c r="J13" s="116" t="str">
        <f t="shared" si="2"/>
        <v>9I22-0</v>
      </c>
      <c r="K13" s="112" t="str">
        <f>IFERROR(VLOOKUP(C13,'主變(變電所全停)'!N:W,10,0),"")</f>
        <v>9I#1DTR(A)</v>
      </c>
      <c r="L13" s="112">
        <f>VALUE(IF(COUNTIF($K$2:K13,K13)&gt;4,"4","0"))</f>
        <v>0</v>
      </c>
      <c r="M13" s="112">
        <f>VALUE(IF(COUNTIF($K$2:K13,K13)&gt;3,"3","0"))</f>
        <v>0</v>
      </c>
      <c r="N13" s="111">
        <f>VALUE(IF(COUNTIF($K$2:K13,K13)&gt;2,"2","0"))</f>
        <v>0</v>
      </c>
      <c r="O13" s="111">
        <f>VALUE(IF(COUNTIF($K$2:K13,K13)&gt;1,"1","0"))</f>
        <v>1</v>
      </c>
      <c r="P13" s="112">
        <f t="shared" si="3"/>
        <v>1</v>
      </c>
      <c r="Q13" s="116" t="str">
        <f t="shared" si="0"/>
        <v>9I#1DTR(A)-1</v>
      </c>
    </row>
    <row r="14" spans="3:17" x14ac:dyDescent="0.25">
      <c r="C14" s="111">
        <v>13</v>
      </c>
      <c r="D14" s="111" t="str">
        <f>IFERROR(VLOOKUP(C14,'主變(變電所全停)'!N:W,8,0),"")</f>
        <v>9I24</v>
      </c>
      <c r="E14" s="111">
        <f>VALUE(IF(COUNTIF($D$2:D14,D14)&gt;4,"4","0"))</f>
        <v>0</v>
      </c>
      <c r="F14" s="111">
        <f>VALUE(IF(COUNTIF($D$2:D14,D14)&gt;3,"3","0"))</f>
        <v>0</v>
      </c>
      <c r="G14" s="112">
        <f>VALUE(IF(COUNTIF($D$2:D14,D14)&gt;2,"2","0"))</f>
        <v>0</v>
      </c>
      <c r="H14" s="112">
        <f>VALUE(IF(COUNTIF($D$2:D14,D14)&gt;1,"1","0"))</f>
        <v>1</v>
      </c>
      <c r="I14" s="112">
        <f t="shared" si="1"/>
        <v>1</v>
      </c>
      <c r="J14" s="116" t="str">
        <f t="shared" si="2"/>
        <v>9I24-1</v>
      </c>
      <c r="K14" s="112" t="str">
        <f>IFERROR(VLOOKUP(C14,'主變(變電所全停)'!N:W,10,0),"")</f>
        <v>9I#1DTR(A)</v>
      </c>
      <c r="L14" s="112">
        <f>VALUE(IF(COUNTIF($K$2:K14,K14)&gt;4,"4","0"))</f>
        <v>0</v>
      </c>
      <c r="M14" s="112">
        <f>VALUE(IF(COUNTIF($K$2:K14,K14)&gt;3,"3","0"))</f>
        <v>0</v>
      </c>
      <c r="N14" s="111">
        <f>VALUE(IF(COUNTIF($K$2:K14,K14)&gt;2,"2","0"))</f>
        <v>2</v>
      </c>
      <c r="O14" s="111">
        <f>VALUE(IF(COUNTIF($K$2:K14,K14)&gt;1,"1","0"))</f>
        <v>1</v>
      </c>
      <c r="P14" s="112">
        <f t="shared" si="3"/>
        <v>2</v>
      </c>
      <c r="Q14" s="116" t="str">
        <f t="shared" si="0"/>
        <v>9I#1DTR(A)-2</v>
      </c>
    </row>
    <row r="15" spans="3:17" x14ac:dyDescent="0.25">
      <c r="C15" s="111">
        <v>14</v>
      </c>
      <c r="D15" s="111" t="str">
        <f>IFERROR(VLOOKUP(C15,'主變(變電所全停)'!N:W,8,0),"")</f>
        <v>9H33</v>
      </c>
      <c r="E15" s="111">
        <f>VALUE(IF(COUNTIF($D$2:D15,D15)&gt;4,"4","0"))</f>
        <v>0</v>
      </c>
      <c r="F15" s="111">
        <f>VALUE(IF(COUNTIF($D$2:D15,D15)&gt;3,"3","0"))</f>
        <v>0</v>
      </c>
      <c r="G15" s="112">
        <f>VALUE(IF(COUNTIF($D$2:D15,D15)&gt;2,"2","0"))</f>
        <v>0</v>
      </c>
      <c r="H15" s="112">
        <f>VALUE(IF(COUNTIF($D$2:D15,D15)&gt;1,"1","0"))</f>
        <v>0</v>
      </c>
      <c r="I15" s="112">
        <f t="shared" si="1"/>
        <v>0</v>
      </c>
      <c r="J15" s="116" t="str">
        <f t="shared" si="2"/>
        <v>9H33-0</v>
      </c>
      <c r="K15" s="112" t="str">
        <f>IFERROR(VLOOKUP(C15,'主變(變電所全停)'!N:W,10,0),"")</f>
        <v>9H#3DTR(A)</v>
      </c>
      <c r="L15" s="112">
        <f>VALUE(IF(COUNTIF($K$2:K15,K15)&gt;4,"4","0"))</f>
        <v>0</v>
      </c>
      <c r="M15" s="112">
        <f>VALUE(IF(COUNTIF($K$2:K15,K15)&gt;3,"3","0"))</f>
        <v>0</v>
      </c>
      <c r="N15" s="111">
        <f>VALUE(IF(COUNTIF($K$2:K15,K15)&gt;2,"2","0"))</f>
        <v>0</v>
      </c>
      <c r="O15" s="111">
        <f>VALUE(IF(COUNTIF($K$2:K15,K15)&gt;1,"1","0"))</f>
        <v>0</v>
      </c>
      <c r="P15" s="112">
        <f t="shared" si="3"/>
        <v>0</v>
      </c>
      <c r="Q15" s="116" t="str">
        <f t="shared" si="0"/>
        <v>9H#3DTR(A)-0</v>
      </c>
    </row>
    <row r="16" spans="3:17" x14ac:dyDescent="0.25">
      <c r="C16" s="111">
        <v>15</v>
      </c>
      <c r="D16" s="111" t="str">
        <f>IFERROR(VLOOKUP(C16,'主變(變電所全停)'!N:W,8,0),"")</f>
        <v>9H23</v>
      </c>
      <c r="E16" s="111">
        <f>VALUE(IF(COUNTIF($D$2:D16,D16)&gt;4,"4","0"))</f>
        <v>0</v>
      </c>
      <c r="F16" s="111">
        <f>VALUE(IF(COUNTIF($D$2:D16,D16)&gt;3,"3","0"))</f>
        <v>0</v>
      </c>
      <c r="G16" s="112">
        <f>VALUE(IF(COUNTIF($D$2:D16,D16)&gt;2,"2","0"))</f>
        <v>0</v>
      </c>
      <c r="H16" s="112">
        <f>VALUE(IF(COUNTIF($D$2:D16,D16)&gt;1,"1","0"))</f>
        <v>0</v>
      </c>
      <c r="I16" s="112">
        <f t="shared" si="1"/>
        <v>0</v>
      </c>
      <c r="J16" s="116" t="str">
        <f t="shared" si="2"/>
        <v>9H23-0</v>
      </c>
      <c r="K16" s="112" t="str">
        <f>IFERROR(VLOOKUP(C16,'主變(變電所全停)'!N:W,10,0),"")</f>
        <v>9H#2DTR(A)</v>
      </c>
      <c r="L16" s="112">
        <f>VALUE(IF(COUNTIF($K$2:K16,K16)&gt;4,"4","0"))</f>
        <v>0</v>
      </c>
      <c r="M16" s="112">
        <f>VALUE(IF(COUNTIF($K$2:K16,K16)&gt;3,"3","0"))</f>
        <v>0</v>
      </c>
      <c r="N16" s="111">
        <f>VALUE(IF(COUNTIF($K$2:K16,K16)&gt;2,"2","0"))</f>
        <v>0</v>
      </c>
      <c r="O16" s="111">
        <f>VALUE(IF(COUNTIF($K$2:K16,K16)&gt;1,"1","0"))</f>
        <v>0</v>
      </c>
      <c r="P16" s="112">
        <f t="shared" si="3"/>
        <v>0</v>
      </c>
      <c r="Q16" s="116" t="str">
        <f t="shared" si="0"/>
        <v>9H#2DTR(A)-0</v>
      </c>
    </row>
    <row r="17" spans="3:17" x14ac:dyDescent="0.25">
      <c r="C17" s="111">
        <v>16</v>
      </c>
      <c r="D17" s="111" t="str">
        <f>IFERROR(VLOOKUP(C17,'主變(變電所全停)'!N:W,8,0),"")</f>
        <v>IO23</v>
      </c>
      <c r="E17" s="111">
        <f>VALUE(IF(COUNTIF($D$2:D17,D17)&gt;4,"4","0"))</f>
        <v>0</v>
      </c>
      <c r="F17" s="111">
        <f>VALUE(IF(COUNTIF($D$2:D17,D17)&gt;3,"3","0"))</f>
        <v>0</v>
      </c>
      <c r="G17" s="112">
        <f>VALUE(IF(COUNTIF($D$2:D17,D17)&gt;2,"2","0"))</f>
        <v>0</v>
      </c>
      <c r="H17" s="112">
        <f>VALUE(IF(COUNTIF($D$2:D17,D17)&gt;1,"1","0"))</f>
        <v>0</v>
      </c>
      <c r="I17" s="112">
        <f t="shared" si="1"/>
        <v>0</v>
      </c>
      <c r="J17" s="116" t="str">
        <f t="shared" si="2"/>
        <v>IO23-0</v>
      </c>
      <c r="K17" s="112" t="str">
        <f>IFERROR(VLOOKUP(C17,'主變(變電所全停)'!N:W,10,0),"")</f>
        <v>IO#1DTR(B)</v>
      </c>
      <c r="L17" s="112">
        <f>VALUE(IF(COUNTIF($K$2:K17,K17)&gt;4,"4","0"))</f>
        <v>0</v>
      </c>
      <c r="M17" s="112">
        <f>VALUE(IF(COUNTIF($K$2:K17,K17)&gt;3,"3","0"))</f>
        <v>0</v>
      </c>
      <c r="N17" s="111">
        <f>VALUE(IF(COUNTIF($K$2:K17,K17)&gt;2,"2","0"))</f>
        <v>0</v>
      </c>
      <c r="O17" s="111">
        <f>VALUE(IF(COUNTIF($K$2:K17,K17)&gt;1,"1","0"))</f>
        <v>1</v>
      </c>
      <c r="P17" s="112">
        <f t="shared" si="3"/>
        <v>1</v>
      </c>
      <c r="Q17" s="116" t="str">
        <f t="shared" si="0"/>
        <v>IO#1DTR(B)-1</v>
      </c>
    </row>
    <row r="18" spans="3:17" x14ac:dyDescent="0.25">
      <c r="C18" s="111">
        <v>17</v>
      </c>
      <c r="D18" s="111" t="str">
        <f>IFERROR(VLOOKUP(C18,'主變(變電所全停)'!N:W,8,0),"")</f>
        <v>9H26</v>
      </c>
      <c r="E18" s="111">
        <f>VALUE(IF(COUNTIF($D$2:D18,D18)&gt;4,"4","0"))</f>
        <v>0</v>
      </c>
      <c r="F18" s="111">
        <f>VALUE(IF(COUNTIF($D$2:D18,D18)&gt;3,"3","0"))</f>
        <v>0</v>
      </c>
      <c r="G18" s="112">
        <f>VALUE(IF(COUNTIF($D$2:D18,D18)&gt;2,"2","0"))</f>
        <v>0</v>
      </c>
      <c r="H18" s="112">
        <f>VALUE(IF(COUNTIF($D$2:D18,D18)&gt;1,"1","0"))</f>
        <v>0</v>
      </c>
      <c r="I18" s="112">
        <f t="shared" si="1"/>
        <v>0</v>
      </c>
      <c r="J18" s="116" t="str">
        <f t="shared" si="2"/>
        <v>9H26-0</v>
      </c>
      <c r="K18" s="112" t="str">
        <f>IFERROR(VLOOKUP(C18,'主變(變電所全停)'!N:W,10,0),"")</f>
        <v>9H#2DTR(B)</v>
      </c>
      <c r="L18" s="112">
        <f>VALUE(IF(COUNTIF($K$2:K18,K18)&gt;4,"4","0"))</f>
        <v>0</v>
      </c>
      <c r="M18" s="112">
        <f>VALUE(IF(COUNTIF($K$2:K18,K18)&gt;3,"3","0"))</f>
        <v>0</v>
      </c>
      <c r="N18" s="111">
        <f>VALUE(IF(COUNTIF($K$2:K18,K18)&gt;2,"2","0"))</f>
        <v>0</v>
      </c>
      <c r="O18" s="111">
        <f>VALUE(IF(COUNTIF($K$2:K18,K18)&gt;1,"1","0"))</f>
        <v>0</v>
      </c>
      <c r="P18" s="112">
        <f t="shared" si="3"/>
        <v>0</v>
      </c>
      <c r="Q18" s="116" t="str">
        <f t="shared" si="0"/>
        <v>9H#2DTR(B)-0</v>
      </c>
    </row>
    <row r="19" spans="3:17" x14ac:dyDescent="0.25">
      <c r="C19" s="111">
        <v>18</v>
      </c>
      <c r="D19" s="111" t="str">
        <f>IFERROR(VLOOKUP(C19,'主變(變電所全停)'!N:W,8,0),"")</f>
        <v>IT27</v>
      </c>
      <c r="E19" s="111">
        <f>VALUE(IF(COUNTIF($D$2:D19,D19)&gt;4,"4","0"))</f>
        <v>0</v>
      </c>
      <c r="F19" s="111">
        <f>VALUE(IF(COUNTIF($D$2:D19,D19)&gt;3,"3","0"))</f>
        <v>0</v>
      </c>
      <c r="G19" s="112">
        <f>VALUE(IF(COUNTIF($D$2:D19,D19)&gt;2,"2","0"))</f>
        <v>0</v>
      </c>
      <c r="H19" s="112">
        <f>VALUE(IF(COUNTIF($D$2:D19,D19)&gt;1,"1","0"))</f>
        <v>0</v>
      </c>
      <c r="I19" s="112">
        <f t="shared" si="1"/>
        <v>0</v>
      </c>
      <c r="J19" s="116" t="str">
        <f t="shared" si="2"/>
        <v>IT27-0</v>
      </c>
      <c r="K19" s="112" t="str">
        <f>IFERROR(VLOOKUP(C19,'主變(變電所全停)'!N:W,10,0),"")</f>
        <v>IT#2MTR</v>
      </c>
      <c r="L19" s="112">
        <f>VALUE(IF(COUNTIF($K$2:K19,K19)&gt;4,"4","0"))</f>
        <v>0</v>
      </c>
      <c r="M19" s="112">
        <f>VALUE(IF(COUNTIF($K$2:K19,K19)&gt;3,"3","0"))</f>
        <v>0</v>
      </c>
      <c r="N19" s="111">
        <f>VALUE(IF(COUNTIF($K$2:K19,K19)&gt;2,"2","0"))</f>
        <v>0</v>
      </c>
      <c r="O19" s="111">
        <f>VALUE(IF(COUNTIF($K$2:K19,K19)&gt;1,"1","0"))</f>
        <v>0</v>
      </c>
      <c r="P19" s="112">
        <f t="shared" si="3"/>
        <v>0</v>
      </c>
      <c r="Q19" s="116" t="str">
        <f t="shared" si="0"/>
        <v>IT#2MTR-0</v>
      </c>
    </row>
    <row r="20" spans="3:17" x14ac:dyDescent="0.25">
      <c r="C20" s="111">
        <v>19</v>
      </c>
      <c r="D20" s="111" t="str">
        <f>IFERROR(VLOOKUP(C20,'主變(變電所全停)'!N:W,8,0),"")</f>
        <v>IO22</v>
      </c>
      <c r="E20" s="111">
        <f>VALUE(IF(COUNTIF($D$2:D20,D20)&gt;4,"4","0"))</f>
        <v>0</v>
      </c>
      <c r="F20" s="111">
        <f>VALUE(IF(COUNTIF($D$2:D20,D20)&gt;3,"3","0"))</f>
        <v>0</v>
      </c>
      <c r="G20" s="112">
        <f>VALUE(IF(COUNTIF($D$2:D20,D20)&gt;2,"2","0"))</f>
        <v>0</v>
      </c>
      <c r="H20" s="112">
        <f>VALUE(IF(COUNTIF($D$2:D20,D20)&gt;1,"1","0"))</f>
        <v>0</v>
      </c>
      <c r="I20" s="112">
        <f t="shared" si="1"/>
        <v>0</v>
      </c>
      <c r="J20" s="116" t="str">
        <f t="shared" si="2"/>
        <v>IO22-0</v>
      </c>
      <c r="K20" s="112" t="str">
        <f>IFERROR(VLOOKUP(C20,'主變(變電所全停)'!N:W,10,0),"")</f>
        <v>IO#1DTR(B)</v>
      </c>
      <c r="L20" s="112">
        <f>VALUE(IF(COUNTIF($K$2:K20,K20)&gt;4,"4","0"))</f>
        <v>0</v>
      </c>
      <c r="M20" s="112">
        <f>VALUE(IF(COUNTIF($K$2:K20,K20)&gt;3,"3","0"))</f>
        <v>0</v>
      </c>
      <c r="N20" s="111">
        <f>VALUE(IF(COUNTIF($K$2:K20,K20)&gt;2,"2","0"))</f>
        <v>2</v>
      </c>
      <c r="O20" s="111">
        <f>VALUE(IF(COUNTIF($K$2:K20,K20)&gt;1,"1","0"))</f>
        <v>1</v>
      </c>
      <c r="P20" s="112">
        <f t="shared" si="3"/>
        <v>2</v>
      </c>
      <c r="Q20" s="116" t="str">
        <f t="shared" si="0"/>
        <v>IO#1DTR(B)-2</v>
      </c>
    </row>
    <row r="21" spans="3:17" x14ac:dyDescent="0.25">
      <c r="C21" s="111">
        <v>20</v>
      </c>
      <c r="D21" s="111" t="str">
        <f>IFERROR(VLOOKUP(C21,'主變(變電所全停)'!N:W,8,0),"")</f>
        <v>9I25</v>
      </c>
      <c r="E21" s="111">
        <f>VALUE(IF(COUNTIF($D$2:D21,D21)&gt;4,"4","0"))</f>
        <v>0</v>
      </c>
      <c r="F21" s="111">
        <f>VALUE(IF(COUNTIF($D$2:D21,D21)&gt;3,"3","0"))</f>
        <v>0</v>
      </c>
      <c r="G21" s="112">
        <f>VALUE(IF(COUNTIF($D$2:D21,D21)&gt;2,"2","0"))</f>
        <v>0</v>
      </c>
      <c r="H21" s="112">
        <f>VALUE(IF(COUNTIF($D$2:D21,D21)&gt;1,"1","0"))</f>
        <v>0</v>
      </c>
      <c r="I21" s="112">
        <f t="shared" si="1"/>
        <v>0</v>
      </c>
      <c r="J21" s="112" t="str">
        <f t="shared" si="2"/>
        <v>9I25-0</v>
      </c>
      <c r="K21" s="112" t="str">
        <f>IFERROR(VLOOKUP(C21,'主變(變電所全停)'!N:W,10,0),"")</f>
        <v>9I#1DTR(A)</v>
      </c>
      <c r="L21" s="112">
        <f>VALUE(IF(COUNTIF($K$2:K21,K21)&gt;4,"4","0"))</f>
        <v>0</v>
      </c>
      <c r="M21" s="112">
        <f>VALUE(IF(COUNTIF($K$2:K21,K21)&gt;3,"3","0"))</f>
        <v>3</v>
      </c>
      <c r="N21" s="111">
        <f>VALUE(IF(COUNTIF($K$2:K21,K21)&gt;2,"2","0"))</f>
        <v>2</v>
      </c>
      <c r="O21" s="111">
        <f>VALUE(IF(COUNTIF($K$2:K21,K21)&gt;1,"1","0"))</f>
        <v>1</v>
      </c>
      <c r="P21" s="112">
        <f t="shared" si="3"/>
        <v>3</v>
      </c>
      <c r="Q21" s="112" t="str">
        <f t="shared" si="0"/>
        <v>9I#1DTR(A)-3</v>
      </c>
    </row>
    <row r="22" spans="3:17" x14ac:dyDescent="0.25">
      <c r="C22" s="111">
        <v>21</v>
      </c>
      <c r="D22" s="111" t="str">
        <f>IFERROR(VLOOKUP(C22,'主變(變電所全停)'!N:W,8,0),"")</f>
        <v>9I33</v>
      </c>
      <c r="E22" s="111">
        <f>VALUE(IF(COUNTIF($D$2:D22,D22)&gt;4,"4","0"))</f>
        <v>0</v>
      </c>
      <c r="F22" s="111">
        <f>VALUE(IF(COUNTIF($D$2:D22,D22)&gt;3,"3","0"))</f>
        <v>0</v>
      </c>
      <c r="G22" s="112">
        <f>VALUE(IF(COUNTIF($D$2:D22,D22)&gt;2,"2","0"))</f>
        <v>0</v>
      </c>
      <c r="H22" s="112">
        <f>VALUE(IF(COUNTIF($D$2:D22,D22)&gt;1,"1","0"))</f>
        <v>0</v>
      </c>
      <c r="I22" s="112">
        <f t="shared" si="1"/>
        <v>0</v>
      </c>
      <c r="J22" s="112" t="str">
        <f t="shared" si="2"/>
        <v>9I33-0</v>
      </c>
      <c r="K22" s="112" t="str">
        <f>IFERROR(VLOOKUP(C22,'主變(變電所全停)'!N:W,10,0),"")</f>
        <v>9I#2DTR(B)</v>
      </c>
      <c r="L22" s="112">
        <f>VALUE(IF(COUNTIF($K$2:K22,K22)&gt;4,"4","0"))</f>
        <v>0</v>
      </c>
      <c r="M22" s="112">
        <f>VALUE(IF(COUNTIF($K$2:K22,K22)&gt;3,"3","0"))</f>
        <v>0</v>
      </c>
      <c r="N22" s="111">
        <f>VALUE(IF(COUNTIF($K$2:K22,K22)&gt;2,"2","0"))</f>
        <v>0</v>
      </c>
      <c r="O22" s="111">
        <f>VALUE(IF(COUNTIF($K$2:K22,K22)&gt;1,"1","0"))</f>
        <v>1</v>
      </c>
      <c r="P22" s="112">
        <f t="shared" si="3"/>
        <v>1</v>
      </c>
      <c r="Q22" s="112" t="str">
        <f t="shared" si="0"/>
        <v>9I#2DTR(B)-1</v>
      </c>
    </row>
    <row r="23" spans="3:17" x14ac:dyDescent="0.25">
      <c r="C23" s="111">
        <v>22</v>
      </c>
      <c r="D23" s="111" t="str">
        <f>IFERROR(VLOOKUP(C23,'主變(變電所全停)'!N:W,8,0),"")</f>
        <v>9I31</v>
      </c>
      <c r="E23" s="111">
        <f>VALUE(IF(COUNTIF($D$2:D23,D23)&gt;4,"4","0"))</f>
        <v>0</v>
      </c>
      <c r="F23" s="111">
        <f>VALUE(IF(COUNTIF($D$2:D23,D23)&gt;3,"3","0"))</f>
        <v>0</v>
      </c>
      <c r="G23" s="112">
        <f>VALUE(IF(COUNTIF($D$2:D23,D23)&gt;2,"2","0"))</f>
        <v>0</v>
      </c>
      <c r="H23" s="112">
        <f>VALUE(IF(COUNTIF($D$2:D23,D23)&gt;1,"1","0"))</f>
        <v>0</v>
      </c>
      <c r="I23" s="112">
        <f t="shared" si="1"/>
        <v>0</v>
      </c>
      <c r="J23" s="112" t="str">
        <f t="shared" si="2"/>
        <v>9I31-0</v>
      </c>
      <c r="K23" s="112" t="str">
        <f>IFERROR(VLOOKUP(C23,'主變(變電所全停)'!N:W,10,0),"")</f>
        <v>9I#2DTR(B)</v>
      </c>
      <c r="L23" s="112">
        <f>VALUE(IF(COUNTIF($K$2:K23,K23)&gt;4,"4","0"))</f>
        <v>0</v>
      </c>
      <c r="M23" s="112">
        <f>VALUE(IF(COUNTIF($K$2:K23,K23)&gt;3,"3","0"))</f>
        <v>0</v>
      </c>
      <c r="N23" s="111">
        <f>VALUE(IF(COUNTIF($K$2:K23,K23)&gt;2,"2","0"))</f>
        <v>2</v>
      </c>
      <c r="O23" s="111">
        <f>VALUE(IF(COUNTIF($K$2:K23,K23)&gt;1,"1","0"))</f>
        <v>1</v>
      </c>
      <c r="P23" s="112">
        <f t="shared" si="3"/>
        <v>2</v>
      </c>
      <c r="Q23" s="112" t="str">
        <f t="shared" si="0"/>
        <v>9I#2DTR(B)-2</v>
      </c>
    </row>
    <row r="24" spans="3:17" x14ac:dyDescent="0.25">
      <c r="C24" s="111">
        <v>23</v>
      </c>
      <c r="D24" s="111" t="str">
        <f>IFERROR(VLOOKUP(C24,'主變(變電所全停)'!N:W,8,0),"")</f>
        <v/>
      </c>
      <c r="E24" s="111">
        <f>VALUE(IF(COUNTIF($D$2:D24,D24)&gt;4,"4","0"))</f>
        <v>0</v>
      </c>
      <c r="F24" s="111">
        <f>VALUE(IF(COUNTIF($D$2:D24,D24)&gt;3,"3","0"))</f>
        <v>0</v>
      </c>
      <c r="G24" s="112">
        <f>VALUE(IF(COUNTIF($D$2:D24,D24)&gt;2,"2","0"))</f>
        <v>0</v>
      </c>
      <c r="H24" s="112">
        <f>VALUE(IF(COUNTIF($D$2:D24,D24)&gt;1,"1","0"))</f>
        <v>0</v>
      </c>
      <c r="I24" s="112">
        <f t="shared" si="1"/>
        <v>0</v>
      </c>
      <c r="J24" s="112" t="str">
        <f t="shared" si="2"/>
        <v>-0</v>
      </c>
      <c r="K24" s="112" t="str">
        <f>IFERROR(VLOOKUP(C24,'主變(變電所全停)'!N:W,10,0),"")</f>
        <v/>
      </c>
      <c r="L24" s="112">
        <f>VALUE(IF(COUNTIF($K$2:K24,K24)&gt;4,"4","0"))</f>
        <v>0</v>
      </c>
      <c r="M24" s="112">
        <f>VALUE(IF(COUNTIF($K$2:K24,K24)&gt;3,"3","0"))</f>
        <v>0</v>
      </c>
      <c r="N24" s="111">
        <f>VALUE(IF(COUNTIF($K$2:K24,K24)&gt;2,"2","0"))</f>
        <v>0</v>
      </c>
      <c r="O24" s="111">
        <f>VALUE(IF(COUNTIF($K$2:K24,K24)&gt;1,"1","0"))</f>
        <v>0</v>
      </c>
      <c r="P24" s="112">
        <f t="shared" si="3"/>
        <v>0</v>
      </c>
      <c r="Q24" s="112" t="str">
        <f t="shared" si="0"/>
        <v>-0</v>
      </c>
    </row>
    <row r="25" spans="3:17" x14ac:dyDescent="0.25">
      <c r="C25" s="111">
        <v>24</v>
      </c>
      <c r="D25" s="111" t="str">
        <f>IFERROR(VLOOKUP(C25,'主變(變電所全停)'!N:W,8,0),"")</f>
        <v/>
      </c>
      <c r="E25" s="111">
        <f>VALUE(IF(COUNTIF($D$2:D25,D25)&gt;4,"4","0"))</f>
        <v>0</v>
      </c>
      <c r="F25" s="111">
        <f>VALUE(IF(COUNTIF($D$2:D25,D25)&gt;3,"3","0"))</f>
        <v>0</v>
      </c>
      <c r="G25" s="112">
        <f>VALUE(IF(COUNTIF($D$2:D25,D25)&gt;2,"2","0"))</f>
        <v>0</v>
      </c>
      <c r="H25" s="112">
        <f>VALUE(IF(COUNTIF($D$2:D25,D25)&gt;1,"1","0"))</f>
        <v>1</v>
      </c>
      <c r="I25" s="112">
        <f t="shared" si="1"/>
        <v>1</v>
      </c>
      <c r="J25" s="112" t="str">
        <f t="shared" si="2"/>
        <v>-1</v>
      </c>
      <c r="K25" s="112" t="str">
        <f>IFERROR(VLOOKUP(C25,'主變(變電所全停)'!N:W,10,0),"")</f>
        <v/>
      </c>
      <c r="L25" s="112">
        <f>VALUE(IF(COUNTIF($K$2:K25,K25)&gt;4,"4","0"))</f>
        <v>0</v>
      </c>
      <c r="M25" s="112">
        <f>VALUE(IF(COUNTIF($K$2:K25,K25)&gt;3,"3","0"))</f>
        <v>0</v>
      </c>
      <c r="N25" s="111">
        <f>VALUE(IF(COUNTIF($K$2:K25,K25)&gt;2,"2","0"))</f>
        <v>0</v>
      </c>
      <c r="O25" s="111">
        <f>VALUE(IF(COUNTIF($K$2:K25,K25)&gt;1,"1","0"))</f>
        <v>1</v>
      </c>
      <c r="P25" s="112">
        <f t="shared" si="3"/>
        <v>1</v>
      </c>
      <c r="Q25" s="112" t="str">
        <f t="shared" si="0"/>
        <v>-1</v>
      </c>
    </row>
    <row r="26" spans="3:17" x14ac:dyDescent="0.25">
      <c r="C26" s="111">
        <v>25</v>
      </c>
      <c r="D26" s="111" t="str">
        <f>IFERROR(VLOOKUP(C26,'主變(變電所全停)'!N:W,8,0),"")</f>
        <v/>
      </c>
      <c r="E26" s="111">
        <f>VALUE(IF(COUNTIF($D$2:D26,D26)&gt;4,"4","0"))</f>
        <v>0</v>
      </c>
      <c r="F26" s="111">
        <f>VALUE(IF(COUNTIF($D$2:D26,D26)&gt;3,"3","0"))</f>
        <v>0</v>
      </c>
      <c r="G26" s="112">
        <f>VALUE(IF(COUNTIF($D$2:D26,D26)&gt;2,"2","0"))</f>
        <v>2</v>
      </c>
      <c r="H26" s="112">
        <f>VALUE(IF(COUNTIF($D$2:D26,D26)&gt;1,"1","0"))</f>
        <v>1</v>
      </c>
      <c r="I26" s="112">
        <f t="shared" si="1"/>
        <v>2</v>
      </c>
      <c r="J26" s="112" t="str">
        <f t="shared" si="2"/>
        <v>-2</v>
      </c>
      <c r="K26" s="112" t="str">
        <f>IFERROR(VLOOKUP(C26,'主變(變電所全停)'!N:W,10,0),"")</f>
        <v/>
      </c>
      <c r="L26" s="112">
        <f>VALUE(IF(COUNTIF($K$2:K26,K26)&gt;4,"4","0"))</f>
        <v>0</v>
      </c>
      <c r="M26" s="112">
        <f>VALUE(IF(COUNTIF($K$2:K26,K26)&gt;3,"3","0"))</f>
        <v>0</v>
      </c>
      <c r="N26" s="111">
        <f>VALUE(IF(COUNTIF($K$2:K26,K26)&gt;2,"2","0"))</f>
        <v>2</v>
      </c>
      <c r="O26" s="111">
        <f>VALUE(IF(COUNTIF($K$2:K26,K26)&gt;1,"1","0"))</f>
        <v>1</v>
      </c>
      <c r="P26" s="112">
        <f t="shared" si="3"/>
        <v>2</v>
      </c>
      <c r="Q26" s="112" t="str">
        <f t="shared" si="0"/>
        <v>-2</v>
      </c>
    </row>
    <row r="27" spans="3:17" x14ac:dyDescent="0.25">
      <c r="C27" s="111">
        <v>26</v>
      </c>
      <c r="D27" s="111" t="str">
        <f>IFERROR(VLOOKUP(C27,'主變(變電所全停)'!N:W,8,0),"")</f>
        <v/>
      </c>
      <c r="E27" s="111">
        <f>VALUE(IF(COUNTIF($D$2:D27,D27)&gt;4,"4","0"))</f>
        <v>0</v>
      </c>
      <c r="F27" s="111">
        <f>VALUE(IF(COUNTIF($D$2:D27,D27)&gt;3,"3","0"))</f>
        <v>3</v>
      </c>
      <c r="G27" s="112">
        <f>VALUE(IF(COUNTIF($D$2:D27,D27)&gt;2,"2","0"))</f>
        <v>2</v>
      </c>
      <c r="H27" s="112">
        <f>VALUE(IF(COUNTIF($D$2:D27,D27)&gt;1,"1","0"))</f>
        <v>1</v>
      </c>
      <c r="I27" s="112">
        <f t="shared" si="1"/>
        <v>3</v>
      </c>
      <c r="J27" s="112" t="str">
        <f t="shared" si="2"/>
        <v>-3</v>
      </c>
      <c r="K27" s="112" t="str">
        <f>IFERROR(VLOOKUP(C27,'主變(變電所全停)'!N:W,10,0),"")</f>
        <v/>
      </c>
      <c r="L27" s="112">
        <f>VALUE(IF(COUNTIF($K$2:K27,K27)&gt;4,"4","0"))</f>
        <v>0</v>
      </c>
      <c r="M27" s="112">
        <f>VALUE(IF(COUNTIF($K$2:K27,K27)&gt;3,"3","0"))</f>
        <v>3</v>
      </c>
      <c r="N27" s="111">
        <f>VALUE(IF(COUNTIF($K$2:K27,K27)&gt;2,"2","0"))</f>
        <v>2</v>
      </c>
      <c r="O27" s="111">
        <f>VALUE(IF(COUNTIF($K$2:K27,K27)&gt;1,"1","0"))</f>
        <v>1</v>
      </c>
      <c r="P27" s="112">
        <f t="shared" si="3"/>
        <v>3</v>
      </c>
      <c r="Q27" s="112" t="str">
        <f t="shared" si="0"/>
        <v>-3</v>
      </c>
    </row>
    <row r="28" spans="3:17" x14ac:dyDescent="0.25">
      <c r="C28" s="111">
        <v>27</v>
      </c>
      <c r="D28" s="111" t="str">
        <f>IFERROR(VLOOKUP(C28,'主變(變電所全停)'!N:W,8,0),"")</f>
        <v/>
      </c>
      <c r="E28" s="111">
        <f>VALUE(IF(COUNTIF($D$2:D28,D28)&gt;4,"4","0"))</f>
        <v>4</v>
      </c>
      <c r="F28" s="111">
        <f>VALUE(IF(COUNTIF($D$2:D28,D28)&gt;3,"3","0"))</f>
        <v>3</v>
      </c>
      <c r="G28" s="112">
        <f>VALUE(IF(COUNTIF($D$2:D28,D28)&gt;2,"2","0"))</f>
        <v>2</v>
      </c>
      <c r="H28" s="112">
        <f>VALUE(IF(COUNTIF($D$2:D28,D28)&gt;1,"1","0"))</f>
        <v>1</v>
      </c>
      <c r="I28" s="112">
        <f t="shared" si="1"/>
        <v>4</v>
      </c>
      <c r="J28" s="112" t="str">
        <f t="shared" si="2"/>
        <v>-4</v>
      </c>
      <c r="K28" s="112" t="str">
        <f>IFERROR(VLOOKUP(C28,'主變(變電所全停)'!N:W,10,0),"")</f>
        <v/>
      </c>
      <c r="L28" s="112">
        <f>VALUE(IF(COUNTIF($K$2:K28,K28)&gt;4,"4","0"))</f>
        <v>4</v>
      </c>
      <c r="M28" s="112">
        <f>VALUE(IF(COUNTIF($K$2:K28,K28)&gt;3,"3","0"))</f>
        <v>3</v>
      </c>
      <c r="N28" s="111">
        <f>VALUE(IF(COUNTIF($K$2:K28,K28)&gt;2,"2","0"))</f>
        <v>2</v>
      </c>
      <c r="O28" s="111">
        <f>VALUE(IF(COUNTIF($K$2:K28,K28)&gt;1,"1","0"))</f>
        <v>1</v>
      </c>
      <c r="P28" s="112">
        <f t="shared" si="3"/>
        <v>4</v>
      </c>
      <c r="Q28" s="112" t="str">
        <f t="shared" si="0"/>
        <v>-4</v>
      </c>
    </row>
    <row r="29" spans="3:17" x14ac:dyDescent="0.25">
      <c r="C29" s="111">
        <v>28</v>
      </c>
      <c r="D29" s="111" t="str">
        <f>IFERROR(VLOOKUP(C29,'主變(變電所全停)'!N:W,8,0),"")</f>
        <v/>
      </c>
      <c r="E29" s="111">
        <f>VALUE(IF(COUNTIF($D$2:D29,D29)&gt;4,"4","0"))</f>
        <v>4</v>
      </c>
      <c r="F29" s="111">
        <f>VALUE(IF(COUNTIF($D$2:D29,D29)&gt;3,"3","0"))</f>
        <v>3</v>
      </c>
      <c r="G29" s="112">
        <f>VALUE(IF(COUNTIF($D$2:D29,D29)&gt;2,"2","0"))</f>
        <v>2</v>
      </c>
      <c r="H29" s="112">
        <f>VALUE(IF(COUNTIF($D$2:D29,D29)&gt;1,"1","0"))</f>
        <v>1</v>
      </c>
      <c r="I29" s="112">
        <f t="shared" si="1"/>
        <v>4</v>
      </c>
      <c r="J29" s="112" t="str">
        <f t="shared" si="2"/>
        <v>-4</v>
      </c>
      <c r="K29" s="112" t="str">
        <f>IFERROR(VLOOKUP(C29,'主變(變電所全停)'!N:W,10,0),"")</f>
        <v/>
      </c>
      <c r="L29" s="112">
        <f>VALUE(IF(COUNTIF($K$2:K29,K29)&gt;4,"4","0"))</f>
        <v>4</v>
      </c>
      <c r="M29" s="112">
        <f>VALUE(IF(COUNTIF($K$2:K29,K29)&gt;3,"3","0"))</f>
        <v>3</v>
      </c>
      <c r="N29" s="111">
        <f>VALUE(IF(COUNTIF($K$2:K29,K29)&gt;2,"2","0"))</f>
        <v>2</v>
      </c>
      <c r="O29" s="111">
        <f>VALUE(IF(COUNTIF($K$2:K29,K29)&gt;1,"1","0"))</f>
        <v>1</v>
      </c>
      <c r="P29" s="112">
        <f t="shared" si="3"/>
        <v>4</v>
      </c>
      <c r="Q29" s="112" t="str">
        <f t="shared" si="0"/>
        <v>-4</v>
      </c>
    </row>
    <row r="30" spans="3:17" x14ac:dyDescent="0.25">
      <c r="C30" s="111">
        <v>29</v>
      </c>
      <c r="D30" s="111" t="str">
        <f>IFERROR(VLOOKUP(C30,'主變(變電所全停)'!N:W,8,0),"")</f>
        <v/>
      </c>
      <c r="E30" s="111">
        <f>VALUE(IF(COUNTIF($D$2:D30,D30)&gt;4,"4","0"))</f>
        <v>4</v>
      </c>
      <c r="F30" s="111">
        <f>VALUE(IF(COUNTIF($D$2:D30,D30)&gt;3,"3","0"))</f>
        <v>3</v>
      </c>
      <c r="G30" s="112">
        <f>VALUE(IF(COUNTIF($D$2:D30,D30)&gt;2,"2","0"))</f>
        <v>2</v>
      </c>
      <c r="H30" s="112">
        <f>VALUE(IF(COUNTIF($D$2:D30,D30)&gt;1,"1","0"))</f>
        <v>1</v>
      </c>
      <c r="I30" s="112">
        <f t="shared" si="1"/>
        <v>4</v>
      </c>
      <c r="J30" s="112" t="str">
        <f t="shared" si="2"/>
        <v>-4</v>
      </c>
      <c r="K30" s="112" t="str">
        <f>IFERROR(VLOOKUP(C30,'主變(變電所全停)'!N:W,10,0),"")</f>
        <v/>
      </c>
      <c r="L30" s="112">
        <f>VALUE(IF(COUNTIF($K$2:K30,K30)&gt;4,"4","0"))</f>
        <v>4</v>
      </c>
      <c r="M30" s="112">
        <f>VALUE(IF(COUNTIF($K$2:K30,K30)&gt;3,"3","0"))</f>
        <v>3</v>
      </c>
      <c r="N30" s="111">
        <f>VALUE(IF(COUNTIF($K$2:K30,K30)&gt;2,"2","0"))</f>
        <v>2</v>
      </c>
      <c r="O30" s="111">
        <f>VALUE(IF(COUNTIF($K$2:K30,K30)&gt;1,"1","0"))</f>
        <v>1</v>
      </c>
      <c r="P30" s="112">
        <f t="shared" si="3"/>
        <v>4</v>
      </c>
      <c r="Q30" s="112" t="str">
        <f t="shared" si="0"/>
        <v>-4</v>
      </c>
    </row>
    <row r="31" spans="3:17" x14ac:dyDescent="0.25">
      <c r="C31" s="111">
        <v>30</v>
      </c>
      <c r="D31" s="111" t="str">
        <f>IFERROR(VLOOKUP(C31,'主變(變電所全停)'!N:W,8,0),"")</f>
        <v/>
      </c>
      <c r="E31" s="111">
        <f>VALUE(IF(COUNTIF($D$2:D31,D31)&gt;4,"4","0"))</f>
        <v>4</v>
      </c>
      <c r="F31" s="111">
        <f>VALUE(IF(COUNTIF($D$2:D31,D31)&gt;3,"3","0"))</f>
        <v>3</v>
      </c>
      <c r="G31" s="112">
        <f>VALUE(IF(COUNTIF($D$2:D31,D31)&gt;2,"2","0"))</f>
        <v>2</v>
      </c>
      <c r="H31" s="112">
        <f>VALUE(IF(COUNTIF($D$2:D31,D31)&gt;1,"1","0"))</f>
        <v>1</v>
      </c>
      <c r="I31" s="112">
        <f t="shared" si="1"/>
        <v>4</v>
      </c>
      <c r="J31" s="112" t="str">
        <f t="shared" si="2"/>
        <v>-4</v>
      </c>
      <c r="K31" s="112" t="str">
        <f>IFERROR(VLOOKUP(C31,'主變(變電所全停)'!N:W,10,0),"")</f>
        <v/>
      </c>
      <c r="L31" s="112">
        <f>VALUE(IF(COUNTIF($K$2:K31,K31)&gt;4,"4","0"))</f>
        <v>4</v>
      </c>
      <c r="M31" s="112">
        <f>VALUE(IF(COUNTIF($K$2:K31,K31)&gt;3,"3","0"))</f>
        <v>3</v>
      </c>
      <c r="N31" s="111">
        <f>VALUE(IF(COUNTIF($K$2:K31,K31)&gt;2,"2","0"))</f>
        <v>2</v>
      </c>
      <c r="O31" s="111">
        <f>VALUE(IF(COUNTIF($K$2:K31,K31)&gt;1,"1","0"))</f>
        <v>1</v>
      </c>
      <c r="P31" s="112">
        <f t="shared" si="3"/>
        <v>4</v>
      </c>
      <c r="Q31" s="112" t="str">
        <f t="shared" si="0"/>
        <v>-4</v>
      </c>
    </row>
    <row r="32" spans="3:17" x14ac:dyDescent="0.25">
      <c r="C32" s="111">
        <v>31</v>
      </c>
      <c r="D32" s="111" t="str">
        <f>IFERROR(VLOOKUP(C32,'主變(變電所全停)'!N:W,8,0),"")</f>
        <v/>
      </c>
      <c r="E32" s="111">
        <f>VALUE(IF(COUNTIF($D$2:D32,D32)&gt;4,"4","0"))</f>
        <v>4</v>
      </c>
      <c r="F32" s="111">
        <f>VALUE(IF(COUNTIF($D$2:D32,D32)&gt;3,"3","0"))</f>
        <v>3</v>
      </c>
      <c r="G32" s="112">
        <f>VALUE(IF(COUNTIF($D$2:D32,D32)&gt;2,"2","0"))</f>
        <v>2</v>
      </c>
      <c r="H32" s="112">
        <f>VALUE(IF(COUNTIF($D$2:D32,D32)&gt;1,"1","0"))</f>
        <v>1</v>
      </c>
      <c r="I32" s="112">
        <f t="shared" si="1"/>
        <v>4</v>
      </c>
      <c r="J32" s="112" t="str">
        <f t="shared" si="2"/>
        <v>-4</v>
      </c>
      <c r="K32" s="112" t="str">
        <f>IFERROR(VLOOKUP(C32,'主變(變電所全停)'!N:W,10,0),"")</f>
        <v/>
      </c>
      <c r="L32" s="112">
        <f>VALUE(IF(COUNTIF($K$2:K32,K32)&gt;4,"4","0"))</f>
        <v>4</v>
      </c>
      <c r="M32" s="112">
        <f>VALUE(IF(COUNTIF($K$2:K32,K32)&gt;3,"3","0"))</f>
        <v>3</v>
      </c>
      <c r="N32" s="111">
        <f>VALUE(IF(COUNTIF($K$2:K32,K32)&gt;2,"2","0"))</f>
        <v>2</v>
      </c>
      <c r="O32" s="111">
        <f>VALUE(IF(COUNTIF($K$2:K32,K32)&gt;1,"1","0"))</f>
        <v>1</v>
      </c>
      <c r="P32" s="112">
        <f t="shared" si="3"/>
        <v>4</v>
      </c>
      <c r="Q32" s="112" t="str">
        <f t="shared" si="0"/>
        <v>-4</v>
      </c>
    </row>
    <row r="33" spans="3:17" x14ac:dyDescent="0.25">
      <c r="C33" s="111">
        <v>32</v>
      </c>
      <c r="D33" s="111" t="str">
        <f>IFERROR(VLOOKUP(C33,'主變(變電所全停)'!N:W,8,0),"")</f>
        <v/>
      </c>
      <c r="E33" s="111">
        <f>VALUE(IF(COUNTIF($D$2:D33,D33)&gt;4,"4","0"))</f>
        <v>4</v>
      </c>
      <c r="F33" s="111">
        <f>VALUE(IF(COUNTIF($D$2:D33,D33)&gt;3,"3","0"))</f>
        <v>3</v>
      </c>
      <c r="G33" s="112">
        <f>VALUE(IF(COUNTIF($D$2:D33,D33)&gt;2,"2","0"))</f>
        <v>2</v>
      </c>
      <c r="H33" s="112">
        <f>VALUE(IF(COUNTIF($D$2:D33,D33)&gt;1,"1","0"))</f>
        <v>1</v>
      </c>
      <c r="I33" s="112">
        <f t="shared" si="1"/>
        <v>4</v>
      </c>
      <c r="J33" s="112" t="str">
        <f t="shared" si="2"/>
        <v>-4</v>
      </c>
      <c r="K33" s="112" t="str">
        <f>IFERROR(VLOOKUP(C33,'主變(變電所全停)'!N:W,10,0),"")</f>
        <v/>
      </c>
      <c r="L33" s="112">
        <f>VALUE(IF(COUNTIF($K$2:K33,K33)&gt;4,"4","0"))</f>
        <v>4</v>
      </c>
      <c r="M33" s="112">
        <f>VALUE(IF(COUNTIF($K$2:K33,K33)&gt;3,"3","0"))</f>
        <v>3</v>
      </c>
      <c r="N33" s="111">
        <f>VALUE(IF(COUNTIF($K$2:K33,K33)&gt;2,"2","0"))</f>
        <v>2</v>
      </c>
      <c r="O33" s="111">
        <f>VALUE(IF(COUNTIF($K$2:K33,K33)&gt;1,"1","0"))</f>
        <v>1</v>
      </c>
      <c r="P33" s="112">
        <f t="shared" si="3"/>
        <v>4</v>
      </c>
      <c r="Q33" s="112" t="str">
        <f t="shared" si="0"/>
        <v>-4</v>
      </c>
    </row>
    <row r="34" spans="3:17" x14ac:dyDescent="0.25">
      <c r="C34" s="111">
        <v>33</v>
      </c>
      <c r="D34" s="111" t="str">
        <f>IFERROR(VLOOKUP(C34,'主變(變電所全停)'!N:W,8,0),"")</f>
        <v/>
      </c>
      <c r="E34" s="111">
        <f>VALUE(IF(COUNTIF($D$2:D34,D34)&gt;4,"4","0"))</f>
        <v>4</v>
      </c>
      <c r="F34" s="111">
        <f>VALUE(IF(COUNTIF($D$2:D34,D34)&gt;3,"3","0"))</f>
        <v>3</v>
      </c>
      <c r="G34" s="112">
        <f>VALUE(IF(COUNTIF($D$2:D34,D34)&gt;2,"2","0"))</f>
        <v>2</v>
      </c>
      <c r="H34" s="112">
        <f>VALUE(IF(COUNTIF($D$2:D34,D34)&gt;1,"1","0"))</f>
        <v>1</v>
      </c>
      <c r="I34" s="112">
        <f t="shared" si="1"/>
        <v>4</v>
      </c>
      <c r="J34" s="112" t="str">
        <f t="shared" si="2"/>
        <v>-4</v>
      </c>
      <c r="K34" s="112" t="str">
        <f>IFERROR(VLOOKUP(C34,'主變(變電所全停)'!N:W,10,0),"")</f>
        <v/>
      </c>
      <c r="L34" s="112">
        <f>VALUE(IF(COUNTIF($K$2:K34,K34)&gt;4,"4","0"))</f>
        <v>4</v>
      </c>
      <c r="M34" s="112">
        <f>VALUE(IF(COUNTIF($K$2:K34,K34)&gt;3,"3","0"))</f>
        <v>3</v>
      </c>
      <c r="N34" s="111">
        <f>VALUE(IF(COUNTIF($K$2:K34,K34)&gt;2,"2","0"))</f>
        <v>2</v>
      </c>
      <c r="O34" s="111">
        <f>VALUE(IF(COUNTIF($K$2:K34,K34)&gt;1,"1","0"))</f>
        <v>1</v>
      </c>
      <c r="P34" s="112">
        <f t="shared" si="3"/>
        <v>4</v>
      </c>
      <c r="Q34" s="112" t="str">
        <f t="shared" si="0"/>
        <v>-4</v>
      </c>
    </row>
    <row r="35" spans="3:17" x14ac:dyDescent="0.25">
      <c r="C35" s="111">
        <v>34</v>
      </c>
      <c r="D35" s="111" t="str">
        <f>IFERROR(VLOOKUP(C35,'主變(變電所全停)'!N:W,8,0),"")</f>
        <v/>
      </c>
      <c r="E35" s="111">
        <f>VALUE(IF(COUNTIF($D$2:D35,D35)&gt;4,"4","0"))</f>
        <v>4</v>
      </c>
      <c r="F35" s="111">
        <f>VALUE(IF(COUNTIF($D$2:D35,D35)&gt;3,"3","0"))</f>
        <v>3</v>
      </c>
      <c r="G35" s="112">
        <f>VALUE(IF(COUNTIF($D$2:D35,D35)&gt;2,"2","0"))</f>
        <v>2</v>
      </c>
      <c r="H35" s="112">
        <f>VALUE(IF(COUNTIF($D$2:D35,D35)&gt;1,"1","0"))</f>
        <v>1</v>
      </c>
      <c r="I35" s="112">
        <f t="shared" si="1"/>
        <v>4</v>
      </c>
      <c r="J35" s="112" t="str">
        <f t="shared" si="2"/>
        <v>-4</v>
      </c>
      <c r="K35" s="112" t="str">
        <f>IFERROR(VLOOKUP(C35,'主變(變電所全停)'!N:W,10,0),"")</f>
        <v/>
      </c>
      <c r="L35" s="112">
        <f>VALUE(IF(COUNTIF($K$2:K35,K35)&gt;4,"4","0"))</f>
        <v>4</v>
      </c>
      <c r="M35" s="112">
        <f>VALUE(IF(COUNTIF($K$2:K35,K35)&gt;3,"3","0"))</f>
        <v>3</v>
      </c>
      <c r="N35" s="111">
        <f>VALUE(IF(COUNTIF($K$2:K35,K35)&gt;2,"2","0"))</f>
        <v>2</v>
      </c>
      <c r="O35" s="111">
        <f>VALUE(IF(COUNTIF($K$2:K35,K35)&gt;1,"1","0"))</f>
        <v>1</v>
      </c>
      <c r="P35" s="112">
        <f t="shared" si="3"/>
        <v>4</v>
      </c>
      <c r="Q35" s="112" t="str">
        <f t="shared" si="0"/>
        <v>-4</v>
      </c>
    </row>
    <row r="36" spans="3:17" x14ac:dyDescent="0.25">
      <c r="C36" s="111">
        <v>35</v>
      </c>
      <c r="D36" s="111" t="str">
        <f>IFERROR(VLOOKUP(C36,'主變(變電所全停)'!N:W,8,0),"")</f>
        <v/>
      </c>
      <c r="E36" s="111">
        <f>VALUE(IF(COUNTIF($D$2:D36,D36)&gt;4,"4","0"))</f>
        <v>4</v>
      </c>
      <c r="F36" s="111">
        <f>VALUE(IF(COUNTIF($D$2:D36,D36)&gt;3,"3","0"))</f>
        <v>3</v>
      </c>
      <c r="G36" s="112">
        <f>VALUE(IF(COUNTIF($D$2:D36,D36)&gt;2,"2","0"))</f>
        <v>2</v>
      </c>
      <c r="H36" s="112">
        <f>VALUE(IF(COUNTIF($D$2:D36,D36)&gt;1,"1","0"))</f>
        <v>1</v>
      </c>
      <c r="I36" s="112">
        <f t="shared" si="1"/>
        <v>4</v>
      </c>
      <c r="J36" s="112" t="str">
        <f t="shared" si="2"/>
        <v>-4</v>
      </c>
      <c r="K36" s="112" t="str">
        <f>IFERROR(VLOOKUP(C36,'主變(變電所全停)'!N:W,10,0),"")</f>
        <v/>
      </c>
      <c r="L36" s="112">
        <f>VALUE(IF(COUNTIF($K$2:K36,K36)&gt;4,"4","0"))</f>
        <v>4</v>
      </c>
      <c r="M36" s="112">
        <f>VALUE(IF(COUNTIF($K$2:K36,K36)&gt;3,"3","0"))</f>
        <v>3</v>
      </c>
      <c r="N36" s="111">
        <f>VALUE(IF(COUNTIF($K$2:K36,K36)&gt;2,"2","0"))</f>
        <v>2</v>
      </c>
      <c r="O36" s="111">
        <f>VALUE(IF(COUNTIF($K$2:K36,K36)&gt;1,"1","0"))</f>
        <v>1</v>
      </c>
      <c r="P36" s="112">
        <f t="shared" si="3"/>
        <v>4</v>
      </c>
      <c r="Q36" s="112" t="str">
        <f t="shared" si="0"/>
        <v>-4</v>
      </c>
    </row>
    <row r="37" spans="3:17" x14ac:dyDescent="0.25">
      <c r="C37" s="111">
        <v>36</v>
      </c>
      <c r="D37" s="111" t="str">
        <f>IFERROR(VLOOKUP(C37,'主變(變電所全停)'!N:W,8,0),"")</f>
        <v/>
      </c>
      <c r="E37" s="111">
        <f>VALUE(IF(COUNTIF($D$2:D37,D37)&gt;4,"4","0"))</f>
        <v>4</v>
      </c>
      <c r="F37" s="111">
        <f>VALUE(IF(COUNTIF($D$2:D37,D37)&gt;3,"3","0"))</f>
        <v>3</v>
      </c>
      <c r="G37" s="112">
        <f>VALUE(IF(COUNTIF($D$2:D37,D37)&gt;2,"2","0"))</f>
        <v>2</v>
      </c>
      <c r="H37" s="112">
        <f>VALUE(IF(COUNTIF($D$2:D37,D37)&gt;1,"1","0"))</f>
        <v>1</v>
      </c>
      <c r="I37" s="112">
        <f t="shared" si="1"/>
        <v>4</v>
      </c>
      <c r="J37" s="112" t="str">
        <f t="shared" si="2"/>
        <v>-4</v>
      </c>
      <c r="K37" s="112" t="str">
        <f>IFERROR(VLOOKUP(C37,'主變(變電所全停)'!N:W,10,0),"")</f>
        <v/>
      </c>
      <c r="L37" s="112">
        <f>VALUE(IF(COUNTIF($K$2:K37,K37)&gt;4,"4","0"))</f>
        <v>4</v>
      </c>
      <c r="M37" s="112">
        <f>VALUE(IF(COUNTIF($K$2:K37,K37)&gt;3,"3","0"))</f>
        <v>3</v>
      </c>
      <c r="N37" s="111">
        <f>VALUE(IF(COUNTIF($K$2:K37,K37)&gt;2,"2","0"))</f>
        <v>2</v>
      </c>
      <c r="O37" s="111">
        <f>VALUE(IF(COUNTIF($K$2:K37,K37)&gt;1,"1","0"))</f>
        <v>1</v>
      </c>
      <c r="P37" s="112">
        <f t="shared" si="3"/>
        <v>4</v>
      </c>
      <c r="Q37" s="112" t="str">
        <f t="shared" si="0"/>
        <v>-4</v>
      </c>
    </row>
    <row r="38" spans="3:17" x14ac:dyDescent="0.25">
      <c r="C38" s="111">
        <v>37</v>
      </c>
      <c r="D38" s="111" t="str">
        <f>IFERROR(VLOOKUP(C38,'主變(變電所全停)'!N:W,8,0),"")</f>
        <v/>
      </c>
      <c r="E38" s="111">
        <f>VALUE(IF(COUNTIF($D$2:D38,D38)&gt;4,"4","0"))</f>
        <v>4</v>
      </c>
      <c r="F38" s="111">
        <f>VALUE(IF(COUNTIF($D$2:D38,D38)&gt;3,"3","0"))</f>
        <v>3</v>
      </c>
      <c r="G38" s="112">
        <f>VALUE(IF(COUNTIF($D$2:D38,D38)&gt;2,"2","0"))</f>
        <v>2</v>
      </c>
      <c r="H38" s="112">
        <f>VALUE(IF(COUNTIF($D$2:D38,D38)&gt;1,"1","0"))</f>
        <v>1</v>
      </c>
      <c r="I38" s="112">
        <f t="shared" si="1"/>
        <v>4</v>
      </c>
      <c r="J38" s="112" t="str">
        <f t="shared" si="2"/>
        <v>-4</v>
      </c>
      <c r="K38" s="112" t="str">
        <f>IFERROR(VLOOKUP(C38,'主變(變電所全停)'!N:W,10,0),"")</f>
        <v/>
      </c>
      <c r="L38" s="112">
        <f>VALUE(IF(COUNTIF($K$2:K38,K38)&gt;4,"4","0"))</f>
        <v>4</v>
      </c>
      <c r="M38" s="112">
        <f>VALUE(IF(COUNTIF($K$2:K38,K38)&gt;3,"3","0"))</f>
        <v>3</v>
      </c>
      <c r="N38" s="111">
        <f>VALUE(IF(COUNTIF($K$2:K38,K38)&gt;2,"2","0"))</f>
        <v>2</v>
      </c>
      <c r="O38" s="111">
        <f>VALUE(IF(COUNTIF($K$2:K38,K38)&gt;1,"1","0"))</f>
        <v>1</v>
      </c>
      <c r="P38" s="112">
        <f t="shared" si="3"/>
        <v>4</v>
      </c>
      <c r="Q38" s="112" t="str">
        <f t="shared" si="0"/>
        <v>-4</v>
      </c>
    </row>
    <row r="39" spans="3:17" x14ac:dyDescent="0.25">
      <c r="C39" s="111">
        <v>38</v>
      </c>
      <c r="D39" s="111" t="str">
        <f>IFERROR(VLOOKUP(C39,'主變(變電所全停)'!N:W,8,0),"")</f>
        <v/>
      </c>
      <c r="E39" s="111">
        <f>VALUE(IF(COUNTIF($D$2:D39,D39)&gt;4,"4","0"))</f>
        <v>4</v>
      </c>
      <c r="F39" s="111">
        <f>VALUE(IF(COUNTIF($D$2:D39,D39)&gt;3,"3","0"))</f>
        <v>3</v>
      </c>
      <c r="G39" s="112">
        <f>VALUE(IF(COUNTIF($D$2:D39,D39)&gt;2,"2","0"))</f>
        <v>2</v>
      </c>
      <c r="H39" s="112">
        <f>VALUE(IF(COUNTIF($D$2:D39,D39)&gt;1,"1","0"))</f>
        <v>1</v>
      </c>
      <c r="I39" s="112">
        <f t="shared" si="1"/>
        <v>4</v>
      </c>
      <c r="J39" s="112" t="str">
        <f t="shared" si="2"/>
        <v>-4</v>
      </c>
      <c r="K39" s="112" t="str">
        <f>IFERROR(VLOOKUP(C39,'主變(變電所全停)'!N:W,10,0),"")</f>
        <v/>
      </c>
      <c r="L39" s="112">
        <f>VALUE(IF(COUNTIF($K$2:K39,K39)&gt;4,"4","0"))</f>
        <v>4</v>
      </c>
      <c r="M39" s="112">
        <f>VALUE(IF(COUNTIF($K$2:K39,K39)&gt;3,"3","0"))</f>
        <v>3</v>
      </c>
      <c r="N39" s="111">
        <f>VALUE(IF(COUNTIF($K$2:K39,K39)&gt;2,"2","0"))</f>
        <v>2</v>
      </c>
      <c r="O39" s="111">
        <f>VALUE(IF(COUNTIF($K$2:K39,K39)&gt;1,"1","0"))</f>
        <v>1</v>
      </c>
      <c r="P39" s="112">
        <f t="shared" si="3"/>
        <v>4</v>
      </c>
      <c r="Q39" s="112"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具名範圍</vt:lpstr>
      </vt:variant>
      <vt:variant>
        <vt:i4>2</vt:i4>
      </vt:variant>
    </vt:vector>
  </HeadingPairs>
  <TitlesOfParts>
    <vt:vector size="6" baseType="lpstr">
      <vt:lpstr>主變(變電所全停)</vt:lpstr>
      <vt:lpstr>主變N-1</vt:lpstr>
      <vt:lpstr>DATA</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慶民 姚</cp:lastModifiedBy>
  <cp:lastPrinted>2024-06-25T08:41:06Z</cp:lastPrinted>
  <dcterms:created xsi:type="dcterms:W3CDTF">2008-03-28T03:28:13Z</dcterms:created>
  <dcterms:modified xsi:type="dcterms:W3CDTF">2024-07-15T10:35:27Z</dcterms:modified>
</cp:coreProperties>
</file>