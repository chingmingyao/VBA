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C036039\Downloads\"/>
    </mc:Choice>
  </mc:AlternateContent>
  <xr:revisionPtr revIDLastSave="0" documentId="13_ncr:1_{C6697DD9-83D1-41A2-B4C8-90DEA12CAD9C}" xr6:coauthVersionLast="45" xr6:coauthVersionMax="47" xr10:uidLastSave="{00000000-0000-0000-0000-000000000000}"/>
  <bookViews>
    <workbookView xWindow="-120" yWindow="-120" windowWidth="29040" windowHeight="15840" xr2:uid="{00000000-000D-0000-FFFF-FFFF00000000}"/>
  </bookViews>
  <sheets>
    <sheet name="Main" sheetId="1" r:id="rId1"/>
    <sheet name="Table_0" sheetId="2261" r:id="rId2"/>
    <sheet name="Table_1" sheetId="2262" r:id="rId3"/>
    <sheet name="Table_2" sheetId="2263" r:id="rId4"/>
    <sheet name="Table_3" sheetId="2264" r:id="rId5"/>
    <sheet name="Table_4" sheetId="2265" r:id="rId6"/>
    <sheet name="Table_5" sheetId="2266" r:id="rId7"/>
    <sheet name="Table_6" sheetId="2267" r:id="rId8"/>
    <sheet name="Table_7" sheetId="2268" r:id="rId9"/>
    <sheet name="Table_8" sheetId="2269" r:id="rId10"/>
    <sheet name="Table_9" sheetId="2270" r:id="rId11"/>
    <sheet name="Table_10" sheetId="2271" r:id="rId12"/>
    <sheet name="Table_11" sheetId="2272" r:id="rId13"/>
    <sheet name="Table_12" sheetId="2273" r:id="rId14"/>
    <sheet name="Table_13" sheetId="2274" r:id="rId15"/>
    <sheet name="Table_14" sheetId="2275" r:id="rId16"/>
    <sheet name="Table_15" sheetId="2276" r:id="rId17"/>
    <sheet name="Table_16" sheetId="2277" r:id="rId18"/>
    <sheet name="Table_17" sheetId="2278" r:id="rId19"/>
    <sheet name="Table_18" sheetId="2279" r:id="rId20"/>
    <sheet name="Table_19" sheetId="2280" r:id="rId21"/>
    <sheet name="Table_20" sheetId="2281" r:id="rId22"/>
    <sheet name="Table_21" sheetId="2282" r:id="rId23"/>
    <sheet name="Table_22" sheetId="2283" r:id="rId24"/>
    <sheet name="Table_23" sheetId="2284" r:id="rId25"/>
    <sheet name="Table_24" sheetId="2285" r:id="rId26"/>
    <sheet name="Table_25" sheetId="2286" r:id="rId27"/>
    <sheet name="Table_26" sheetId="2287" r:id="rId28"/>
    <sheet name="Table_27" sheetId="2288" r:id="rId2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5" i="1" l="1"/>
  <c r="V6" i="1"/>
  <c r="AD4" i="1"/>
  <c r="AC4" i="1"/>
</calcChain>
</file>

<file path=xl/sharedStrings.xml><?xml version="1.0" encoding="utf-8"?>
<sst xmlns="http://schemas.openxmlformats.org/spreadsheetml/2006/main" count="378" uniqueCount="240">
  <si>
    <t>Request Header</t>
    <phoneticPr fontId="1" type="noConversion"/>
  </si>
  <si>
    <t>Request Method</t>
    <phoneticPr fontId="1" type="noConversion"/>
  </si>
  <si>
    <t>Request URL</t>
    <phoneticPr fontId="1" type="noConversion"/>
  </si>
  <si>
    <t>Form Data</t>
    <phoneticPr fontId="1" type="noConversion"/>
  </si>
  <si>
    <t>檢查資料</t>
    <phoneticPr fontId="1" type="noConversion"/>
  </si>
  <si>
    <t>設定編碼</t>
    <phoneticPr fontId="1" type="noConversion"/>
  </si>
  <si>
    <t>測試結果:</t>
    <phoneticPr fontId="1" type="noConversion"/>
  </si>
  <si>
    <t xml:space="preserve">Function convertraw(rawdata, char)
Dim rawstr
Set rawstr = CreateObject("adodb.stream")
With rawstr
  .Type = 1
  .Mode = 3
  .Open
  .Write rawdata
  .Position = 0
  .Type = 2
  .charset = char
  convertraw = .ReadText
  .Close
End With
Set rawstr = Nothing
End Function
</t>
    <phoneticPr fontId="1" type="noConversion"/>
  </si>
  <si>
    <t>Table</t>
    <phoneticPr fontId="1" type="noConversion"/>
  </si>
  <si>
    <t>儲存格數量</t>
    <phoneticPr fontId="1" type="noConversion"/>
  </si>
  <si>
    <t>是否包含資料</t>
    <phoneticPr fontId="1" type="noConversion"/>
  </si>
  <si>
    <t>資料最有可能在</t>
    <phoneticPr fontId="1" type="noConversion"/>
  </si>
  <si>
    <t>儲存格數量</t>
    <phoneticPr fontId="1" type="noConversion"/>
  </si>
  <si>
    <t>是否包含資料</t>
    <phoneticPr fontId="1" type="noConversion"/>
  </si>
  <si>
    <t>Table數</t>
    <phoneticPr fontId="1" type="noConversion"/>
  </si>
  <si>
    <t>Table_0</t>
  </si>
  <si>
    <t>輸入Request資料</t>
    <phoneticPr fontId="1" type="noConversion"/>
  </si>
  <si>
    <t>是</t>
  </si>
  <si>
    <t>列數</t>
    <phoneticPr fontId="1" type="noConversion"/>
  </si>
  <si>
    <t>欄數</t>
    <phoneticPr fontId="1" type="noConversion"/>
  </si>
  <si>
    <t>Table_1</t>
  </si>
  <si>
    <t>否</t>
  </si>
  <si>
    <t>Table_2</t>
  </si>
  <si>
    <t>Table_3</t>
  </si>
  <si>
    <t>Table_4</t>
  </si>
  <si>
    <t>Table_5</t>
  </si>
  <si>
    <t>Table_6</t>
  </si>
  <si>
    <t>Table_7</t>
  </si>
  <si>
    <t>Table_8</t>
  </si>
  <si>
    <t>Table_9</t>
  </si>
  <si>
    <t>Table_10</t>
  </si>
  <si>
    <t>Table_11</t>
  </si>
  <si>
    <t>Table_12</t>
  </si>
  <si>
    <t>Table_13</t>
  </si>
  <si>
    <t>合計</t>
  </si>
  <si>
    <t>Table_14</t>
  </si>
  <si>
    <t>Table_15</t>
  </si>
  <si>
    <t>Table_16</t>
  </si>
  <si>
    <t>Table_17</t>
  </si>
  <si>
    <t>Table_18</t>
  </si>
  <si>
    <t>Table_19</t>
  </si>
  <si>
    <t>Table_20</t>
  </si>
  <si>
    <t>Table_21</t>
  </si>
  <si>
    <t>Table_22</t>
  </si>
  <si>
    <t>Table_23</t>
  </si>
  <si>
    <t>Table_24</t>
  </si>
  <si>
    <t>Table_25</t>
  </si>
  <si>
    <t>Table_26</t>
  </si>
  <si>
    <t>Table_27</t>
  </si>
  <si>
    <t>text/html,application/xhtml+xml,application/xml;q=0.9,image/avif,image/webp,image/apng,*/*;q=0.8,application/signed-exchange;v=b3;q=0.7_x000D_</t>
  </si>
  <si>
    <t>zh-TW,zh;q=0.9,en-US;q=0.8,en;q=0.7_x000D_</t>
  </si>
  <si>
    <t>1_x000D_</t>
  </si>
  <si>
    <t>User-Agent</t>
  </si>
  <si>
    <t>Accept</t>
  </si>
  <si>
    <t>Accept-Language</t>
  </si>
  <si>
    <t>Cookie</t>
  </si>
  <si>
    <t>Upgrade-Insecure-Requests</t>
  </si>
  <si>
    <t>UTF-8</t>
  </si>
  <si>
    <t>_x000D_
≡Goodinfo!台灣股市資訊網</t>
  </si>
  <si>
    <t>股票代號/名稱  </t>
  </si>
  <si>
    <t xml:space="preserve">登入網站 </t>
  </si>
  <si>
    <t>_x000D_
≡</t>
  </si>
  <si>
    <t>Goodinfo!</t>
  </si>
  <si>
    <t>台灣股市資訊網</t>
  </si>
  <si>
    <t>_x000D_
_x000D_
_x000D_
_x000D_
ADList.push("AD13");googletag.cmd.push(function() { googletag.defineSlot('/166795457/TW_看板廣告_970x250', [970,250], 'DFP_4467612876').addService(googletag.pubads()); googletag.pubads().enableSingleRequest(); googletag.enableServices(); googletag.display('DFP_4467612876');});</t>
  </si>
  <si>
    <t>_x000D_
_x000D_
基本概況_x000D_
 個股市況_x000D_
 基本資料_x000D_
 新聞公告_x000D_
 經營績效_x000D_
 資產狀況_x000D_
 現金流量_x000D_
 每月營收_x000D_
 產品營收_x000D_
股東權益_x000D_
 股東會日程_x000D_
 股利政策_x000D_
 除權息日程_x000D_
 停資停券日_x000D_
 員工薪資_x000D_
財務報表_x000D_
 資產負債表_x000D_
 損益表_x000D_
 現金流量表_x000D_
 財務比率表_x000D_
 財務評分表_x000D_
 財報比較_x000D_
_x000D_
籌碼分析_x000D_
 法人買賣_x000D_
 融資融券_x000D_
 現股當沖_x000D_
 持股分級_x000D_
 股東結構_x000D_
 董監持股_x000D_
 申報轉讓_x000D_
技術分析_x000D_
 個股K線圖_x000D_
 K線比較圖_x000D_
 本益比河流圖_x000D_
 本淨比河流圖_x000D_
 乖離率河流圖_x000D_
 季漲跌統計_x000D_
 月漲跌統計_x000D_
其他_x000D_
 上一檔股票_x000D_
 下一檔股票_x000D_
 上市大盤_x000D_
 上櫃大盤_x000D_
 回到首頁_x000D_
_x000D_
_x000D_
_x000D_
_x000D_
_x000D_
_x000D_
_x000D_
_x000D_
ADList.push("AD18");googletag.cmd.push(function() { googletag.defineSlot('/166795457/TW_180x600', [180,600], 'DFP_4236926568').addService(googletag.pubads()); googletag.pubads().enableSingleRequest(); googletag.enableServices(); googletag.display('DFP_4236926568');});</t>
  </si>
  <si>
    <t>基本概況_x000D_
 個股市況_x000D_
 基本資料_x000D_
 新聞公告_x000D_
 經營績效_x000D_
 資產狀況_x000D_
 現金流量_x000D_
 每月營收_x000D_
 產品營收_x000D_
股東權益_x000D_
 股東會日程_x000D_
 股利政策_x000D_
 除權息日程_x000D_
 停資停券日_x000D_
 員工薪資_x000D_
財務報表_x000D_
 資產負債表_x000D_
 損益表_x000D_
 現金流量表_x000D_
 財務比率表_x000D_
 財務評分表_x000D_
 財報比較</t>
  </si>
  <si>
    <t>籌碼分析_x000D_
 法人買賣_x000D_
 融資融券_x000D_
 現股當沖_x000D_
 持股分級_x000D_
 股東結構_x000D_
 董監持股_x000D_
 申報轉讓_x000D_
技術分析_x000D_
 個股K線圖_x000D_
 K線比較圖_x000D_
 本益比河流圖_x000D_
 本淨比河流圖_x000D_
 乖離率河流圖_x000D_
 季漲跌統計_x000D_
 月漲跌統計_x000D_
其他_x000D_
 上一檔股票_x000D_
 下一檔股票_x000D_
 上市大盤_x000D_
 上櫃大盤_x000D_
 回到首頁</t>
  </si>
  <si>
    <t>基本概況</t>
  </si>
  <si>
    <t xml:space="preserve"> 個股市況</t>
  </si>
  <si>
    <t xml:space="preserve"> 基本資料</t>
  </si>
  <si>
    <t xml:space="preserve"> 新聞公告</t>
  </si>
  <si>
    <t xml:space="preserve"> 經營績效</t>
  </si>
  <si>
    <t xml:space="preserve"> 資產狀況</t>
  </si>
  <si>
    <t xml:space="preserve"> 現金流量</t>
  </si>
  <si>
    <t xml:space="preserve"> 每月營收</t>
  </si>
  <si>
    <t xml:space="preserve"> 產品營收</t>
  </si>
  <si>
    <t>股東權益</t>
  </si>
  <si>
    <t xml:space="preserve"> 股東會日程</t>
  </si>
  <si>
    <t xml:space="preserve"> 股利政策</t>
  </si>
  <si>
    <t xml:space="preserve"> 除權息日程</t>
  </si>
  <si>
    <t xml:space="preserve"> 停資停券日</t>
  </si>
  <si>
    <t xml:space="preserve"> 員工薪資</t>
  </si>
  <si>
    <t>財務報表</t>
  </si>
  <si>
    <t xml:space="preserve"> 資產負債表</t>
  </si>
  <si>
    <t xml:space="preserve"> 損益表</t>
  </si>
  <si>
    <t xml:space="preserve"> 現金流量表</t>
  </si>
  <si>
    <t xml:space="preserve"> 財務比率表</t>
  </si>
  <si>
    <t xml:space="preserve"> 財務評分表</t>
  </si>
  <si>
    <t xml:space="preserve"> 財報比較</t>
  </si>
  <si>
    <t>籌碼分析</t>
  </si>
  <si>
    <t xml:space="preserve"> 法人買賣</t>
  </si>
  <si>
    <t xml:space="preserve"> 融資融券</t>
  </si>
  <si>
    <t xml:space="preserve"> 現股當沖</t>
  </si>
  <si>
    <t xml:space="preserve"> 持股分級</t>
  </si>
  <si>
    <t xml:space="preserve"> 股東結構</t>
  </si>
  <si>
    <t xml:space="preserve"> 董監持股</t>
  </si>
  <si>
    <t xml:space="preserve"> 申報轉讓</t>
  </si>
  <si>
    <t>技術分析</t>
  </si>
  <si>
    <t xml:space="preserve"> 個股K線圖</t>
  </si>
  <si>
    <t xml:space="preserve"> K線比較圖</t>
  </si>
  <si>
    <t xml:space="preserve"> 本益比河流圖</t>
  </si>
  <si>
    <t xml:space="preserve"> 本淨比河流圖</t>
  </si>
  <si>
    <t xml:space="preserve"> 乖離率河流圖</t>
  </si>
  <si>
    <t xml:space="preserve"> 季漲跌統計</t>
  </si>
  <si>
    <t xml:space="preserve"> 月漲跌統計</t>
  </si>
  <si>
    <t>其他</t>
  </si>
  <si>
    <t xml:space="preserve"> 上一檔股票</t>
  </si>
  <si>
    <t xml:space="preserve"> 下一檔股票</t>
  </si>
  <si>
    <t xml:space="preserve"> 上市大盤</t>
  </si>
  <si>
    <t xml:space="preserve"> 上櫃大盤</t>
  </si>
  <si>
    <t xml:space="preserve"> 回到首頁</t>
  </si>
  <si>
    <t>_x000D_
_x000D_
_x000D_
_x000D_
ADList.push("AD8");googletag.cmd.push(function() { googletag.defineSlot('/166795457/TW_大矩形廣告_336x280', [336,280], 'DFP_8600504568').addService(googletag.pubads()); googletag.pubads().enableSingleRequest(); googletag.enableServices(); googletag.display('DFP_8600504568');});</t>
  </si>
  <si>
    <t>成交價</t>
  </si>
  <si>
    <t>昨收</t>
  </si>
  <si>
    <t>漲跌價</t>
  </si>
  <si>
    <t>漲跌幅</t>
  </si>
  <si>
    <t>振幅</t>
  </si>
  <si>
    <t>開盤</t>
  </si>
  <si>
    <t>最高</t>
  </si>
  <si>
    <t>最低</t>
  </si>
  <si>
    <t>成交張數</t>
  </si>
  <si>
    <t>成交金額</t>
  </si>
  <si>
    <t>成交筆數</t>
  </si>
  <si>
    <t>成交均張</t>
  </si>
  <si>
    <t>成交均價</t>
  </si>
  <si>
    <t>PBR</t>
  </si>
  <si>
    <t>PER</t>
  </si>
  <si>
    <t>PEG</t>
  </si>
  <si>
    <t>昨日張數</t>
  </si>
  <si>
    <t>昨日金額</t>
  </si>
  <si>
    <t>昨日筆數</t>
  </si>
  <si>
    <t>昨日均張</t>
  </si>
  <si>
    <t>昨日均價</t>
  </si>
  <si>
    <t>昨漲跌價 (幅)</t>
  </si>
  <si>
    <t>0.2 張/筆</t>
  </si>
  <si>
    <t>3008 大立光</t>
  </si>
  <si>
    <t>期貨標的</t>
  </si>
  <si>
    <t>選擇權標的</t>
  </si>
  <si>
    <t>權證標的</t>
  </si>
  <si>
    <t>3008 大立光 歷年股利政策一覽表</t>
  </si>
  <si>
    <t>_x000D_
_x000D_
很抱歉，您的瀏覽器不支援 html5 所設計之繪圖功能，_x000D_
請改用 IE9、google chrome 或 firefox 等瀏覽器，以支援此功能。</t>
  </si>
  <si>
    <t xml:space="preserve">      ( 資料載入中... )股   利   分   派   統   計股利發放年度–歷年平均股利發放年度–近20年平均股利發放年度–近15年平均股利發放年度–近10年平均股利發放年度–近5年平均股利發放年度–近3年平均═════════════════股利所屬年度–歷年平均股利所屬年度–近20年平均股利所屬年度–近15年平均股利所屬年度–近10年平均股利所屬年度–近5年平均股利所屬年度–近3年平均      </t>
  </si>
  <si>
    <t xml:space="preserve">      ( 資料載入中... )</t>
  </si>
  <si>
    <t>股   利   分   派   統   計</t>
  </si>
  <si>
    <t xml:space="preserve">股利發放年度–歷年平均股利發放年度–近20年平均股利發放年度–近15年平均股利發放年度–近10年平均股利發放年度–近5年平均股利發放年度–近3年平均═════════════════股利所屬年度–歷年平均股利所屬年度–近20年平均股利所屬年度–近15年平均股利所屬年度–近10年平均股利所屬年度–近5年平均股利所屬年度–近3年平均      </t>
  </si>
  <si>
    <t>歷年平均統計_x000D_
(股利發放年度: 2000~2023, 共24年)</t>
  </si>
  <si>
    <t>股利_x000D_
連續_x000D_
分派_x000D_
年數</t>
  </si>
  <si>
    <t>股利_x000D_
連續_x000D_
分派_x000D_
總額_x000D_
(元)</t>
  </si>
  <si>
    <t>股利_x000D_
連續_x000D_
增減_x000D_
持平_x000D_
年數</t>
  </si>
  <si>
    <t>平均_x000D_
股利_x000D_
(元)</t>
  </si>
  <si>
    <t>平均_x000D_
增減_x000D_
(元)</t>
  </si>
  <si>
    <t>均填_x000D_
權息_x000D_
日數</t>
  </si>
  <si>
    <t>殖利率(%)</t>
  </si>
  <si>
    <t>歷年_x000D_
平均</t>
  </si>
  <si>
    <t>平均_x000D_
最高</t>
  </si>
  <si>
    <t>平均_x000D_
最低</t>
  </si>
  <si>
    <t>現金股利</t>
  </si>
  <si>
    <t>股票股利</t>
  </si>
  <si>
    <t>現金+股票</t>
  </si>
  <si>
    <t>-</t>
  </si>
  <si>
    <t xml:space="preserve">_x000D_
  * 連續23年配發股利, 合計827.46元_x000D_
( 資料載入中... )   顯示依據：股利發放年度股利所屬年度         </t>
  </si>
  <si>
    <t xml:space="preserve">  * 連續23年配發股利, 合計827.46元</t>
  </si>
  <si>
    <t xml:space="preserve">( 資料載入中... )   顯示依據：股利發放年度股利所屬年度         </t>
  </si>
  <si>
    <t>股　　利　　政　　策</t>
  </si>
  <si>
    <t>殖 利 率 統 計</t>
  </si>
  <si>
    <t>盈餘分配率統計</t>
  </si>
  <si>
    <t>股利_x000D_
發放_x000D_
年度</t>
  </si>
  <si>
    <t>股東股利 (元/股)</t>
  </si>
  <si>
    <t>股利總計</t>
  </si>
  <si>
    <t>填息_x000D_
花費_x000D_
日數</t>
  </si>
  <si>
    <t>填權_x000D_
花費_x000D_
日數</t>
  </si>
  <si>
    <t>股利_x000D_
合計</t>
  </si>
  <si>
    <t>現金_x000D_
(億)</t>
  </si>
  <si>
    <t>股票_x000D_
(千張)</t>
  </si>
  <si>
    <t>股價_x000D_
年度</t>
  </si>
  <si>
    <t>股價統計(元)</t>
  </si>
  <si>
    <t>年均殖利率(%)</t>
  </si>
  <si>
    <t>股利_x000D_
所屬_x000D_
期間</t>
  </si>
  <si>
    <t>EPS_x000D_
(元)</t>
  </si>
  <si>
    <t>盈餘分配率(%)</t>
  </si>
  <si>
    <t>盈餘</t>
  </si>
  <si>
    <t>公積</t>
  </si>
  <si>
    <t>年均</t>
  </si>
  <si>
    <t>現金</t>
  </si>
  <si>
    <t>股票</t>
  </si>
  <si>
    <t>配息</t>
  </si>
  <si>
    <t>配股</t>
  </si>
  <si>
    <t>23Q2_x000D_
~_x000D_
22Q3</t>
  </si>
  <si>
    <t>∟</t>
  </si>
  <si>
    <t>23H1</t>
  </si>
  <si>
    <t>22H2</t>
  </si>
  <si>
    <t>22Q2_x000D_
~_x000D_
21Q1</t>
  </si>
  <si>
    <t>22H1</t>
  </si>
  <si>
    <t>21H2</t>
  </si>
  <si>
    <t>21H1</t>
  </si>
  <si>
    <t>累計</t>
  </si>
  <si>
    <t>股豐資訊有限公司 (統一編號 24620254) 版權所有 © 2012-2023 Good Information Co., Ltd. All Rights Reserved.  (服務條款)_x000D_
_x000D_
本網站運用 Cookie 技術以提供您更佳的瀏覽體驗，如果您持續使用本網站，代表您已同意使用。 (隱私及Cookies政策)_x000D_
_x000D_
本網站所有資料僅供參考，如使用者依本資料交易發生交易損失需自行負責，股豐資訊有限公司 對資料內容錯誤、更新延誤或傳輸中斷不負任何責任。_x000D_
_x000D_
ETtoday新聞雲 | Anue鉅亨 | PR Newswire | Investing.com 相關新聞標題與內容之著作權與智慧財產權均屬原網站及原作者所有，本網站僅提供新聞聯播，不主張任何權利。</t>
  </si>
  <si>
    <t>▲</t>
  </si>
  <si>
    <t>▼</t>
  </si>
  <si>
    <t xml:space="preserve">Sub test()
	Dim rawResponseText as String
	Dim oXML as Object
	Set oXML=CreateObject("WinHttp.WinHttpRequest.5.1")
	With oXML
		.Open "GET","https://goodinfo.tw/tw/StockDividendPolicy.asp?STOCK_ID=3008",0
		.setRequestHeader "User-Agent", "Mozilla/5.0 (Windows NT 10.0; Win64; x64) AppleWebKit/537.36 (KHTML, like Gecko) Chrome/115.0.0.0 Safari/537.36"
		.Option(4) = 13056
		.send ""
		rawResponseText=convertraw(.responseBody,"UTF-8")
		Debug.Print rawResponseText
	End With
	Set oXML=Nothing
End Sub
Function convertraw(rawdata, char)
Dim rawstr
Set rawstr = CreateObject("adodb.stream")
With rawstr
  .Type = 1
  .Mode = 3
  .Open
  .Write rawdata
  .Position = 0
  .Type = 2
  .charset = char
  convertraw = .ReadText
  .Close
End With
Set rawstr = Nothing
End Function
</t>
    <phoneticPr fontId="1" type="noConversion"/>
  </si>
  <si>
    <t>使用物件</t>
    <phoneticPr fontId="1" type="noConversion"/>
  </si>
  <si>
    <t>_x000D_
_x000D_
_x000D_
3008 大立光期貨標的選擇權標的權證標的資料日期: 08/02_x000D_
_x000D_
_x000D_
成交價_x000D_
_x000D_
昨收_x000D_
_x000D_
漲跌價_x000D_
_x000D_
漲跌幅_x000D_
_x000D_
振幅_x000D_
_x000D_
開盤_x000D_
_x000D_
最高_x000D_
_x000D_
最低_x000D_
_x000D_
21602190-30-1.37%3.42%219022352160_x000D_
_x000D_
成交張數_x000D_
_x000D_
成交金額_x000D_
_x000D_
成交筆數_x000D_
_x000D_
成交均張_x000D_
_x000D_
成交均價_x000D_
_x000D_
PBR_x000D_
_x000D_
PER_x000D_
_x000D_
PEG_x000D_
_x000D_
67514.76 億3,2640.2 張/筆2188 元1.8415.05-1.84_x000D_
_x000D_
昨日張數_x000D_
_x000D_
昨日金額_x000D_
_x000D_
昨日筆數_x000D_
_x000D_
昨日均張_x000D_
_x000D_
昨日均價_x000D_
_x000D_
昨漲跌價 (幅)_x000D_
_x000D_
3206.98 億1,3110.2 張/筆2185 元+15 (+0.69%)_x000D_
_x000D_
連漲連跌: 連4漲→跌  ( -30元 / -1.37%)        _x000D_
財報評分: 最新87分 / 平均88分        上市指數: 16893.73 (-319.14 / -1.85%)_x000D_
_x000D_
_x000D_
_x000D_
_x000D_
_x000D_
_x000D_
ADList.push("AD8");googletag.cmd.push(function() { googletag.defineSlot('/166795457/TW_大矩形廣告_336x280', [336,280], 'DFP_8600504568').addService(googletag.pubads()); googletag.pubads().enableSingleRequest(); googletag.enableServices(); googletag.display('DFP_8600504568');});_x000D_
_x000D_
_x000D_
_x000D_
3008 大立光 歷年股利政策一覽表_x000D_
_x000D_
_x000D_
_x000D_
_x000D_
很抱歉，您的瀏覽器不支援 html5 所設計之繪圖功能，_x000D_
請改用 IE9、google chrome 或 firefox 等瀏覽器，以支援此功能。_x000D_
_x000D_
_x000D_
_x000D_
_x000D_
_x000D_
_x000D_
      ( 資料載入中... )股   利   分   派   統   計股利發放年度–歷年平均股利發放年度–近20年平均股利發放年度–近15年平均股利發放年度–近10年平均股利發放年度–近5年平均股利發放年度–近3年平均═════════════════股利所屬年度–歷年平均股利所屬年度–近20年平均股利所屬年度–近15年平均股利所屬年度–近10年平均股利所屬年度–近5年平均股利所屬年度–近3年平均      _x000D_
_x000D_
_x000D_
_x000D_
_x000D_
_x000D_
_x000D_
歷年平均統計_x000D_
(股利發放年度: 2000~2023, 共24年)_x000D_
_x000D_
股利_x000D_
連續_x000D_
分派_x000D_
年數_x000D_
_x000D_
股利_x000D_
連續_x000D_
分派_x000D_
總額_x000D_
(元)_x000D_
_x000D_
股利_x000D_
連續_x000D_
增減_x000D_
持平_x000D_
年數_x000D_
_x000D_
_x000D_
平均_x000D_
股利_x000D_
(元)_x000D_
_x000D_
平均_x000D_
增減_x000D_
(元)_x000D_
_x000D_
均填_x000D_
權息_x000D_
日數_x000D_
_x000D_
殖利率(%)_x000D_
_x000D_
_x000D_
歷年_x000D_
平均_x000D_
_x000D_
平均_x000D_
最高_x000D_
_x000D_
平均_x000D_
最低_x000D_
_x000D_
現金股利33.9+3.15722.233.361.63+22813.86-1_x000D_
股票股利0.570480.110.180.08-1400_x000D_
現金+股票34.5+3.15-2.343.541.7+23827.46-1_x000D_
_x000D_
 * 以上資料以「股利發放年度2023年」以前之資料計算, 以避免 "每季分派股利的公司" 在完整公布全年度資料前, 因資料不完整造成平均值被壓低。_x000D_
_x000D_
 * 若「股利連續分派年數」為負值, 則表示該股利連續 "未分派" 的年數。_x000D_
_x000D_
 * 若「股利連續增減持平年數」為正值, 表示該股利 "連續增加或持平" 年數, 若為負值, 則為 "連續減少或持平" 年數。_x000D_
_x000D_
_x000D_
_x000D_
_x000D_
_x000D_
_x000D_
ADList.push("AD21");googletag.cmd.push(function() { googletag.defineSlot('/166795457/TW_800x210', [800,220], 'DFP_4150366443').addService(googletag.pubads()); googletag.pubads().enableSingleRequest(); googletag.enableServices(); googletag.display('DFP_4150366443');}); _x000D_
_x000D_
 *「股利發放年度」係指股利發放給股東的年度，以除權息日期為年度依據，若未發布除權息日期，則以董事會決議日為依據。_x000D_
_x000D_
 *「股利所屬年度」係指股利來自哪個財報年度。_x000D_
_x000D_
 * 例如某公司2022年EPS為3元，計畫配發2.8元股利，並於2023年7月15日除權息，則股利所屬年度為2022年，股利發放年度為2023年。_x000D_
_x000D_
_x000D_
_x000D_
  * 連續23年配發股利, 合計827.46元_x000D_
( 資料載入中... )   顯示依據：股利發放年度股利所屬年度         _x000D_
_x000D_
_x000D_
_x000D_
_x000D_
_x000D_
_x000D_
股　　利　　政　　策_x000D_
_x000D_
殖 利 率 統 計_x000D_
_x000D_
盈餘分配率統計_x000D_
_x000D_
_x000D_
股利_x000D_
發放_x000D_
年度_x000D_
_x000D_
股東股利 (元/股)_x000D_
_x000D_
股利總計_x000D_
_x000D_
填息_x000D_
花費_x000D_
日數_x000D_
_x000D_
填權_x000D_
花費_x000D_
日數_x000D_
_x000D_
_x000D_
現金股利_x000D_
_x000D_
股票股利_x000D_
_x000D_
股利_x000D_
合計_x000D_
_x000D_
現金_x000D_
(億)_x000D_
_x000D_
股票_x000D_
(千張)_x000D_
_x000D_
股價_x000D_
年度_x000D_
_x000D_
股價統計(元)_x000D_
_x000D_
年均殖利率(%)_x000D_
_x000D_
股利_x000D_
所屬_x000D_
期間_x000D_
_x000D_
EPS_x000D_
(元)_x000D_
_x000D_
盈餘分配率(%)_x000D_
_x000D_
_x000D_
盈餘_x000D_
_x000D_
公積_x000D_
_x000D_
合計_x000D_
_x000D_
盈餘_x000D_
_x000D_
公積_x000D_
_x000D_
合計_x000D_
_x000D_
最高_x000D_
_x000D_
最低_x000D_
_x000D_
年均_x000D_
_x000D_
現金_x000D_
_x000D_
股票_x000D_
_x000D_
合計_x000D_
_x000D_
配息_x000D_
_x000D_
配股_x000D_
_x000D_
合計_x000D_
_x000D_
202372.5072.500072.596.80--20232500195521953.303.323Q2_x000D_
~_x000D_
22Q3143.4950.5050.5_x000D_
∟26.5026.500026.535.40--∟---1.2101.2123H152.3350.6050.6_x000D_
∟460460004661.405-∟---2.102.122H291.1650.5050.5_x000D_
2022109.70109.7000109.71460--20222710152519365.6605.6622Q2_x000D_
~_x000D_
21Q1217.6450.4050.4_x000D_
∟39.5039.500039.552.7062-∟---2.0402.0422H178.3650.4050.4_x000D_
∟390390003952.104-∟---2.0102.0121H277.5550.3050.3_x000D_
∟31.16031.1600031.1641.601-∟---1.6101.6121H161.6950.5050.5_x000D_
202191.5091.500091.51230418-20213590196027503.3303.332020182.950050_x000D_
202079079000791060662-20205210294538572.0502.052019210.737.5037.5_x000D_
2019680680006891.202-20195200288042241.6101.612018181.6737.4037.4_x000D_
201872.5072.500072.597.301-20185330287539401.8401.842017193.6537.4037.4_x000D_
201763.5063.500063.585.201-20176075378050281.2601.262016169.4737.5037.5_x000D_
201663.5063.500063.585.2022-20163980179030662.0702.072015180.0835.3035.3_x000D_
2015510510005168.401-20153715204528391.801.82014144.9135.2035.2_x000D_
201428.5028.500028.538.202-20142640110519781.4401.44201371.6439.8039.8_x000D_
2013170170001722.8062-201312506819321.8201.82201241.6140.9040.9_x000D_
2012170170001722.801-20128994516232.7302.73201138.7643.9043.9_x000D_
201113.5013.500013.518.101-201110054667851.7201.72201030.1544.8044.8_x000D_
2010100100001013.401-20107653885461.8301.83200918.6253.7053.7_x000D_
2009100100.200.210.2132.6112009465.5194.53432.920.062.97200824.9240.10.840.9_x000D_
20089.809.80.200.2100024024020084701673452.840.062.9200720.4447.90.9848.9_x000D_
 股　　利　　政　　策殖 利 率 統 計盈餘分配率統計_x000D_
股利_x000D_
發放_x000D_
年度股東股利 (元/股)股利總計填息_x000D_
花費_x000D_
日數填權_x000D_
花費_x000D_
日數_x000D_
現金股利股票股利股利_x000D_
合計現金_x000D_
(億)股票_x000D_
(千張)股價_x000D_
年度股價統計(元)年均殖利率(%)股利_x000D_
所屬_x000D_
期間EPS_x000D_
(元)盈餘分配率(%)_x000D_
盈餘公積合計盈餘公積合計最高最低年均現金股票合計配息配股合計_x000D_
 200711.4011.40.200.211.600373720076452604222.70.052.75200632.0635.60.6236.2_x000D_
20067070.500.57.500292920067664826351.10.081.18200514.9346.93.3550.2_x000D_
20054.504.50.500.55007720055511282541.770.21.97200410.4842.94.7747.7_x000D_
20046061017003320044691682952.030.342.37200314.0842.67.149.7_x000D_
20035051016001120034131712621.910.382.29200210.1849.19.8258.9_x000D_
2002303303600676720023241522311.31.32.6200110.0329.929.959.8_x000D_
2001000707700---------200014.39048.648.6_x000D_
2000000000000---------199913.29000_x000D_
累計813.90813.913.6013.6827.5累計1990</t>
  </si>
  <si>
    <t>_x000D_
_x000D_
3008 大立光期貨標的選擇權標的權證標的資料日期: 08/02_x000D_
_x000D_
_x000D_
成交價_x000D_
_x000D_
昨收_x000D_
_x000D_
漲跌價_x000D_
_x000D_
漲跌幅_x000D_
_x000D_
振幅_x000D_
_x000D_
開盤_x000D_
_x000D_
最高_x000D_
_x000D_
最低_x000D_
_x000D_
21602190-30-1.37%3.42%219022352160_x000D_
_x000D_
成交張數_x000D_
_x000D_
成交金額_x000D_
_x000D_
成交筆數_x000D_
_x000D_
成交均張_x000D_
_x000D_
成交均價_x000D_
_x000D_
PBR_x000D_
_x000D_
PER_x000D_
_x000D_
PEG_x000D_
_x000D_
67514.76 億3,2640.2 張/筆2188 元1.8415.05-1.84_x000D_
_x000D_
昨日張數_x000D_
_x000D_
昨日金額_x000D_
_x000D_
昨日筆數_x000D_
_x000D_
昨日均張_x000D_
_x000D_
昨日均價_x000D_
_x000D_
昨漲跌價 (幅)_x000D_
_x000D_
3206.98 億1,3110.2 張/筆2185 元+15 (+0.69%)_x000D_
_x000D_
連漲連跌: 連4漲→跌  ( -30元 / -1.37%)        _x000D_
財報評分: 最新87分 / 平均88分        上市指數: 16893.73 (-319.14 / -1.85%)</t>
  </si>
  <si>
    <t>3008 大立光期貨標的選擇權標的權證標的資料日期: 08/02</t>
  </si>
  <si>
    <t>14.76 億</t>
  </si>
  <si>
    <t>2188 元</t>
  </si>
  <si>
    <t>6.98 億</t>
  </si>
  <si>
    <t>2185 元</t>
  </si>
  <si>
    <t>+15 (+0.69%)</t>
  </si>
  <si>
    <t>連漲連跌: 連4漲→跌  ( -30元 / -1.37%)        _x000D_
財報評分: 最新87分 / 平均88分        上市指數: 16893.73 (-319.14 / -1.85%)</t>
  </si>
  <si>
    <t>資料日期: 08/02</t>
  </si>
  <si>
    <t xml:space="preserve">Sub test()
	Dim oXML as Object
	Set oXML=CreateObject("MSXML2.XMLHTTP")
	Dim oHTML as Object
	set oHTML = CreateObject("HTMLFile")
	With oXML
		.Open "GET","https://goodinfo.tw/tw/StockDividendPolicy.asp?STOCK_ID=3008",0
		.setRequestHeader "User-Agent", "Mozilla/5.0 (Windows NT 10.0; Win64; x64) AppleWebKit/537.36 (KHTML, like Gecko) Chrome/115.0.0.0 Safari/537.36"
		.send ""
		oHTML.body.innerHTML=convertraw(.responseBody,"UTF-8")
		Debug.Print oHTML.body.innerHTML
	End With
	Dim oTable as Object, oRow as Object, oCell as Object
	Dim i as Integer, j as Integer
	Redim myArr(1 to 17, 1 to 21)
	set oTable=oHTML.getElementsByTagName("table")(20)
	i=1
	For Each oRow in oTable.Rows
		j=1
		For Each oCell in oRow.Cells
			myArr(i,j)=oCell.innerText
			j=j+1
		Next oCell
	i=i+1
	Next oRow
	Range("A1").Resize(Ubound(myArr,1),Ubound(myArr,2)).value=myArr
	Erase myArr
	Set oHTML = Nothing
	Set oXML=Nothing
End Sub
Function convertraw(rawdata, char)
Dim rawstr
Set rawstr = CreateObject("adodb.stream")
With rawstr
  .Type = 1
  .Mode = 3
  .Open
  .Write rawdata
  .Position = 0
  .Type = 2
  .charset = char
  convertraw = .ReadText
  .Close
End With
Set rawstr = Nothing
End Function
</t>
    <phoneticPr fontId="1" type="noConversion"/>
  </si>
  <si>
    <t>http://10.209.220.190/rems/feederquery.aspx?branch_id=106</t>
  </si>
  <si>
    <t>POST</t>
  </si>
  <si>
    <t>106105PV0536</t>
  </si>
  <si>
    <t>資料不在這個Request當中</t>
    <phoneticPr fontId="1" type="noConversion"/>
  </si>
  <si>
    <t>Accept:_x000D_
text/html,application/xhtml+xml,application/xml;q=0.9,image/avif,image/webp,image/apng,*/*;q=0.8,application/signed-exchange;v=b3;q=0.7_x000D_
Accept-Encoding:_x000D_
gzip, deflate_x000D_
Accept-Language:_x000D_
zh-TW,zh;q=0.9,en-US;q=0.8,en;q=0.7_x000D_
Cache-Control:_x000D_
max-age=0_x000D_
Connection:_x000D_
keep-alive_x000D_
Content-Length:_x000D_
2045611_x000D_
Content-Type:_x000D_
application/x-www-form-urlencoded_x000D_
Cookie:_x000D_
ASP.NET_SessionId=ht2rwg55cnijldiigxpchaqc_x000D_
Host:_x000D_
10.209.220.190_x000D_
Origin:_x000D_
http://10.209.220.190_x000D_
Referer:_x000D_
http://10.209.220.190/rems/feederquery.aspx?branch_id=106_x000D_
Upgrade-Insecure-Requests:_x000D_
1_x000D_
User-Agent:_x000D_
Mozilla/5.0 (Windows NT 10.0; Win64; x64) AppleWebKit/537.36 (KHTML, like Gecko) Chrome/121.0.0.0 Safari/537.36</t>
    <phoneticPr fontId="1" type="noConversion"/>
  </si>
  <si>
    <t>Cache-Control</t>
  </si>
  <si>
    <t>max-age=0_x000D_</t>
  </si>
  <si>
    <t>Connection</t>
  </si>
  <si>
    <t>keep-alive_x000D_</t>
  </si>
  <si>
    <t>Content-Length</t>
  </si>
  <si>
    <t>2045611_x000D_</t>
  </si>
  <si>
    <t>Content-Type</t>
  </si>
  <si>
    <t>application/x-www-form-urlencoded_x000D_</t>
  </si>
  <si>
    <t>ASP.NET_SessionId=ht2rwg55cnijldiigxpchaqc_x000D_</t>
  </si>
  <si>
    <t>Host</t>
  </si>
  <si>
    <t>10.209.220.190_x000D_</t>
  </si>
  <si>
    <t>Origin</t>
  </si>
  <si>
    <t>http://10.209.220.190_x000D_</t>
  </si>
  <si>
    <t>Referer</t>
  </si>
  <si>
    <t>http://10.209.220.190/rems/feederquery.aspx?branch_id=106_x000D_</t>
  </si>
  <si>
    <t>Mozilla/5.0 (Windows NT 10.0; Win64; x64) AppleWebKit/537.36 (KHTML, like Gecko) Chrome/121.0.0.0 Safari/537.36</t>
  </si>
  <si>
    <t>__EVENTTARGET:</t>
  </si>
  <si>
    <t>GridView1</t>
  </si>
  <si>
    <t>__EVENTARGUMENT:</t>
  </si>
  <si>
    <t>Page%242</t>
  </si>
  <si>
    <t>WinHttp.WinHttpRequest.5.1</t>
  </si>
  <si>
    <t>_x000D_
_x000D_
&lt;!DOCTYPE html PUBLIC "-//W3C//DTD XHTML 1.0 Transitional//EN" "http://www.w3.org/TR/xhtml1/DTD/xhtml1-transitional.dtd"&gt;_x000D_
_x000D_
&lt;html xmlns="http://www.w3.org/1999/xhtml"&gt;_x000D_
&lt;head&gt;&lt;title&gt;_x000D_
	再生能源管理資訊系統--查詢報表功能(饋線容量查詢)_x000D_
&lt;/title&gt;_x000D_
    &lt;style type="text/css"&gt;_x000D_
        .style1_x000D_
        {_x000D_
            text-align: right;_x000D_
        }_x000D_
    &lt;/style&gt;_x000D_
&lt;style type="text/css"&gt;_x000D_
	.WebMenu1_Menu1_0 { background-color:white;visibility:hidden;display:none;position:absolute;left:0px;top:0px; }_x000D_
	.WebMenu1_Menu1_1 { color:#284E98;font-family:Verdana;text-decoration:none; }_x000D_
	.WebMenu1_Menu1_2 { color:#284E98;background-color:#B5C7DE;font-family:Verdana; }_x000D_
	.WebMenu1_Menu1_3 {  }_x000D_
	.WebMenu1_Menu1_4 { padding:2px 5px 2px 5px; }_x000D_
	.WebMenu1_Menu1_5 {  }_x000D_
	.WebMenu1_Menu1_6 { padding:2px 5px 2px 5px; }_x000D_
	.WebMenu1_Menu1_7 { background-color:#B5C7DE; }_x000D_
	.WebMenu1_Menu1_8 {  }_x000D_
	.WebMenu1_Menu1_9 { background-color:#507CD1; }_x000D_
	.WebMenu1_Menu1_10 {  }_x000D_
	.WebMenu1_Menu1_11 { background-color:#507CD1; }_x000D_
	.WebMenu1_Menu1_12 { color:White; }_x000D_
	.WebMenu1_Menu1_13 { color:White;background-color:#284E98; }_x000D_
	.WebMenu1_Menu1_14 { color:White; }_x000D_
	.WebMenu1_Menu1_15 { color:White;background-color:#284E98; }_x000D_
_x000D_
&lt;/style&gt;&lt;/head&gt;_x000D_
&lt;body&gt;_x000D_
    &lt;form name="form1" method="post" action="feederquery.aspx?branch_id=106" id="form1"&gt;_x000D_
&lt;div&gt;_x000D_
&lt;input type="hidden" name="__EVENTTARGET" id="__EVENTTARGET" value="" /&gt;_x000D_
&lt;input type="hidden" name="__EVENTARGUMENT" id="__EVENTARGUMENT" value="" /&gt;_x000D_
&lt;input type="hidden" name="__LASTFOCUS" id="__LASTFOCUS" value="" /&gt;_x000D_
&lt;input type="hidden" name="__VIEWSTATE" id="__VIEWSTATE" value="UMu0h2Kf1iyRJ+LYeSSoQ0RoW6CHZhfvi6aRjQ1+0wbDSLDnhaR1WnJClDsHmsgLIJW39O+XC/8lGFkD7TfJZ/moaukF8DSqjvonkOAk360m70DVbyydccZKuWwx2+VtRBk5EE4gJGmHX3T+4Za2B5h2niFZ/8T5wPPHG2z+fSgpL4n+9SRlVaPFMEyjDPeiX8B/lM+PXYo8TnN4tChkKLwEIxHXLxcPk5vLUhhXjfPTgiG7iBhdqC3+bwfQYy6eaXpRaQBIxW8W2ZzxkJ9iiXC/EfkIA+FqmADzuOUY+UHXObD8lx6sLq+E/5knqAvFnTde9g6D+0nmRUDHXtClcpDsWxqP+NyUTma1ZIrt3JvkkJnCYyOQSOKk9vJb/pcUonu7Y24oJUEJdtvQvJRsTsZ/Zlm1AmRSTFufiq8+Vyx4Pii7jItdycuQbnEmtE0wi6+sV3sj8JknUFCYvCQwISknpQQ39rbChSjDxEuBlAWhsgoklEJmOGAOER2GYSBCs+TB1zukSIJfvHRDrSm3bbnI6CLxG3DFopUm2GUO8yRYGKNQfEbsCvZBn5zclRXnQEiw/CZ0vG9NvQJHvG/Hi/hllicHJCzsFXMZscaKD245YtonrC78YcCvP2EPfvA7lzkzQ5EMoAPlm/LDpyVn4uYFp162cNDwpecFjE7/w78oj8Bc1dWqrvbGTb8tu290i3yUReA3IGxLQRABit5y6loKObObA1T0f7OPr4pV1HMvcs71O5vfBPnrs8AlBpAQqNRYQMgIXnw3nRY0lNNeyUv8UJwCkoVq4UXhWddkWcFsouPzjynEx1p3IwpFjpCwRQ7LNLwJTrpjNnVNQ7V3aVNm8qQWv+oh86pGvwXrLOf1MFDNTEAZwKGN9/7ffb1m2p0oriWlIFiBPiRigoSxF+U8cMbxOY0X2/AVQ7c1Y1efNhfvNlG7d8GBWTK/8e3oPxfNJcQ1RB9XxXbkdcSptxwQ1piHKkR0DuG7+rntcZwGdiKlzYbVANyufsztdFgN4QuK6yl6nl0VIWpBVAeHcLSuWXoPzlABusBEEr6xir3CyA76seTINMvNqjT2t1ccObXqiiOyB6UPJl1yFvx8ZJ6CvOF/uvfFYWEtGVp1sXCFUBboWjK9XLY5tnAUIYZMIA6qGjvTppwFIZuUj3dawuOKqqsaoo/XP4zA5GHavlHgvQ1IfVjcMspDTmpsbRolXLY7418V4ULlgZzQmgp79ppa+VHWL0KAQKOtDZbuPuh05E+mYWvnAIpzxLEBvZ1Z0hhwHD36zipR3FE45lZn9sByNY928pJbJRZ3Av4FRkp5v0tfN+0q9KuKopLYy1kDYLpV8V0DMOrrrWmwNc4az5E0/K8tcF4DtG35kOQuhYQdMSmh2h72/yqPJq8T40KbHKka3Mu18y52EWV8+LUDB2Zhz+2lL/OPUQKZSIGdWILBM1FoTo8/eHnZh0txb8TfUdGbsxn9Bn5ILpE68ogZ9ZKtJiC6ibdM6a7m4112DeliiMDzDvNM/wa8eNBhQTO01Qf0STKquHCKHKbRqAUO9S9RbrixOH5TGcCF7o44eklbvKO/romvJaWtR/5nevZOIZ59SmkG0to0iEW9+nqtNewDpzBTyoVy5sxg26amb2SyIHCaJ1XySlLQsYwelWHJQFS/sslvZuItwLEIGb7dvCcc8xECeXz43eswkwhPK/+1M/JsTVVWh3C0A5LzaKYcrJz58DQx5dWOisH3cV6HLJUHGrWMPdLTzjR41ES+s3FhfbxqfqlDY+Nif6sBJzw5hNuEEx9L0eabXZUX95fxgJun5M9SuB3T4lnLFwoJfyLp10jzcz1oUZQTDv3kiXaSZePJ1HJh7/1mcEIrBovNqiSoBEYwI1J6IKvKpTU9Do3Lrficxo9BtL/p341y/tbIJ/yBtQoQk8NRapEgnuHNLAa7vBZr2sXAS3plxbuGKSuE6BYRZl4K9z2N0BoGE/1BACDBodCAL3KE1NrSiyHCKf3M/Wsh8X6VjiAScuAq92XynsyjevFz8BdkbR9kiBOh75K0757WN+SAZ0JdI+Ntu597Be9Hcxv2DYHQqJArpGhvlXWgDz9fmxSKVfWzTOusiDDgp7WA2ImIXV7rhhBiGkIwP1nllq+qD0njYDCF+yoOBB7J9N+uV9zrwqOEbqe3jMdS0hz0sTkNIGspiOKb8JjId5gVHU/8l6cPaKvS1ioK/28d2IAPFcGaSjcUCAnUAqz74ZdKE7DVgzufwEel2vp+Pisy38YLS1aUuMDSt3DmRxBesiXu+sN4N8vVq6qilClKTn/6bwB6mtHLJUj/UQdaQmOgabhlZQAu6NIpbHx93sPzl/WCx9CjNPzZeD3rVpW0Y80NSzJzZ1r65pJps5p6C1SkBk2dzt1v+NeWBYIfFA1xrcEImzCkDORnl/QaJV+bM8EvLHnQu9qpxLnMrysFLEMXhxAKe1qg8CTyMKEfSQ/nLwbld8jE7nEr8o1wS5PnexijQIPUWj7R+HckygSAL3E7dAaExnKJlVOzLIdiSyb1JBjrAjOkUPPKL7eqVTkBT0rTdL3z+UKtQOCAON66Xlc5s724EqzqJBnR/F4yLzomoNciLNohT4Wd4rZJHK7eu/mevhQkYK9m4P68uyNqpIQ4aKLE8rC9Ukvl87s0eyhnNSXQ9wuHj654QgYByesrQxMu8cGa758DTZVREm5fM3R5Na8qyML4+9MyQ6XBYulfKX1tE0y53Pw7caYu+MfKh4Av21aWBBWHFni48CnfPrFffv4E9BrZLaK0Y6QG+/M25GvO+fXTMh3W5X/ZgFjHmTeiyXTfYo9TNfpfCJxD/b9bK8lDfmBknYoPh2+ssKPiv41zbsOut6fx0uhuapXD5lsLDT1LwGIRFAhChEWoX4sEqK/GIJJ+E3SHe1HSvoJ8JVoI6ojn1co0dDrSStkTOjHlPwF1hxRDk9wkUfFs9hwx/6398SURXoucoh/+pXbrBViHwgUAnd52Rf7LnEbUC2Ta/fqRE8q7P8wYkhvKaUr9ls2h6on3HVvBOEX+yE6rEUQweggKH48iVLGpndCO8Xtr09STJP2cnYXUHvQp87KOY8huhQglRFUnbhWIz2/yP5YgK7Y7dW92c+cf1QAuJ8XJOWARoer/wQQfc3BkZv7s8tx01zwBWhPgX/j9lkRHK9tXH95MBgSxF0wMu5Evc6hKiSXItDptVCTpb76v6CsQQEMaZH8MgEGm57qTM8jDf/7HZONbTm4vfYTVmltZ51+oA8Lpuvrd75oil7g3zeJCVV0FTV2uks8gQl618zLDkzZsHIHjwAzuaGLyi2HkflMfDz/ABv/UWkEAYMGMftXjHEBCLbsqvEMB9E3P3PPRympBFxTAsqMfhq1ynzri6apiNHKZQ4VUf7haI59OkCw7eND2qBiGc2R3OEGhO4ETZ0YZ8o39pRrLvxuo7FnjdGiYpWfNBEfDMDwm+DxSmGZjK8oJnzJ6mphctIhjUt++caeJ3lLWy5dct+SUnXv9ExUjHHSQxClQ90bxJFn1vyoXAt72cNnOSSjZqI+Sb+P35/3wk9WyQroMBWX7xjX/L6XEMJRKpl74QInozvzF7jnnDI5HJcNfFoZzmdF5QJXeoEGtrUvLNdL/373csNyhphPHUBjUuVLu/dqK5SyOk7Y/4B9m3irmG/KUWPsb00+yOM5m7hpuDbQfHL7Mg0Vebs4Fy00ZvMqauIPwaaQXnzydkdqs4fzKuoQns9vJqCoslT4lNWK/dvqfp1h2NGJRcL2SjAI3Ei6l4zTx+Cy6AKYNx+4RvQg2LOePnJpoF7U58P2bjTNefxwZ84TWK4hzFpvhWM8E8tR18cDaEDJBbNlc/bOgcQnMfchd6bn5CizpSJMewvEd65q1uQmf50m/nwNMmwD0O/YViaZVTzVCwLEKqgMUBr5aH0QADHgCrBl2ey+/hwv8z8QOy1rE2kekJ1Crvfo5btOlFrN4zbMg+v/gykq7xYGJU6H5jhJ0GB1FM4wNk2DYGzf8UozhNtpEgfMh/yTAKW9Ivf1JF67gJLyEJ4gBYEjgOTVugudgx/4GrJipxWbFn9WBap/s81OLKznrtrSbc5FCt3LuU+Scaw1dZB5Ru6wMmf56oTJMixdzefB7TpA/erV1oLeaPUzRokwev7dwLparEYDKvCan+2IIar6V2EZPL6l7swlgyjRxmRHG7KAv28h1mlTGwOCFhCz9CBwli9+tjgTuKYuWaxuEk3KqvnFPI2y3FNfl9MRnFpbIcaPmEf4pSzbByZsBo4SmiwXkccUZimhdTrYJFQH9ppzaLdtYeiMmFLpSefFeFkGCyWMmx0Wu6cXS108MS1p2iaNd3WsbfaZ16AywXPL3XNvDuwzXKHG7iU64VUM3p+lCqO0gkbjhV2ZD1VK0LmsCKMfVQ3xRu2tVt11/4UykWKynv04IgaCvmuJIZuOG986hScPF+W6IYud3STMGv3PlObEhX8uNKz66O26WbqxinrUWXHUgdMr+F5i9KXZZP6MF8G1sgFfTV83DeRGniSsS+QJQRPhlVl+srBXkm/Eno07z9MvsiWDSjZHXUmGp92iF4rd1Ow8YidmIs+lVi0u5ua0HnanXOt/PjqOqJ1/o9KZqb6cOunc8+CnynC04vGGl16SIHnWokNTbLk6LCmTtD+TR6pX5kE3JGG80/Q9aJrUAs/KFj7QH6vDes134xP9aAhfeWP4s44dVE3duh633f74ghOFXYWLD6giGZcSgTkLIs2K/6rxF0tdXRBrTX5m6clLYzjjV4Dv00Mf6KNOlCVuIcPREqGf77ILqkc/vvq4uUVEmcSgTXO9FGAkeVRIEWmJlM3LqjK8MGn3599Ysmd1HHQ9PbYgEBzqW9y6O4mss8JAj99QMYRv8fbj/W79ZQyOCgluNU/F2FiGEkoac8ObwnCwxGG0dSOuRSvv3h56o6uFFnqF28ifJM6EJaDpLD+e7iXLNPhqamtn9GBQtPyfqIc7zoZL/E6ICpoVLQdyWYASSm4VNZB/ngOCePGg3QtDKuNytfsI79DvXbrGE1Rt3Tr45pyxE5KeecZIPJFxMweToFiE2ZnuNIFdSr2ymlmKGQFRxKUdmOiPieXoB3F0MvxrRtF87p2V9LVEiYjKn2Uk/Umi8LkUIayK1wFvaAebRggxhZ36cl4BZuMrD1SuHDSk0WU1zCUK5DY04IdOBSMQWSePI9kyoiRJVbINYumqtFVEBCN7Af2yDKVKD4aKG60vpIF8eSnGUs5h7VGFXx/Lmltn4EurVi7+Ni1CeWPI8TGf/n3ac1m5f3YZcXtl5Mxjst8GJoQe+MyhWSn3+YvS5PwzUQ4cobiyRHjBgyp0rRRcyr/AUTLsl9NobG1PjP3K/7FBiZ1j8/zPHO5k4nLdN6GpKovxBxoISNBmoI2pg4xcSfF+aa9mND8HpeVpNj/0SUpqKTw/SjEZWoZ4lcPdp+ohdX0oLnE4H/6S0351/shVKjcEBvw/HKUIdlEiMKKNlnC8WODXT8Vcd3ZkGt/9ZHor/hcfPb4i+MuRRslm3XK0Cnte5h2t+5YiIowku/zxPYgpikofnRVqIZ5fcK9jcFicxAzd5A3nfY09t8zWY3YlMVuu/HvMZeddAogRfJ8Vc3a5ynTf/Yf/1/H1x4PS28uhC2Mb1RTA/uLvPatK4412QOCj7NP+gkNmFJV6zGFZoECA3UWDOlQfoggfZNvrtxEzw4Q62jzXWfUuyxZatzuLPgriiRhx7EgMluWD0jHuBGSgNP76irhXu/2naAHb81ui2AQHMHlupF9HrOlc3a8B6rYkqt/JLqTa7/3WOgEkpQkMjUgs1HyJGt+2keWg84LMkHTrYnaCRT027ddZ1w4TCtP+pqtcOPWbSQ9/cXgL15Zb99pSi72e41K3RvZ3VHzymOwFpthe2IpgnNtp1Dt2tpw/Z6hVz09PeM9s0w2Tbw2BrHH5N7bM0zne9NL8zTE9p+kTGFxUzSjTLaJkBKssWBHDJoGXxT9IFu8ImRXm2nypswLssL3mLmzvCLvljgikudStz2FocuVvwYsjp6S1JJfhI1CwytAMGWH9kUcnbE5eD9XnuKi85FSoRXgCOE9dzIEi2MOV+Y+KNj8mOES7d29H5d+RO8/4fPTjJR82t95iUQQW+4nJdUQRdBr74grYzpMRVpsHv/lWgCCc4l+aSIxewSiUQnY1dPsFGzAvz96+StsDY6GHix0wfb765wUy1AC+0F/QrbRgah7ddNua0inWvC7m6fb7xsps5mZc51L3pW7ga0vHlGfl6sB/uQKqpd3wNRpPfpB7drahPx/8rWLtlRA2/OrvZ+rXgSLeCM04UDRd1ZLv9HQdncVhA+7toFzZAAET35SvJhzXBjJW5cj+GvnFdrVw9MoDhTcmu4ap/kZQMzdg44zFElcV+vyQOoicv8+EURcL3HZP+XCJeKmPrh9SMuUesiBAFncXakHO9t0pyRWwKF19aJ3163prWET4EUUGzjVFvPRU3Beu2oUBtmPrlHrAuOgzp5y+vJ8tzza6DwsOH/KHsStigFmg3uhJQUym+gtd28NJmW2aHVT5Vtdr95itq1B+Lf0O7dH9T/itzmXL+oKhAlnW9JTZex1Vkojoe/a1qumTQ4qmtZ3v8gGh3PS3WlpYchGJ6OZhwgylUttUWyUs0h55TgfbIMrEjcHjlKNyTXrkiZgFpyw8osF1F5fZvOIk/UGEB5lUjkDRhkpR1RhxZnF8bPvcKui/W7G8ixdUMLB5MS0sX02ijGFGeg7pM31wCzgud1CmW72yD5X7MmDMKY5eOnBh4/pRKuWzRZqdQI6ID8J0NlIVnKGxf/rY7aBRP/PEkM3qOesJPLxerr3EE11yLuQBTT4Oj5yndNk4vIaEpazOn0jfMAtZKbjtrd6Qdj/Gg58WuXNLTnAh01wpzuY9WPrtyQYkUNpzelCfcdVNWx5H2n9OsoeD9segVGMVCDYRN+MbMWEIaHkyifibYpmdVdoKNORLVnNPoELmvBEQYVQqQwKTflj4Sda6YxqpoOn/ZXxPB8MLoBcBmpMZeomSXYIlZJzNTGMet8BcNZAtqbV/++EvVcF5Emx4lfsFhnSX0/sCQOhig0mTgfWFHvRSTfFdWcUtlkzJPM9kG3pazmdX9Onc7agfzC4Hwhz7c8FPNXLA+xbRaphFkzAEEBFVL0joAXadVV4VdU4eLgDxH8udlG6yH4FeZXDcRAvvCZNCAMe1+ZO7HQ3tRH/5xpzwC47Sp+4v+e6oreLLyboTClbogOsLBXqgx53a5fYA6urIae/Dt6uQKvd/0mBIPCmg1WJ/XWb2qDWruFdQW/EQ6a4hFb1/FiRZlX1qe4095k99yXNfa4bJQXW/V9BceIeLzt0Rn7yCvL/Qqp8j742XoQyqiaSJMb0UdfQoCmUHutwhjCILVoEg2gmwZ1GoFvxDTlEi6hlTiUjt+AGMHpgudBiCOo+1v/wW8hEnqweibxwZ01M7wL59ZRENntCzHtWwesbl7qZtUILxx3MuCH51paJWWjccyNT60qhVfsIG14zkwIppmeJJC7B7oZEGPKwDXzq/GL5g5q/us5L02oj8bPyQrtWgMZ/GDTbHIlOU6TVExh7oVsS38iLtSlGmPi+Vzl9+NVHeMfPFLtzot4c55UxAPv68pI0dzj9Xs7faBAZdve4UF42PKpJPATZ62FQ7z/BOMv575Zaqb7VZt02mOAYapEk1ClfGiJ61TD0DjB1Qo5Ui0ecMZxNBOBxL89WcS0bPXNAggYcevQ7xuf6IJTjFUVtB3vsGpE6QivOElnEA1uIW8q5ALeZv6mw5VzjHSo8kUh2UYDmGyAARy5i3jzi2ALhX9CC0Um5PjlhcUP6wo2boKfvPAogT/ObAXV/WiMV2T+qeKgxtL60gzirrH13RyM1QMxUR+wlFS36xpI1ly2zgUuP8xhv9+3Mtr6CY7bWmd8sHu2KFbBuvwctFiqnMOpJrk5BLNdmbq486VAKPmbisOY78oDDpB/Ze92+lWrATUF5ko9kZY5AxX4noqNvsDndUjseV7l/O88e+4nN6/IqHWC784kxyLklsvUWg/aO1l0o9QH2k/BoDl7VKg0AKCrzGD6iu/+xihVI2T9WtsyL7ds/52Un4crhl3Q+2KypuylOS86Dj9TrNQ8EpG6oLblkpiGwN4j2pFfzUTtF1wh9JiAOsj7nejuvLrAqBB2r9Oiva0ZcazgzL511Po5U8RS/WLFBBek3W0btkKEyfW6abeWWKE6tKxmEsoTFv1+h2cx7FnxRYEGOYq/k8ciogS53tzB9pzUBiMo9ne/hxoSCrOddd8ywiywDbQZl/A5LREhLo8tRfeoAM1ptVl1dcvGY0avlXrzEFgFc1eorSMTCunxnyokqW9E4p9XwRkD2MAEn7V6yRRS1DwtljskgOTLQ/E8ptrrEZMG7776Y0pytAywcqU/UCcZZ3bNCirlrCtFdyPsCZeNqt/VjElG6UJDZEeyJ1ge2yWT6vcIxzQ+4n+XsR0ITwMRPq0ARSC5gD79OLpL4oJ8CAGxfgma3OB/aYAebQ9UBGhXxXyLH+2Lcz84pp1aw+Eod3QJU0NYE+/8hzcCYrjC5D8QASSfQhwgNEAaWnJz/KU2e7RX9QqVLGfwbwF9c+8/gSfOkJvq2sioF6ruKZrYa1QXHqzx488uCAz4xWPu0o9VZ7Akj8t96JwO3p1jNekwXePqui8qZTJ8UJTMUyc57H2FS/+lkmKwAGoXah+T5XQem9D1uqdjz+5DEpwd4lgPp+xMtS269vSmcusD7br83DX/XhXkC5gOSNnKh3/vVWWAelmNzZuNjdPE74Xsc8q1WYJvniA2+v4okNEG5R3O1PGHVC70FfxroV/TWWrmP/HBsLp6tzBHB3pt1gkeyXEb3d4aZRRITEUESawIRYr5kp8mORZbZ9wo42lLxiktQGgfu8nGzGW4BmqK5hBqMmgHBSJT5LnOUp8A7o6WG6Xg+tXd9TFfjtX2AoNWyAZ+jqCEsg8qFhUB4kWxmmMBNBTPqsVKFe5LcZYt7zzMuHLezUcFWn87UEtv4AVJRF0Iu9vgpCJJiPbL30HEAWraeqnZ6ZnNc1B0/Nd2HK0s2ow7k3/hdyaOEBFE4gs7bUpgGTWqnhEqpGmYcWvYOkI8v+O5KRvoBTOh6Bpx2UsAD4e9mA2is7mzrqtp8JhiHSihQlqY4DlzVP5UT/BS+IwO4z0JB5Wx2/6cmU8XSgWxhO6fsNwlBZfiEfBA9tzPfRC+59zykTa2I8WTlWSoynZeaCW9s5n4fEdN0COb0+Tp27FGh/jPYvLvNhlm3JIws+eRzesF0IFQzOl6p4nzwy/FAHAKuVvWyCzOx2fM380Pw27AJnfCWPEOin1C1gBDVgtl1/VgcDuQ5+fgMJeO4z9ozAqcHYv0jqAsi6IP1lrnRSE166HUnUkn+iuaB1aW/3nTSpl0689X3Peo1ya9jdqXp/ztTtp8elrY/E1B6OUQOni7WAY9fxaGVG2KdbplwNVbtrEH77xSTFC/zFYphBE1UtkcurWabHlbyyzxh2EMCWUFd37yH+d0G+gdPww7BgsRrP8Ap+rWDGl/e9QWGss/Aya/FQODmNMd6/a38EH4vRdJVsYlBVJsL6GpkIwJlb3lKMkHtcaITUIrn+y4SQCB5PGJzQNIP9M1GqbSNHjdtfsPnRFII7ry+OjmfX8D0Lf4zROFMYCI7eQFUSNs3qi28RUNNoodVDe35tBSsDuEyLkbscQNg9s3179eWlu2NMO6r6AsH+t6X1LsjYaNCyqew4vLLAJ7Yq/8Tun58o40U7U+hH4fharqj2zAehgFdiMLMXYZWwlQPiVfnF5vyoGmG8SQlFyEcKTMPrQsigTnfvm2TrmzZqXwoPhxU9UHDsECpBlk7DoF13LfF3xwbMVcDpMTn7HHDB8YVJeZLAU/x8/b+XudFu2qyNSqi+rggttQCmKJLyEWIHkiTiWPzZXkuMDeMvFmqizTtB8cW6sXR4OJ+dby78wO0AI3FVckyKfI4aMcR9TjprFQUCMDwJJvCEsQVMPN41PXCygqrtF3Kgd1oTg3xVfaeAhA2D1HAxS8xjkKa0Fgx9Z0/T8iyiEe6qCB50qkRZeF+t/Zfs4IZxCKvrpjZ0utfoNQn43GKjO9rxUW+ycVtoDKD7mXb33o2193Rrx6JKYxqe8/VWXKHMlHZWFumiQmwcLVrHaEeUWbq8mFpAUeNspqLZME4OzJ0raHJO3eqbKjyBjdSubyXu0VvbMl3T3GP2PLHMi2qG3kQsEkT0mh2DIEuZ3ZSo6ytrm5vFWLBq1IZp0qecGRC3vkBNKCvlRnAfc7eMvYwPFfORptZU4gCu8d4/547KV92J83NHciiE7mwV+2HZRepIKN+t/s55ywdJInSTV/9xC1sy9jsi+y0V/qxPqpaRvtiOJTB/mc712SxOjRrMeT5bnN+dt2nbPJCgkhHh4/9wy9sWyHZpVjTPJTdFYdO+qd1PMLAIWB3O+zoopDQWdcOGkji5MyyuR8gVajje6bLCCNCMm/9NbbnifTQV0nkl8QRF0upnl3+pcYPMBbaB256gFL7j6qynH+QEmcK555kXOTtjNjRV/WEfmGZcHLIoaXrY9DaCgDIRnAy28dIR6/2sGuGqn+6VpNn1GvUj1L+pJZNIUyRPq0MZRMpbT9Tv8GVoG6THMjtXhwvgVPQeiAmeGqxKfIfZXd0yIfG18OvLcpklHkp78SXNgqk5xkgbPaVTK2wrnBjVG0aqHDuk1hkX3NKtaKgmCb04uML0N+T3LrppaEnpPky1ypYgK2q3JH+/glRwVsnD8MFH8sEGOZkbRMDsc7lGVZh8YuZOLIfKn97ko/6CAI/T41QxrWIbau7SS3y9TipQnVVJjCgnNqi6fZSubc7hfsg9/iwH3Gz16hJs1NudmQJDv02sl5nER3Rrkq2roflWOvjU1aq8sdz12DXO9OfssN+6FywaV7SAWAd+CNMYgA+ybZAYiRVSLl0aTFTDIjlpJDaEVOTGzTxJW3IZbXC3mXIA5fZ2w48XQLXRrQ/kVGzOixsblhhRdw3Q9lykVzr7qG7Vu/4k5Y3RMj1QWySLgfS/QmuRZFODt7XoAycR5bmTkyE3YwjItzKyjvycFM71yzESP7Ue+2xJy6NJH4zQ9g6sj8NvQWTRP19FA7U1yBaSoTb2TIxk/HL6EhwvJvr79LCUnuFhnHBAe00UzbiS8w7S8OzgkiLRHaA+/AtmiNYPDYHXG1XjqIa1myMQXCLCA6whiBTKUXfNHOOvsYkbCm1xPycEnboHJqtqdYNqUp7XQ9ERvWykLhsKvxN3GhniYMyMP3W8x3+zLl6bxMRHrPw3LQeLjKDfzMa74SAXiX4IrSbXr4njg0wI4P34e1Wflzk3tx+PM4rAgszE0/W0aQaTZbhrGH0SeMaV9oUxEoVlkKaow8SLt61bu4bo0x6+gJM2SSXg3oipviP+8NDrHLl39MWxcC5fKI7nKBGIQ5ADu/LhUtf3wG8KN1OiAqBR1HYQF4vm9pZX72b7xk9/5sG0k49DFiWzBDlpnuPjRgOXEz48iIZTDRN+V57l/IvCsJQ25Bh0/3Al1LjqFszjyK75G+l6FQii6N+T2Rtp5TNOIkRbv2RXt/NFDmwBDFnMQG+Wf137vevGyF+ryPQ5jf5wF69TC8p2+eMfhNs92Fwcd3MJuR/T2g9kHJYz03EWO5q9OhpjBlZQY5Zo6WBG1vXqGPTiZk3fc6F9egOCM4osu6VVcwDQwayz10tFqjo/zWu74kWbAvpznMHsC461yWY1JDmaHv9+CR+nAaw0pQ3graur7nVADymMpPTZCFFjJgMIGO7aNmZZJTyQqz3pD1zW/oZhrhnhyQRM1cwHnC1rc2EgWy5M4H/Lf6RGompIiri3p1F0iBFfEiZmz23TF1L8SrZysRKnUi9L3II8q6doc6wmdhfGy8VwZkSG+NpZmYQnj9SbLRjSKh85UT7FGtv246qFeuZ5cHa2hsI71DwMMARW9NQ0T8zCsJtxlTNi9SF+89gt6qqycV0fhpgDYfEbZdI5IJmI4MLzm2I/8PTsdN4om3ckw35sQCEWsA3JQQxfNXHQy43fN5M5azy5m8+rZ8JF+AnH3N6gMcKsfquucDbVBsvM7b2GDU1HGJOPXCxAn52Luq1moi7uWTY6iIQc5QYUkguYerY9HDfJV+FqHewdY07jn60LB4Vam8WKTYdI+8iBtLPCSyeiwbh2YsYAoKUq27Ct4O7U7Qp4mxyReEuCqH3zpJlBh+QTHFAtPc7Nvp4lfOQshpsvYkIxUm51eED1A5dHqtlGo5VeiKPTezDfA2M7pGQa7mrxNCUf4KVQ8Eom4war64hdGT0+12/JQqINmlrICY/6vbu0ZIM09XNuVqyFUU0nehHjU+8myf/sMMXGFK88ZxEeS7RFupScWgN29PLlkElHvc8HbZZzVijQSgLD9IHGdnGl+jPNcSHF0dSfde8nIlXtPe2cp2cL72zKgfvYK0jNZhmR892cdmQonVnRKdZWTGdkSHripfha+I0zmcTg8hF9SuGD92JeYitT60uT0w0F+LgLx09njeyFPv7aLQZjDwaMwSBLdmhxZol4kAVzCx7v3kJ/7UjBPn7+sSlqDEv18/qwUe2Fb9T2BDmBw/O5FlHi06pNOGQxSyny5X7HIqDczimpScumbDqVPj/xtwX+G+1YiutHruJJBcVSrGh86xu2i4tMuqWOAEGtfTkSU9iK4G4/9Es2aUQYWSCywTKePN0vpa8fp1So9FDa+vVzn1IU9nN9lYqjcD4KM5S9/cGCHCgXUPlllZmFzfQmKPf0TjjWIf45CG+ZgoieF1+FKn8HQgqEWnHVWz7s2wHaaAX0IENYaRVnJaz0q3QNZiRp2o19TgLNADTZnNLxlKM/LXWLnzEbtquFmattSf4AuxGd9u+Yuu32PcekyQLelN2r3Kkr8VjIlxpxKDR7jvcJZWos5Vz9WPT8559QOK/uXykX8DWdV6pKNS9+7JJaRhss4mDXlYkpgxDfIKuQSQ/b+u8P69RjO/M0dFIvH6mtmNTbjc6kDCkNBYSoWxBpb8gFIIDxDs3DcBkQHI0t80id1pgmIBUokBTDu7PqgHJbIXrv+FKwhiumM720mD1SBByIw36PFynyTNGwRCyIo1YOb/kPrGC8MVE7632AsCe4ekuWKMHZ6OCUHVF8V3ij7KBmMqcTuBWHFhdsjNS6ZWNpTTuSp6k0zG4fwo3S2+hQs6WMkXriIIs/XXjZqn/0Po9SDvMp7Fkv4cZ5jYLxkGxdBZXC/L5/q7giFhHOtT/wvVSpWmAmitpRmHXZxZWLHeCAme71CjRKGnXQXPY01AA7F16EpKKNgkDpPVWSFRpxn2Mj962sdtFZ+felYQb195v79ZjQFFLWNIHbntL+EPR1NjiczTNi4LBdmZE7BhOYfX9wqOFQWntjzzKTZRFRB7EXlXPEvHF2bdl/GwO+fqOtejL/sFLDjXpbL0gs3Y74mXXJNea9aCx9APs3EP18YDRE3f6090vcOUcWg5uXmkUk2JkUd8XonjN5dnxTlMEQpmG/Wz+GdKe9O4QLwGXZIDknbm451LB7xRTY04KjL5C5/d/ASmDXhXL5z6+QP3M+5N1xTDk413ONfZhGJJbYr7cNORU+QceynSUB4uc5vB0mttH97Oo8qTT6C09hpS7YhqZEqzJfmOt3j6Tzscd3B/6Bnm+0umorruPDQZtUtFxdhmXEsLlb4D3ss4431j1gdOBaOw1O+tglw9lyCZlhrl7yV1mFs+qZqnexhrB0rnMtmPosqGpCruD3wA+e9eLlItCLCtTbIpLSYa3GfE2ysCvSeH9IjEkG14ESTOJVF8QiZQnOQfqsY08ttzDJRB/E7kVos8Glrv2AKqkQbTcEFZC/dMYA88TdK46Vak5NS8yHM/a8QlaFAB6nNcxOEWX/JASqh4qpDmJeAXf+muq2ffPqLl669Dq2dY0OYXaE/8rvxTZmIfuIrQSpWXs408Y2i3IKHoCkreNSD/2wo3T6t3S9T5IpXeUTmWTAUZWMZIIrlysXkqM6DmTtv7w+QuPyfzON0iZum+JvIMLln1zC40979KIdPH/3Aw1dEIy2x4b2FavGac7g8a1fRtsURhwgSBAXVPLI1cpDhClR1WdET9vW/LoEeZ91xkhAMnetzOaJ29kLSA4BBErQRimuFHxyMrn49w3GHuFMuEJevZ4xwJYRZ/qzCDpvClNHJfa6HPBjYQvCQpq7evU56Dpg2eQXpUw0mwbTIjurymstGjbePfeB1NTHzlQCGCFg9DGrTBMUVEwRM4/pnknijubvojTe5XE8tOluBy+NiBB8WaJg1XAcyIjNnGcvVF+7Lg3q9HRzkH/tutNK6koQ2vrlLY87WfqUAdXy5uGiCkNIc5byNieYHtgCjELr9GPIZy+CciFB6ppV3Lv5cR8m45TVuUyd4bKnnTg3qZf/gnMgd0JLgR0geMIvhOZxA6glOXwIMt5UW/Dt1TEmB+YdSFnWhznM0qyJLJhobFrgdjk6KSg8PXnwGlnKdBNdN4OaHtpnb2lCNcy3r4sTssyVtCFjfsltVmc07E2YC/jy76lPwHR43gAxr3fHuNE95ljUelg0fjHAgEPmdjCghrrdiZ//JGuux3DwasY0ye2KU18dsRcspSb+/Uftfl7VYOnwMMsiyvMIcgN0dyUxqkyswo/I/BIdi1r7LkBUQgkqUxroXPeqsz7K/PmV4FqDp2kV5OK2fXODUxbD7bGUTcUBcHnmFC8EjKycpthqxaoYzQXMd0KMc5ixtroDW104nFRDmA6C6169UZeK93ALsOL5g0h0HG4oGaZkTp0sHdqcksmqaTkNzAfThO5hhBn4TLNe2JdIBHzrDr2IfmmVUWF1a9rLnHuMB0262lLWW9X7s/ZCmI7LrwrgI7RCijE5HnQY/3PuQhpEBf8GXTYtpyi2PC3SEtPSHSMybCEPQ0WdEWigBiTIzpRilCYGvw1VVVyY33k3AL9as3X/zQPjdc3ZiMUorfREryCfANuGvc+v1g0r4Kf+IB0EwsBB4120kyRQcUkNAUg+/khi6frnuihrRYyCAvjpthf3ciRIG2l0zSBUVD0RnwZLhK6quvCOItkhvO5dt1lX6IHaCKcEIS8TWRn7vPsbAvsRqx1wIuNXusv62DXTESbxjvjA4T7IPGU5mDTSAe+FW+71TAgPL1J72hpg5Iq6SQe4iD2XitmzLlkXiSAk3eU7PujYCanPHZSnMD3MNRCb2daFnsJ1mU098BnHNmjbKTL71gY6t2EZPI+0o++bdh7E0oRSKPUO+jrNzgvUCEpG7jY3TpBGLcLjs57fanpx+sxOhwPD8mdGOqVrjQlBKPe7ujFa2yCy7gaojG4UqN7YnMrYkpXKBNMJWEgtinaLfX4iLV1K5GcibvqBv0kLIp8OPiFIklIG5lazP/Xy6BOK08WWwshUVGeNK8RyEnh8dbMKOKi14p7KExEhWgBsTSc4TxyFn/hXl6cRrQSt1amCVEZ30IC2iQGEEYrtZJa+JOFMwDlck/0CnetMPfFy4nRuFnsmu+xLP9+FNgRx1GlRjrCOoauAk2AAqyu9uWMRswK7nHRi68zegQZsserKMyQXNfOV/3UY/PcBx/BfRJebGkyPLvhAaLEosdctRYHmMMJP+uQL8ulNWhwFb0nypkx4Jv1/yND8L8HYKZB239PPeyLATljIw7cl+dVHWmkiX0V27RGGbnMM7pvqSj1XPwVFm0G38qs1Pnt/NJqDD3JSkLsUTvK61zfwW2s1TLRB4vxSUdQEkq6Tf3aXMRaZqH/D9DHYXogxW2xKoNfFA/eOzXc5ZoqYrkAqvYg3QOZJfuFGQqocRmAGETNIzLBNKfLfGNW+XC4vHu74Jc3vdMDZKiVI8F83i9mZOwjgsa5Wc8rqZx34ouS3CaQlcUo0Z2CTjG24v9kb+dTG6rCd6++pASFsgFCsHcOvXQXVrVrZFhhpuD8OGnnqs7XHzCLd2ZUy+OY3SxvZOj66Cm6l4nG3qXDlP2drlNnR8b5PdPCH/Ro7pKx/+wfvBNk6GIXLVahLvAu6qUQHyWpWPhCZaogNOxTW/748oj3H8lXIrLw6Weeqm299PD8bTiKZ5r05WI2AVK2c3ftHU+XnguITTJFD94SrYR2w+M6xNt4fUoqsVSYf/vYqcxU1ES0r1soommO2fATDAe81UBl3YIl6w9OhRX+PS3H0ZztApB5ConMK45SZsEG8iFW1J7woDrtaTWxKwpynwgMWyP/IAnfvC/mfPVuuS2Yg4jKNyOaoIf+pK+ci6jMivkEDoZO+0kBFrtWLmZuWVkXpBKrBx6k3kHF3ECatK/WrG9EOfeaNlPXXeLIQqSYh9aVOMN7Hz0d9Qy0Xwx3MmO2J7YFCzeE3lvMN886DdkV8chdQM0b8f6I8+biSaxKfecvCaKMdklInvIGeBDy+tR3WXcKm5sfsbTsmzXvt02QJK+nZAcJCWhw4jHRq5G1vSvEgx2VzUaoywJ7I2ZvdY70wn4rSHf0dcj+DVNYeoBbKATt2Tps/9wyWktnoOiFaX9O2cGOKTnKWM2k3VQ6HNxCtCS0LZzHx4shCuooriFn9O1v4t2lUTC9OsAYLBKgK5R4meVw7p/42rIHizPOwZhMbdIcfORxkeYhx4wNzsd0SQvwHMRURoTZeY82t/dkFnxee3Sygf8B6utPnnx9tMjZEsZ4mauivG4mUb1E78vVkZPgqqJzbXnHTH5pS0YcNeTnB0Wa7i94sdjfVCZPam3F90C/3Zej442DOmoCxkY2QZfHQ0LX177ye/xnK+PVv+CsfXafRUdRfAYCt8Pwm+YgJcCZPLoN2YpBButapGduv0Wp2f8dZYE26SrNXdC6eu6MmJx7M9JMV2c3O3UkGHyHMie51NS2Bi5IaPJqOyquCeFZ0K1yTx7atpUslDkzryd/LvsZIaVgDS9W/2ASjGlJNrQ6qZWopP8s5/TEW0/c4Oe6gdnP6DYhC5BAzbBZgTmPysjbnsa2mAXLGF8Ch+vs8xe8QRzBEjExwyy3f5w2DlaOCh646lcxX8cTCKIbQU7d6oJua5tHfOR9b7yAsD9qC/iiQlFvXz9ZPVcn+tPMDGrrVUzY9DfHS3C8lUMs4LFqmCVtnQoSazeefy8GOIaMxqwkyBE+fzfvgd/CzVviQPZZFcZ287EQ4RFXqiXlyNG6rCDIID3c/OvBDmQJS0AunMCXNDXb+A2HqbbdLyRGc7UXf715+qG0O7KfkNGQNbJ+usFg4QmzcGTa2BXXjUBqY868HckFjxKkQJcR3/jYZYhaxGFz+C6JHz5qM3zPl1iq/5Y2QVNokhr62hTaJu9jJLqYC5wdxoScur0ko+CZFqC2XTjg0S5/1emo0z+t9lZWyc8PHZAmeKNPMqkne7nstqw/UvxH75Rhqlvu0IIc4P+0nuk9fpwwaRm8XmZXY1mUx0/oYXpObOw58q/cp8i9xLoFmhj1S7f/N1W6EboDqxYKEuUbOBF/zRp/86rznwfwXADZ4VqKvQqe83NAd9pkW4af1tEx+n7ZSTbg7j8QCPTCGlnHsM2mPOlnipyRfw/SMmic2Ih1GljXtEFDyd21fFRjv1KZVCZURlgvbPB7XuVcURhXYvg526xUJgUTqJ7Aq4akX5GJ4NGbM3TvHeGgsn4p55OntJWo1tpES+CfWfu1WCc+Fk8CrEPFug9bESuvHJK00bEIjVT6SLjFUTyZRwoOaxzQsZ3K/UHMpeYzTfPxqQuDd9iWSAh+saYO1QXIBu+8PVMSpzCsf5GtepPf08l5UHIsI33EuWqvQUuwW83eJf7yjE/O9U3ikQEn7xvdnLbmYA8djTCDsORk3CO8CbLrp1224sVzBRbAD8amHmehssdTcw2eZi2Vu/lLwY9ZPt007Jgy57F29ajb33OWyi4QLfQz1aA6FEU8z5OOTC147GZ4Ktx6wikX25D6FBvXXr/+GwvQ8gvU3DaI/40YLPWmq00EHXJZAOO5y6Qkqbd0duXZFIhhTkq3FDMbAVGZ3CgQo08gwzkVMijZs041TMPh7AjgAIGsXYtBISVLcL6Fb4N0MrTIwNvK6hSnwRDv1809omU1Cu4h/tztt/osTi8ugZpkRX87YmAfLtY6YqrvDJ5tsnhbrazSPmrHPfPHgm7sSaws/qRyEwsI7X+OblatQlC4fgxWlPR5adUCrY/DrhnF+Z6V5IfHMIvpyqxpwCSac70fO67sQp+wFbZZTYSO5NVLkzmt2HRYEmb3pEvKRe2oRHnLMpY5/a38V9Z6yI2RQXSJwZUTo52obaddApJp+ClQRWLXEpCQcpERmduTO2tsn8eitjHIS1YfC2rriIfaCiN5Z+AGVZaZDhK6GNoGoiJlSph/VnI4yrLT4hhRBQQb/Y4HRMtGP14BHvWLhtaeYIGIgpMcFcg3qGxxnXLG9ga3rhVkvEcwRtHRZK5g8htkn6L5Tc30Y2QK+gKj3/14D9VCquro7WEVjqgDbkwNXMIXF5HZEDb865t/78HSrRWkQvSnsubIjf3K5sSkojpK8aPYfGqzflkn4DchM7mY2L2QeD8Y7uuOJFJIHS47LfGULEl2gDZyH5HAljgYH1X2qWWvqGx2b44Ddq2elarva2LV8lDDKM+QG8HjSGnhjdItIqT8rZm+ohWrMZMV+pQcmyaqk100lp+Ab2R2P4Eum1w5EoBToRg+Ku4xxWfJnptOZqXPbRpQYCpxYzd9hblkvLBPGJ4W/GN9Y5tiPjwE5YGl2EDnGf/br4nqyBKzgHZS9w0ttRxpjW4vO1qitp+xm1g+9OiWolY8ukMWEan5m0na/Eryx9j4sH7K3vdHSZ+Y4aBrcGT9EIOk1RENGv+mIr67l5HmFoab7vITgsK58ySWNlUq1/UIFrYl/eTZR8tRRvohcgJdqI9qDXLADTEAOJ+M8dmOu2Xrs9sDNeXkkb9Yse4eIdPJWmz4jgHjWDpDMA2KFQ8seUxWMPAVUp13+UlVokDfZHUsao9qN/Eyxrf58OcwKsxlN7cUppxTXSztpzjaybaf7kpceqdZjZet2lR9nKH4AUtv7s4lXVyGk9D/hsSwjy7XT41f1+Am690OGkuFxut1eOtRZ+eU/y15Yo01qSDC9XYuk2V18ezsR5oJgzALM/5woDaApxd5cnKxAFNZQegXR9Ll67mPVhrUkF8o6w74GKFsr4wyyk7Fw44H4pZv2eZ8c26yNLTsAhmWFS+nCS3VmkUxe/JTnGo/+ad2l7qU0SJ6ZGgKEEES/dPWIMEXmGvHq/95g29dtlQ5ktRCFjO2+ZMi9MJ6yTPGKMYTrQHW1jbnm/gPpzoZjVWnFXUXLcP5YLAkDmeoyQLcmw5MndQx9+SYmd+v95W/rcu4MFi9rxbQzG0rgp1uByvi44kx6mgI1hpqYvDMiPpC3oBncjp+JqnGM78GRMuM6BL4WdsgBXwKZktYOlkUE8Rk2ZSt3YqPehQPJy/z5PffGt+IsyZMxdkz9yL7UtX6THGXtXnIAi2MRWNUYKsyHrPp/DLtdAmwr9q4G1iru9I+LXRman3JBu0u5kk+AJPLFp8LhItPgu9Xs8nzaAoZztsh2Z0pHgiMyKnGOAa0y2yJQPmRY/Xsh4ttun9IDqmOAeGHokkXkecsyoJRmPlNoS9ECJHrw31mlt2uys0iBE6vI8ugV2hJv5h5k9cGgIeA+BJ465W2UXtTdJziauMYRrU6OFkfT3R9eNVvAkFfnT9yMPsswWDg39KRxgsB4JJJnmmxFT4nbWSFALzKBasCWJDZKDDFByIbV8oTWoN5/AA07MXeVATWx797QCMExV8oDxrcdGvwFdp3PnlyiU8tL0mPuKDQscO3wLsz/y+Pe+KvZcdfSJoxFnpqBQChTLBf1A0S6uumat9QSrEbVnVC51w/PNjIfN4NWG42zw6DMNpNi/5l/6Gt9h/TCBPJant2tWq5H5fdXv6d+OEn40TEJPMyNFMZXQhLb1b2WcpS0x5Z+P9bPJ7Korrd+iZ7Sh9EcdVm42m9DH+dJCSMSjDbQtB9DCbvSoGiWcioXyShtrbY8hCVt01RonoAz8J3H8NIMiIxh/DI6TV7l8kP3dK4V4iS2Jsagxm/7Xxt6hZFzgyENd8HxB2bKpIv8YUid29nxeGheWu5xDvjAL9Tp3S8Cf4CV1RxwoNHU6Ydgjfe2YLxcb005RJM/90OZsgO1TOBgBTKpSSI2RP8EFzqdm6gh5MPwCZds0lfxOB3rrM34CaQF35hO3xH9Frq04yB/Jb/5kmF2pK+PS88BB8I/reiCqTTwsLVNjRFdn2ftnR12fKBc6k+eICbfRpgBAnm38sHZAU7z46lgtqjVYaw6hL9gq0fpmLEqATc/8AD70jeUa1ZxV7tPjDmvrKlYbWV8nbZ4PfssSWfuLNMEwJFogMz/fIbtNz6mNIYdtXqfcrIGjQALlw7tpK/pbWnOKDeZD4sPvPMfT7z6MpVtUnLgRxjTK6C0veiRYzkyjeEr68oCTEOkakAXzLtENQc7tQ/+vaoTwGhHkWlySvDjha2GgzO0hWddZR6y2013Zqaag7IJFUxE6bQgs0H1k35RMfC9LGCQmJilpH6K6qAUmVNUSTupOBpCuhwOMeKsPcSiMkznDvBA1M86HMtrJQ6HRkppP849No1+/TMecG7aph8aKzViLLhyyi0JjK9X7EVdhrJ2JvZ3/AlJl/gA6cbAPEpPfFIfYX1JjTJ+inXHuYFx0W4qd2s7+Cn1ZqSID3AJ2HqZ176qvTdVEMqs90By6gS8GkqwT4UiHZLSObjw9Lx+HTVQ1QtwN+S5hZXreFrqHe4FL5ZLgJVu8oMOnNFuqwtYy+/5tkDtxl6O/AGqrkvSj2dt5Gl602RKg++OL6t+WKSA7WjrNN38y1brAA7wn6wGxV8rqbnLbnz05FY7zNtCNlCHP8vJqqJQ3BlL+Cg7bIrjNQDqCe/rYn1f4qi8hWLotbA6ecmcWETnMuPlJHUQWRCUwGE+mWcG3cazJ21rLMDbS7uJgMhyvnjN8Q3it56N+heFHVjZi1Wen2bO9q5JHRY8d7aEZgIwIeu5nNnkqcxrYACS1sNsPu6YRj7dq00mbxpmiwzHUOclSU9LnLnMFj+7B7j5uBug7yXn48HMNmTx9ZfzPSe6ZSbz4vAg+IumZ4Mg4ykc9XCLE6wslGYHwxCgEgvslfNsh1UrOU3oLsFqFEwz2hvGVi3Efjih/NVXVQmH0EnzqU4vWM/oeXQ13HVpkYJPU/WiwrL+aYhx7yVYnXEWCEW1EmF0DbNQRTIjFVe1tWhk7HlSdgZv3I0GN8t3EtDqrRQCyyc3akp427hCwQ9aD6dd4WzyLWobSO3OWA64JebvLPUyQNivui68vDpKok030o/RnjPiY/TpjGFVJS8yAJ50oSCQv+nEQkpvMeC/NXxYfr6aTL/Eo1B9Bf9VKCQiptPJiDtD+FximRSUBdKWpwk+EZO/27zjVzd5lkPJqlb5cqeTLyAY+huJYrT9xFJYu/dt8ZQNOYr6TIQOQbqdyDRzKrLvXxR+QI0fQQbvNv3jUAx90/iDfdYaE2s98NvogucXXU6qZkl8hDU6gE0iU3XqKxQ9ox5L7XqPYpK7OqFU9+sRG2yQVLXejsPFVbjxjrKph1e6ELr5j/4r3mObrN9kjqJA0/vpcgbgp6lDeo+wOTw3tzk127k3diYW1RylupZc1zKV0rVCQ14cMhHQM4ToDFGXh1voT8Tt3wbhJPuOPaSnM/9SwV5eKzxXeTI9BrqHMPv2lLoJM90lscDN1l/Es/m7KFBsWGQV8pSs7Qz1HFFR4DCvGWfvsXr1FBqSJlwdA6JxIi9S1NUTgbfXmSShAzHKBw3qCgDLmJjWHuRVl4e8Cj4l+hivOIqLdyOOT4Xf0z0F3CoJtk4ww0f4cvpcJVhjecMBSqGa/ZR4iJLKckjiMn5MMEjtJ3QPI6t7R0MZDwZn8JbTnUWMNMPym+80+z2upLYj/6rwSySbj609cM0xt0Kf6Ut1L7Y4Q6nTM0qjLgkmQ5VME/0KF4Qp0FI8bCIGfHlwGOpDP8a5+2s2WMeCCX/E+XUiUjak95mqtRP7OrABzXFpbKFJ0rTVUdPN76aE6bhM3haRaAlOtg4iSAZtOI4Ck0YqdQktftRMxwlk4whRNCR6F6O/VZl06v8hcusYBnMggeYhOwmE2icG5ZrjTxfE+KF21SHlo82F9lfN96tin1Qgl5zxsH7SER/64cie9kxyG+8WjYXAiFsgw2YLS0DV0gPIMNYGvrif746kKFP+HakhrAp71VSWy0iAJy6mHjDnXpMq6OGDZqcnsSjaP2XQCPm/H4qcNokk2s2EvrhGogE2omE55ytI4DHjEfzyd7w1Td4DB7YUP2wn7Q6agjt5rMAu/LQE4H56GZTY4JsdZyzCeZUo9LlLJzmNtiIcHimEWKXy44LoWrFwcKPH3BXiPp0Lbk7vzqdqhAyIufz8mVuxiyVXC+x62KZewicmFsPDWBWYe+oxzlXeRaV9TgSHy88g7tNeiNZI7XUhEYRNV+LzL8xyJ4XTqsiV+K4r5IKm8vDCyLdthkJEaSaWLUhKKQxqOQV+1oAvHMNCTfI2qXYpgcqwpl2TyVS8/xj9RHJIAS4B4DnQzSisFKYAp49FIQyiS+gSEYwHpwKss0xgJmuj9XoUHVelDW8btK/mO/8dwjwYQje2kSBDLYHJkQMPp61bWWqx2oBtBAPRO5sDkOpfnnYBL49eXXRDLy2/xoCu4nCpIvzfpVqSsXVJdx9326FxgvZw0mGim99Sr9gdBTQIkk5BlLOW1js/MvsRcY6PNMhGu6T5tAX0XRODkv45gpCBCEtrnd1qZvru4GZ+V20dGKIy9SdR8xeLpA0+ync4lYAHT4z+OEEavS9zT0tX/2lz9niSmvveZt2XPtph4B/MlRPH+GXrXPmB0uQu2M7b4QT/6VLlGQBhNlPTKxVaDIG8HbzHP+/yjUnblC2FCuSmL1BxOTR8T7Y3oPhZpkQl5XPbjlMTwJV7W6u0Jy51+kol/P5V6rMSgj7aU66fSvsv8yv20QN75xPA2oRCAIKhxaAPv7N+xpnux7adcU+yfBwkK4+tsTIrzyyb1tH/QaAc1sZ64sFyraEdem/MRBXXOxQc/CeLsI4Kg0qkjrSlwx1wacN7DCoZKG61oDSQXmbjbXFWsgdAzfQa4UzNuB6i+53B1IbitA3xKEbthNbxCIjWej9H9FqE4qN17U5XYQcJiF8oKG9B+fFdMgAuROJKPp9C8Gg6V0JgMzubt3I7zmJlHWU5aNOYQ3sj4E4nRYKXaMXzN443n+RamEeMiqCteDnJlqiFTA1lEDXTWS9it3VoPGsVfn3h1ghNzYSZKTBdE0Oti5ykQbJv+BIjOW9RzWbDO4iyEQRbVOIeYXEj+ZXIyD7vNMxvQUspOwrYywPSQLlYgMbMRbVDLhaWBr3JzFGiyliC5M4507e5l2zHZL2QZsl1zRh+27JjzI90bdSxnoqTwU13TKzqjT/hAQIEu/BQQ+6Ty8i6r9kDlTcPsjsXot55ejY5n0cWm2iT/jHg+s4tGqAygSfQmKhZe4ndrvxIYsP9UWLfsQ1r3vTIMnSb9UcY5TALRd8C5tVVmjXnB3hyBVk9tlu/FbSVtylZVVd8S//Ib/LwNDi8AW16NUbQMnEnSm3dm/Id6/ppuefXFfRBpuOCCWZ2qk0oCD5PKpnYZBOoW4MRQHpCFkJrGP5XMEQdcHmU9uJZjOkIKeobNY8vA0omUJy6vdachSGC/pkYpwUBAq22CnawkPv1mrfCtf+I49gcvpE2KRj6u/ouH32zv8VB+lbcsJ0qJQBN3co7jLv9wEFLfLt7x0iGefhozD8PbIo5a6qVROpi5agtb4WVFUfy8V1MdhG7z91//Zr+kJh307LyXUNQkk1Uao4rNTVT1jGFXPagVYiLsm46KTfLRoUhvmN++BerU+GZfuAB4DcDv0W638zha3U6JnvVPm8YUrX4Fiz76MVokMZZK5XmmGSVL5aB/Rrypcnl/81e+Q6zaQQEpJ9xPSU+3eMrMmtLtd5iGwyPQXPjlgO4dhlaJFRtueXONMVNI1OXWgHaROP3RmTVb8pCBUmp6gBKi22LWcoVEI7JTtnUc29rREK5RwUPx+ldAcFORq9R154b6Viq6TSbke3WYGwrLeGM6wrtiZg3hSgMFdOKgGy5LtONkFTvXbCeIMyXY0hsDeGVT6mkjosLp92+cZoHajhTYYYDFxNRzAjgOrO5J0adXqawl9JMezMUoJT28DTycA61YWPB8MG9kQbO7jlM6PNdcu8R3Nmad861kSsNsNXmBjgkKaJiaMlbdJy3yvH9xuC3SfBL+jShBc+DEbp9JTyVKJ7TZ4yvH7DAUjy4iO7Q7s/Nnd8vNRGbuXk/Dd2zfdPDi+KwGZ0J2zLxqfHNIBj1ozZ+L+1KdCF7cBGvOn+L34FRdp+NsSSUgvpSPqcafZwW+SB58UnqnQVcH9lYOSx/Zw0WkNAUJxrDP8DAY8CVRJJ89Q1eGqMuxeKh4WZwwmY+UPBLHZu+fEED+qUNDTZWuFELqeuRjgxO1boinOGHfqjan/Qq6kPPYXvQzasc+gtbTK+8p9uAWma1ALqJpTRWwx+XO1ApgQ9Uk17zLEZeDhv1dBgKTs8HZq2TN+llpl0wN6KX1p/xgKflKRLT23+AOLGRzvX8G4hyWnqL0kmvUFEUWO6+bZQ5AlBQlU8S2cd1JumNgWiNdWObt5Y4ua2hR4w2aPd1e9Y3BGh7J1eqNLIrxk/VS679t/RLbg2fRIrvFbjIjf+2BaQzlu1hVF2P8G2Z14MAVgswno5NXtfgbSraCAHF1OI9IPdIda1XbeZ+l5MHOXLDGxzPc2nFNEPjnS/nl/YqqHzP/rdQQpFDcleXDZWqoQWkMq8NlZEDJED0IzArGmR+NLFzheQxum67bSpMWGitRWJNfmq3wdklhbxpUKUZAop6yAQPvhn7zriJChBjTlbYpQRhscQc0M7ZUx3W2cziaX0ZPofid092LcPQdIXkPRucplktzaWdQ3tXcPTH+7tstzlvzSyQy2Juiao1GF1JcujdxxRxAE1Shnd+eGmoqhSNKbpzTeb7VQbiSk3kSmHR1jHVN2o6eFTnvp8IlWmH933ChC18YDzDMATiNNBgXncL1gJVNfKR37OERphPHyGvTTLQS674H8A+7+wc82iZb3lx0qSTGDGmQY483e7bGAnRGnjOtWsedO6w0GFNlvsck8gxk6sDFDVBsoMynAZ9Bs3gyVIoM9IGcyD6eOR0uPiM3/JIEClqUsws4GgUDVT9KNxQmAqffuRVynnZMmONO2T4MdezYexEPZG41XV9gscE/A4OYbRPYxAoapLjQw8X+zLh2q8AirRD10/1WVRUjXZ/TsSxW2WpPGwS9Mi480usNPHpQXAV/FW8haJIbnDjI7BvdXat5NJr8kuhp1pgHApfpkcFT1nUdW0DkPg034uC6h0l/k5Ku6ROPV7Htb1RjtI+sIoE/javcceRle1CNcZHcTDxRGrjJX8XO63oa1YNnKi/NuVyUXReve86aCnP5fjpDoKVGPl2zAxzGaNZC/aGHBKVX7NGos0mgz8ojjuNkQwutL9poElsETtU6kRP2Cy8a1fxoZdEd0Lf5vsxSdOgB42RHMYYpF5xSo0hFZTfm6rIVmSC7DpUAEw6AFjZE/Y4TwT7qTZfjwSH9a6BgFBg9amjR7DLPW6lIZ+rXeldj6erGSr/zN9geed3qbTiPDWAQWEqlXZX2prpyxIgYISZ86Wyd/WR7izp8At90Ppw5ruW5aba/UOwPOXdJ9AEpPOpbMKbLTQF4gbJVy66ij3bDtIPcpWfxlEj8RVFvnXO6wfG+lnTopv9NIbaR9Z5trikutv5Dy7+5IIQ0h7g8yKurnYu8eXJRaw3Z3Hx735CfuqeRTVAcE/Tg0dEjlk7/fsgH3bomvKCsTpjJVehDqnncRnIF1vhKFdlZ4mTab0196AIpol9pmvAtL5FEKtZSZ6qqcBdFhPE6HgKRRTr6htLz1i8+q1yoetevoj+VzJRrinRncKol0wt1I4dbx9/K9YvmNWKV0HkXVQoA51sr9SIj0inKcXY8F6mNQHiYZUJFXRoDHd7pGYT2sATo08P10cVn/bEEUo/Ib/WUMHHWIY+SDtschyf++peoMxJ4F/MHNRhBulAQ68GDWmVfR1YB9a5P4+zzYvv9sbXCoa3dTRgRiLBRbsnaiFnfRqC3sgILzxFIx9wz3Ge+ATyxe1NsSLdc35qDZFwKxpX3GxYn0Logv7lSOiyzSMkubjDSVPmtGSYKuUsjycoa5Io6puYLDfpT8/lghxWa1Z0YEjgx0x9u2mTmH8yanxP5pGrvyLJeEUXEYVg+lcWei9uvLed+8uCE1TMtLizP8v6rC/axJLAs7C83cSfE3x+XPCiaoGig0dpmMqKTZ9dATIBC7S/4dDHYBoT6ExD1Xt7yS1NdL0CZN+I5B9nNXFona/hEy78ZMnffrxcFJ4T4GKAwdF3I4WROw8KjRbKuLgNlSbeqI+cU2SLNrfk9GAOmHmzKS5D/iIw59k71yyJgAjbu8AG1YLa7HDGALl40CirKu4XfayBr2/e+FMo9oEIRTNjPN3Qy9LoviHgWsBNLC2aEtvlH4hR8XF0MqpKAGoeRZ8um6kLcD4gmGsrqvZU0NCIhdsrS/Eae0aW0I7CYpnrr8TsmESNlxMrabR9o04PTUEdPyRJwQKcZiUWB5UiY1l+T3CWUAKX+g0W1NNu+Gf+US9Mn9UuNgmVBAvBtYS2I2OCcFrOm5+V896Sgs7128aOYymUuqGlMgpdI4V6p7nipVTCRdoLbTLVLvwWXFp5mFlgh43D3GY1x7nHQJL+9V0nAXPT0irj+RAHcINt+Mdl3HyT1I7px5NpX9ooulSJveztoUtSVXJqY8m9euGBPkvWchqTskC4qr0wRutJ422kCxSXjke6Gmi3c213fGz8pY69MvjpIs5dMNcLfdcoE04fAgnnhmeSP5XCg2+nSZpaTVwcxm4OtqEkUuaFdLjb5iXIbuYTkjOW8Xj0roWZXd3KYrwsnuUPeKkzE8gkIUdvWLV7XIR2xghAFwKzbrSAZFtzO4F0cVjczXb3K3JtnRUAHnhgReB1kBK+h7Phv5JAbSrm9X+1TMe1xqXWGru9q3gCfDC68td2SBBEqA+Gj6X8OpCPAJp3mc8ib/9FFYwO38UL3iWPWhgQOkWJs+iEjdii/JZMYn4x53JuzLcl12PiVNhSucYxujBXJMXVbrrVHqodjSlZ4AkjDdyMRZrvB+wxud0Z4Zr3oMClh4S/0/1IyHzWT4Edl2VVaa1ul+uRlMt+T+HnJuASu12dqyYi2uiI6m+vjvxBllNTQ8Dr0xSJ57aMdNuz1WFZ828ZD2etIwp0/hNqpKq+PGm/4b9X8U6QDRqCA20vvRjbRflXBrlHj5gLyJ5oglOsk8mDWwOtA6ZhlwYGlxnKWhbXKJwBStfq0tZ5aXNr4yGMogFv0RV+OG1aj7UrMndi5yiT8kFPHSBpkve603Ulh10h++XjE0CoqfIdooQvSmb/430OmHuUpphoDHVIef2uFoOOQpUMDx77legWsCSylcGZZm+m/kLe/Y57cSxRXVOhW2WZ/3AWiBe04/F5a7n14SCm+nDOydn8yDHLkPOYv5NXL7j7+aUZfxZJUehf13uiy7/YcOHaGCGPYlzRtNv7xHgUAlOSXa+I+fEC7AzLYuny1HrcUta7liTCurjDjJ4GssTjNs8hoZRBIoFZbfVfISesgwamASomGWYeKUF+TGBKBVfOy/pYVD+JReaQHkbQDcfokSDWJbaALSN8bSzNU3uWuTai0v4+yf8Qr0f8FOAns8o4gbARlagDKSM2VXfMvfm+qORgQILpOyLI+oFUfThBIedOEbNgUB+vw2Uv47sQD5EjHMJ7AYbZrjmlDYqk96tsJQDsEfIGqp8dprieN0NCNSsR1GG80zX/CT4RDFw+Uo3EaPihMK3DfKg0200Dtzvb6RTz9SERghGDP5pIAbloJo04k6CB6ZclwbqgADBTc7LRZwebswXFaFglu23+tY0TXJr0CiNP7WHQL4e2CThtuAcdCd9aZyrH6Y98Wr1+jr/CDk4ado4yzeZeJwvXaq+o+RfDvIlOnRJ+F2d/izkXMeBHxlnBUwypxIpokk5RLnrq6XoSMRiIWHtHjzvgkBJWDzJ8MjipD+nagrkPsIJcICKpfn8QX1aurZCW/v0Inna4dhTs0/MVjkZX1Adh4mRMWhhwY2knTkbHA1AfiXbYi+69OwE8qCjr+I+ZYY6anyYnfP3banp6uhaO2mlTbVBSIt/vRaK4uPKKYeRc96rM+fl3z179WgLwIs9xWX09AXXXrgnJM5RDgQETJXXrx5ohh5yku2rxyA+a0dQVMgCH+CBZC3UGtHOSM9HqTOM3MesmOkDr31PJ1O4qb+Gg5opjNhZYfNSG9+ww7iWb9B4nx//kpMVjEBuGQfj0xqlklvo1QqftTU0xZ/ZFdinCMRmnKmifGjm84O7CEJHJjvThZad4+1CyGG4bWtEDPbIcJxIqw1lvzVzmj6+HEVxm1ED02cwtoTjDnkoqiPQ+A+qdr6RUjAbfFgNREEV8a/ct8Ju2x2TGU0xNhkDAp9e9haURTGM2LPHb7UIPYaot//ZNRtaAFKL1XuOCiQNjk5jvCYPM3fbboDAAb7R4rhfVUBfBiQ7zsi/iGQv7q/G6n0UzvXQzm5UOznjaUvi9GCnCjwwfX4ESeAXInkbMPrZi3lCG+R06sut5KovfPFWGVuxLQbJdVjBQlfdgG9qYNwQ4RzaXrai65/OZ+Aqv+MUFuHqL0FhQzL7dYr/mzJqEdNXJNu+YbvYNbc/tXgd43asqkLOXHaBtQE7gbhVP4qwf9Jon6o4HAi5ZOGgimAnn3jjiumCN7LeqWngU0uzsrDVN8s4xLjIpa8Sub1lfcQl0J+tCfq9wos75G0OONRrrBF/SqlYTyciui3bMKYD9RHlVTeJYiQ5OIsaja8bYs9MK6YSTXqIouze0QsXizmMACbTgDnGYlPpVXa32Nwn+7SIusaPqBryu4vU0ONAG0evjXVVazaS7WKKe1nBiwQd8xUJAO+RpHlKuNfBTBrFpaMfIiVRygjpxnezGKYfX5iVjH38y6QMjAb0GVTtslf6CpX4HH5JTAK4+ZQqexpBnnfMgn5YHBTzkPIiJy1AaCVtSPVdF2C5ERB0S7CahpekM0A8uUR/jGk2CmYc070P9HzqRV5PkPzcuT3k4yKJfINwKeBbiTuBLsgwcLEBFRUc8KK1noXw7PqFU21iDYrSBLtkIGQPUK1LvnNvQQrNl4hk/i7tNJh67iNqjgRxvHoiHeEYZWRMjNqiLFIRljs4zRq7ezrqERJJ7gmh35BSjdXfX3fvugMhHRONox5FB2A0olFQEBdJsAko46eC6vI81/IGSsw4P2GN83htXPRSkSCIaD4l6b24C8wgQ47yLpeujISP2vwHf0yeGYnoqgU7vHlfGut66Rf2Rm3mTrEL6M58+wRFUTLImTHF2ywLfel0r/w2wI+oun0wGr1w4eXm6Laeb/ow926DtwtpxJfHQLHe0mInm9iHCwfaj699eL7/8QazFWVf11HzIUFOKKzfCDYU96vn15RemCAhEAfG/08/zQLfouu11AGXwL1j4BmXyhegFIplS3Y+a+u6loWcYd1wqZzrcKocS4O5U7DFY/Ni2LxUAnlpzQLCOeLnCmppdDyVzLWV7ZAmm2ovoiTYj4pVd1dIqBVmEJqpG/z8tkzzX3lOfuT6pcL540tvF/XlIkY0pJ2UpS/y6tecDjmn3z0rNDV1eZStiUVe0bdnporLhW/AYW1fyK3VQFTrepTH78wcElenKZvhT7ES7oNosm0863sFi+k719M8C8zVo+I9ptyjXO9SCeG6q9pSA/WkZ2b1bpoBzOyQ35Db2oxSXEO+LOoig6fNMgDpdxA2uW/RFrFsvO73x2pWZb6RJuC0oDvvMRQKwWHDZwuJ9N1Ua10iKRu8f4UMNvZBnYbqHiZkJ3K/tXN00pJ+g2K7hV7S2l8Q8JFbw4I20txGNjLBWY40Yq3gVnzouIHwPQQ0Jjx7Uv8Mlw6+h3rU9j+FaZp/rOUsEkz85cCHbr+39cokPjfsQg8YtVBkbxQgpCQOha8t3WOn7WslNHkqN5uuwrq18DiZ9GvtgZ0jAgMGtQ+88FyG4KMdbcZOrUZp1vBM/D0cMEctp7ihy/yGjtXQfwkV6DQxx00K5bklOkvvF3YkEJVb8vJLbZgmkEYXAb/QGXVZETQV4woOBnamLj8XL+IPR29OcWgw+U+zU/VvCCuWnljTZtA6dDSskW5JYrgdAHCksrhiunPSUeWG/2dPgtJ1e2LT0H+89G63da1NPMutm8z7JcqSVEQkol1/cpwq3+0jwTDFFB01anEfIgC0oP03PG77i1rHSGdoPsHUdTqgcbNQZQ2nORaDFip+VzOYqFiaBuHItsyuAwDCgxUsX417MT/8G4IDeFrSTyRTq5rANjyjSCNC7ZHasp7iR5tqKyPNcDVkcnJsmUiRF+GkCQoyoNOdduZ5ATPT8nLU811woBvBgu/YMhzvuTAA/y5cIEHNJd7pLAB+j9t1nckCcpywFNGfaBCliCUCJXgIO10bjeTeHW4H0VnFzUrDUThETu3/w4umTbOsIkcIgh5+uIPTzW+zl588ZRDDc+FmQM3AczuYDrFo05V0cfRQFTP+wlnfLclNBjadzFeEr/c7LYF+Z6MUYUaeVeDgI/Z2NCVzQL9bIPI0oK370I/9f7R8ziV6srhfwfASghBPwUi977zkutX7HdDv+bnQUMix1FvPUlyJEPMMEqgkIacuKw5Y4owgeQiR7z9uq+vzoPug8wyPIsSIb/aet+8yCg9O3RzYbz0ZNSQGduCdU5T3LLwY1oEnS8oRfbahEnL+uTAzh3h9OoFW2rtm2M8sL1UMHQRhTnqQIH2+DmwdjJXmgg3glfajakzM+4gGHd084pUr6Su8o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</si>
</sst>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新細明體"/>
      <family val="2"/>
      <charset val="136"/>
      <scheme val="minor"/>
    </font>
    <font>
      <sz val="9"/>
      <name val="新細明體"/>
      <family val="2"/>
      <charset val="136"/>
      <scheme val="minor"/>
    </font>
    <font>
      <sz val="12"/>
      <color rgb="FF9C0006"/>
      <name val="新細明體"/>
      <family val="2"/>
      <charset val="136"/>
      <scheme val="minor"/>
    </font>
    <font>
      <sz val="18"/>
      <color theme="1"/>
      <name val="Microsoft YaHei"/>
      <family val="2"/>
      <charset val="134"/>
    </font>
    <font>
      <b/>
      <sz val="18"/>
      <color theme="0"/>
      <name val="Microsoft YaHei"/>
      <family val="2"/>
      <charset val="134"/>
    </font>
    <font>
      <b/>
      <sz val="12"/>
      <color rgb="FF9C0006"/>
      <name val="Microsoft YaHei"/>
      <family val="2"/>
      <charset val="134"/>
    </font>
    <font>
      <sz val="12"/>
      <color theme="0"/>
      <name val="新細明體"/>
      <family val="2"/>
      <charset val="136"/>
      <scheme val="minor"/>
    </font>
    <font>
      <sz val="7"/>
      <color rgb="FF222222"/>
      <name val="Consolas"/>
      <family val="3"/>
    </font>
    <font>
      <u/>
      <sz val="12"/>
      <color theme="10"/>
      <name val="新細明體"/>
      <family val="2"/>
      <charset val="136"/>
      <scheme val="minor"/>
    </font>
    <font>
      <sz val="11"/>
      <color rgb="FF333333"/>
      <name val="Arial"/>
      <family val="2"/>
    </font>
    <font>
      <sz val="9"/>
      <name val="Microsoft JhengHei UI"/>
      <family val="2"/>
      <charset val="136"/>
    </font>
  </fonts>
  <fills count="5">
    <fill>
      <patternFill patternType="none"/>
    </fill>
    <fill>
      <patternFill patternType="gray125"/>
    </fill>
    <fill>
      <patternFill patternType="solid">
        <fgColor rgb="FFFFC7CE"/>
      </patternFill>
    </fill>
    <fill>
      <patternFill patternType="solid">
        <fgColor theme="1"/>
        <bgColor indexed="64"/>
      </patternFill>
    </fill>
    <fill>
      <patternFill patternType="solid">
        <fgColor rgb="FFFFFF00"/>
        <bgColor indexed="64"/>
      </patternFill>
    </fill>
  </fills>
  <borders count="2">
    <border>
      <left/>
      <right/>
      <top/>
      <bottom/>
      <diagonal/>
    </border>
    <border>
      <left/>
      <right/>
      <top/>
      <bottom style="medium">
        <color rgb="FFE0E0E0"/>
      </bottom>
      <diagonal/>
    </border>
  </borders>
  <cellStyleXfs count="3">
    <xf numFmtId="0" fontId="0" fillId="0" borderId="0">
      <alignment vertical="center"/>
    </xf>
    <xf numFmtId="0" fontId="2" fillId="2" borderId="0" applyNumberFormat="0" applyBorder="0" applyAlignment="0" applyProtection="0">
      <alignment vertical="center"/>
    </xf>
    <xf numFmtId="0" fontId="8" fillId="0" borderId="0" applyNumberFormat="0" applyFill="0" applyBorder="0" applyAlignment="0" applyProtection="0">
      <alignment vertical="center"/>
    </xf>
  </cellStyleXfs>
  <cellXfs count="20">
    <xf numFmtId="0" fontId="0" fillId="0" borderId="0" xfId="0">
      <alignment vertical="center"/>
    </xf>
    <xf numFmtId="0" fontId="0" fillId="0" borderId="0" xfId="0" applyAlignment="1">
      <alignment vertical="center" wrapText="1"/>
    </xf>
    <xf numFmtId="0" fontId="0" fillId="3" borderId="0" xfId="0" applyFill="1">
      <alignment vertical="center"/>
    </xf>
    <xf numFmtId="0" fontId="0" fillId="4" borderId="0" xfId="0" applyFill="1">
      <alignment vertical="center"/>
    </xf>
    <xf numFmtId="0" fontId="6" fillId="0" borderId="0" xfId="0" applyFont="1">
      <alignment vertical="center"/>
    </xf>
    <xf numFmtId="0" fontId="7" fillId="0" borderId="1" xfId="0" applyFont="1" applyBorder="1" applyAlignment="1">
      <alignment horizontal="left" vertical="center" indent="1"/>
    </xf>
    <xf numFmtId="0" fontId="0" fillId="0" borderId="0" xfId="0" applyAlignment="1">
      <alignment horizontal="center" vertical="center"/>
    </xf>
    <xf numFmtId="0" fontId="8" fillId="0" borderId="0" xfId="2" applyAlignment="1">
      <alignment horizontal="center" vertical="center"/>
    </xf>
    <xf numFmtId="0" fontId="8" fillId="0" borderId="0" xfId="2">
      <alignment vertical="center"/>
    </xf>
    <xf numFmtId="0" fontId="8" fillId="0" borderId="0" xfId="2" applyAlignment="1">
      <alignment vertical="center"/>
    </xf>
    <xf numFmtId="3" fontId="9" fillId="0" borderId="0" xfId="0" quotePrefix="1" applyNumberFormat="1" applyFont="1">
      <alignment vertical="center"/>
    </xf>
    <xf numFmtId="10" fontId="0" fillId="0" borderId="0" xfId="0" applyNumberFormat="1">
      <alignment vertical="center"/>
    </xf>
    <xf numFmtId="3" fontId="0" fillId="0" borderId="0" xfId="0" applyNumberFormat="1">
      <alignment vertical="center"/>
    </xf>
    <xf numFmtId="0" fontId="0" fillId="0" borderId="0" xfId="0" applyAlignment="1">
      <alignment horizontal="center" vertical="center" wrapText="1"/>
    </xf>
    <xf numFmtId="0" fontId="0" fillId="0" borderId="0" xfId="0" applyAlignment="1">
      <alignment horizontal="center" vertical="center"/>
    </xf>
    <xf numFmtId="0" fontId="4" fillId="3" borderId="0" xfId="1" applyFont="1" applyFill="1" applyAlignment="1">
      <alignment horizontal="center" vertical="center"/>
    </xf>
    <xf numFmtId="0" fontId="5" fillId="3" borderId="0" xfId="1" applyFont="1" applyFill="1" applyAlignment="1">
      <alignment horizontal="center" vertical="center"/>
    </xf>
    <xf numFmtId="0" fontId="3" fillId="0" borderId="0" xfId="0" applyFont="1" applyAlignment="1">
      <alignment horizontal="center" vertical="center"/>
    </xf>
    <xf numFmtId="49" fontId="0" fillId="0" borderId="0" xfId="0" applyNumberFormat="1" applyAlignment="1">
      <alignment horizontal="center" vertical="center" wrapText="1"/>
    </xf>
    <xf numFmtId="0" fontId="0" fillId="0" borderId="0" xfId="0" applyAlignment="1">
      <alignment vertical="center"/>
    </xf>
  </cellXfs>
  <cellStyles count="3">
    <cellStyle name="一般" xfId="0" builtinId="0"/>
    <cellStyle name="超連結" xfId="2" builtinId="8"/>
    <cellStyle name="壞" xfId="1" builtinId="27"/>
  </cellStyles>
  <dxfs count="5">
    <dxf>
      <font>
        <b/>
        <i val="0"/>
        <color auto="1"/>
      </font>
      <fill>
        <patternFill>
          <bgColor rgb="FF92D050"/>
        </patternFill>
      </fill>
    </dxf>
    <dxf>
      <fill>
        <patternFill>
          <bgColor rgb="FF92D050"/>
        </patternFill>
      </fill>
    </dxf>
    <dxf>
      <fill>
        <patternFill>
          <bgColor theme="5" tint="0.39994506668294322"/>
        </patternFill>
      </fill>
    </dxf>
    <dxf>
      <font>
        <b/>
        <i val="0"/>
        <color auto="1"/>
      </font>
      <fill>
        <patternFill>
          <bgColor rgb="FF92D050"/>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2562225</xdr:colOff>
          <xdr:row>0</xdr:row>
          <xdr:rowOff>0</xdr:rowOff>
        </xdr:from>
        <xdr:to>
          <xdr:col>2</xdr:col>
          <xdr:colOff>3581400</xdr:colOff>
          <xdr:row>2</xdr:row>
          <xdr:rowOff>0</xdr:rowOff>
        </xdr:to>
        <xdr:sp macro="" textlink="">
          <xdr:nvSpPr>
            <xdr:cNvPr id="1036" name="CommandButton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552450</xdr:colOff>
          <xdr:row>0</xdr:row>
          <xdr:rowOff>0</xdr:rowOff>
        </xdr:from>
        <xdr:to>
          <xdr:col>14</xdr:col>
          <xdr:colOff>400050</xdr:colOff>
          <xdr:row>2</xdr:row>
          <xdr:rowOff>95250</xdr:rowOff>
        </xdr:to>
        <xdr:sp macro="" textlink="">
          <xdr:nvSpPr>
            <xdr:cNvPr id="1180" name="CommandButton2"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11</xdr:row>
          <xdr:rowOff>19050</xdr:rowOff>
        </xdr:from>
        <xdr:to>
          <xdr:col>2</xdr:col>
          <xdr:colOff>1314450</xdr:colOff>
          <xdr:row>12</xdr:row>
          <xdr:rowOff>200025</xdr:rowOff>
        </xdr:to>
        <xdr:sp macro="" textlink="">
          <xdr:nvSpPr>
            <xdr:cNvPr id="1200" name="CommandButton3"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0</xdr:row>
          <xdr:rowOff>0</xdr:rowOff>
        </xdr:from>
        <xdr:to>
          <xdr:col>21</xdr:col>
          <xdr:colOff>381000</xdr:colOff>
          <xdr:row>2</xdr:row>
          <xdr:rowOff>95250</xdr:rowOff>
        </xdr:to>
        <xdr:sp macro="" textlink="">
          <xdr:nvSpPr>
            <xdr:cNvPr id="1373" name="CommandButton4"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0</xdr:row>
          <xdr:rowOff>0</xdr:rowOff>
        </xdr:from>
        <xdr:to>
          <xdr:col>28</xdr:col>
          <xdr:colOff>142875</xdr:colOff>
          <xdr:row>2</xdr:row>
          <xdr:rowOff>95250</xdr:rowOff>
        </xdr:to>
        <xdr:sp macro="" textlink="">
          <xdr:nvSpPr>
            <xdr:cNvPr id="1391" name="CommandButton5"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0</xdr:colOff>
          <xdr:row>16</xdr:row>
          <xdr:rowOff>28575</xdr:rowOff>
        </xdr:to>
        <xdr:sp macro="" textlink="">
          <xdr:nvSpPr>
            <xdr:cNvPr id="1480" name="Accept" hidden="1">
              <a:extLst>
                <a:ext uri="{63B3BB69-23CF-44E3-9099-C40C66FF867C}">
                  <a14:compatExt spid="_x0000_s1480"/>
                </a:ext>
                <a:ext uri="{FF2B5EF4-FFF2-40B4-BE49-F238E27FC236}">
                  <a16:creationId xmlns:a16="http://schemas.microsoft.com/office/drawing/2014/main" id="{C85B87D3-787F-4B3A-9798-EBB31E547CB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1</xdr:col>
          <xdr:colOff>0</xdr:colOff>
          <xdr:row>17</xdr:row>
          <xdr:rowOff>28575</xdr:rowOff>
        </xdr:to>
        <xdr:sp macro="" textlink="">
          <xdr:nvSpPr>
            <xdr:cNvPr id="1481" name="Accept-Language" hidden="1">
              <a:extLst>
                <a:ext uri="{63B3BB69-23CF-44E3-9099-C40C66FF867C}">
                  <a14:compatExt spid="_x0000_s1481"/>
                </a:ext>
                <a:ext uri="{FF2B5EF4-FFF2-40B4-BE49-F238E27FC236}">
                  <a16:creationId xmlns:a16="http://schemas.microsoft.com/office/drawing/2014/main" id="{C310CBC8-7F68-4830-AE77-A853A909AA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0</xdr:colOff>
          <xdr:row>18</xdr:row>
          <xdr:rowOff>28575</xdr:rowOff>
        </xdr:to>
        <xdr:sp macro="" textlink="">
          <xdr:nvSpPr>
            <xdr:cNvPr id="1482" name="Cache-Control" hidden="1">
              <a:extLst>
                <a:ext uri="{63B3BB69-23CF-44E3-9099-C40C66FF867C}">
                  <a14:compatExt spid="_x0000_s1482"/>
                </a:ext>
                <a:ext uri="{FF2B5EF4-FFF2-40B4-BE49-F238E27FC236}">
                  <a16:creationId xmlns:a16="http://schemas.microsoft.com/office/drawing/2014/main" id="{C04D7EB9-EF3A-4891-84FB-7582AD71ED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1</xdr:col>
          <xdr:colOff>0</xdr:colOff>
          <xdr:row>19</xdr:row>
          <xdr:rowOff>28575</xdr:rowOff>
        </xdr:to>
        <xdr:sp macro="" textlink="">
          <xdr:nvSpPr>
            <xdr:cNvPr id="1483" name="Connection" hidden="1">
              <a:extLst>
                <a:ext uri="{63B3BB69-23CF-44E3-9099-C40C66FF867C}">
                  <a14:compatExt spid="_x0000_s1483"/>
                </a:ext>
                <a:ext uri="{FF2B5EF4-FFF2-40B4-BE49-F238E27FC236}">
                  <a16:creationId xmlns:a16="http://schemas.microsoft.com/office/drawing/2014/main" id="{320203B4-D4CD-40E6-81CF-B0045F4D3FB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0</xdr:colOff>
          <xdr:row>20</xdr:row>
          <xdr:rowOff>28575</xdr:rowOff>
        </xdr:to>
        <xdr:sp macro="" textlink="">
          <xdr:nvSpPr>
            <xdr:cNvPr id="1484" name="Content-Length" hidden="1">
              <a:extLst>
                <a:ext uri="{63B3BB69-23CF-44E3-9099-C40C66FF867C}">
                  <a14:compatExt spid="_x0000_s1484"/>
                </a:ext>
                <a:ext uri="{FF2B5EF4-FFF2-40B4-BE49-F238E27FC236}">
                  <a16:creationId xmlns:a16="http://schemas.microsoft.com/office/drawing/2014/main" id="{92697933-79DA-44E5-A1B8-348383E1C7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1</xdr:col>
          <xdr:colOff>0</xdr:colOff>
          <xdr:row>21</xdr:row>
          <xdr:rowOff>28575</xdr:rowOff>
        </xdr:to>
        <xdr:sp macro="" textlink="">
          <xdr:nvSpPr>
            <xdr:cNvPr id="1485" name="Content-Type" hidden="1">
              <a:extLst>
                <a:ext uri="{63B3BB69-23CF-44E3-9099-C40C66FF867C}">
                  <a14:compatExt spid="_x0000_s1485"/>
                </a:ext>
                <a:ext uri="{FF2B5EF4-FFF2-40B4-BE49-F238E27FC236}">
                  <a16:creationId xmlns:a16="http://schemas.microsoft.com/office/drawing/2014/main" id="{598982D1-1FBB-4EC4-9522-6054A7FDA3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0</xdr:colOff>
          <xdr:row>22</xdr:row>
          <xdr:rowOff>28575</xdr:rowOff>
        </xdr:to>
        <xdr:sp macro="" textlink="">
          <xdr:nvSpPr>
            <xdr:cNvPr id="1486" name="Cookie" hidden="1">
              <a:extLst>
                <a:ext uri="{63B3BB69-23CF-44E3-9099-C40C66FF867C}">
                  <a14:compatExt spid="_x0000_s1486"/>
                </a:ext>
                <a:ext uri="{FF2B5EF4-FFF2-40B4-BE49-F238E27FC236}">
                  <a16:creationId xmlns:a16="http://schemas.microsoft.com/office/drawing/2014/main" id="{50A317E8-8145-4588-9100-E55E93CFE8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0</xdr:colOff>
          <xdr:row>23</xdr:row>
          <xdr:rowOff>28575</xdr:rowOff>
        </xdr:to>
        <xdr:sp macro="" textlink="">
          <xdr:nvSpPr>
            <xdr:cNvPr id="1487" name="Host" hidden="1">
              <a:extLst>
                <a:ext uri="{63B3BB69-23CF-44E3-9099-C40C66FF867C}">
                  <a14:compatExt spid="_x0000_s1487"/>
                </a:ext>
                <a:ext uri="{FF2B5EF4-FFF2-40B4-BE49-F238E27FC236}">
                  <a16:creationId xmlns:a16="http://schemas.microsoft.com/office/drawing/2014/main" id="{D197663D-4100-43C7-B519-DD94E91908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0</xdr:colOff>
          <xdr:row>24</xdr:row>
          <xdr:rowOff>28575</xdr:rowOff>
        </xdr:to>
        <xdr:sp macro="" textlink="">
          <xdr:nvSpPr>
            <xdr:cNvPr id="1488" name="Origin" hidden="1">
              <a:extLst>
                <a:ext uri="{63B3BB69-23CF-44E3-9099-C40C66FF867C}">
                  <a14:compatExt spid="_x0000_s1488"/>
                </a:ext>
                <a:ext uri="{FF2B5EF4-FFF2-40B4-BE49-F238E27FC236}">
                  <a16:creationId xmlns:a16="http://schemas.microsoft.com/office/drawing/2014/main" id="{0D58D5DC-255F-4EF5-97FF-C506470C36F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xdr:col>
          <xdr:colOff>0</xdr:colOff>
          <xdr:row>25</xdr:row>
          <xdr:rowOff>28575</xdr:rowOff>
        </xdr:to>
        <xdr:sp macro="" textlink="">
          <xdr:nvSpPr>
            <xdr:cNvPr id="1489" name="Referer" hidden="1">
              <a:extLst>
                <a:ext uri="{63B3BB69-23CF-44E3-9099-C40C66FF867C}">
                  <a14:compatExt spid="_x0000_s1489"/>
                </a:ext>
                <a:ext uri="{FF2B5EF4-FFF2-40B4-BE49-F238E27FC236}">
                  <a16:creationId xmlns:a16="http://schemas.microsoft.com/office/drawing/2014/main" id="{2FF8536A-12CA-4715-95D9-7BE66A5B6A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0</xdr:colOff>
          <xdr:row>26</xdr:row>
          <xdr:rowOff>28575</xdr:rowOff>
        </xdr:to>
        <xdr:sp macro="" textlink="">
          <xdr:nvSpPr>
            <xdr:cNvPr id="1490" name="Upgrade-Insecure-Requests" hidden="1">
              <a:extLst>
                <a:ext uri="{63B3BB69-23CF-44E3-9099-C40C66FF867C}">
                  <a14:compatExt spid="_x0000_s1490"/>
                </a:ext>
                <a:ext uri="{FF2B5EF4-FFF2-40B4-BE49-F238E27FC236}">
                  <a16:creationId xmlns:a16="http://schemas.microsoft.com/office/drawing/2014/main" id="{F231D68F-B22D-49F9-B414-80AB6F3F89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0</xdr:colOff>
          <xdr:row>27</xdr:row>
          <xdr:rowOff>28575</xdr:rowOff>
        </xdr:to>
        <xdr:sp macro="" textlink="">
          <xdr:nvSpPr>
            <xdr:cNvPr id="1491" name="User-Agent" hidden="1">
              <a:extLst>
                <a:ext uri="{63B3BB69-23CF-44E3-9099-C40C66FF867C}">
                  <a14:compatExt spid="_x0000_s1491"/>
                </a:ext>
                <a:ext uri="{FF2B5EF4-FFF2-40B4-BE49-F238E27FC236}">
                  <a16:creationId xmlns:a16="http://schemas.microsoft.com/office/drawing/2014/main" id="{346E201A-ACF8-4B01-8CAD-1ACE853854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5"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ctrlProp" Target="../ctrlProps/ctrlProp2.xml"/><Relationship Id="rId23" Type="http://schemas.openxmlformats.org/officeDocument/2006/relationships/ctrlProp" Target="../ctrlProps/ctrlProp10.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B1:AD200"/>
  <sheetViews>
    <sheetView tabSelected="1" zoomScale="75" zoomScaleNormal="75" workbookViewId="0">
      <selection activeCell="G4" sqref="G4:H36"/>
    </sheetView>
  </sheetViews>
  <sheetFormatPr defaultRowHeight="16.5" x14ac:dyDescent="0.25"/>
  <cols>
    <col min="2" max="2" width="29.125" customWidth="1"/>
    <col min="3" max="3" width="49.625" bestFit="1" customWidth="1"/>
    <col min="4" max="4" width="10.5" bestFit="1" customWidth="1"/>
    <col min="5" max="5" width="1.75" style="2" customWidth="1"/>
    <col min="6" max="6" width="2.5" customWidth="1"/>
    <col min="7" max="7" width="18.875" customWidth="1"/>
    <col min="8" max="8" width="42.375" customWidth="1"/>
    <col min="9" max="9" width="2.5" customWidth="1"/>
    <col min="10" max="10" width="1.75" style="2" customWidth="1"/>
    <col min="11" max="11" width="3.75" customWidth="1"/>
    <col min="13" max="13" width="10.5" bestFit="1" customWidth="1"/>
    <col min="17" max="17" width="3.75" customWidth="1"/>
    <col min="18" max="18" width="1.75" style="2" customWidth="1"/>
    <col min="21" max="21" width="13.125" bestFit="1" customWidth="1"/>
    <col min="22" max="22" width="15.625" bestFit="1" customWidth="1"/>
    <col min="23" max="24" width="15.625" customWidth="1"/>
  </cols>
  <sheetData>
    <row r="1" spans="2:30" ht="16.149999999999999" customHeight="1" x14ac:dyDescent="0.25">
      <c r="B1" s="15" t="s">
        <v>16</v>
      </c>
      <c r="C1" s="16"/>
      <c r="G1" s="17" t="s">
        <v>6</v>
      </c>
      <c r="H1" s="17" t="s">
        <v>216</v>
      </c>
    </row>
    <row r="2" spans="2:30" ht="16.149999999999999" customHeight="1" x14ac:dyDescent="0.25">
      <c r="B2" s="16"/>
      <c r="C2" s="16"/>
      <c r="G2" s="17"/>
      <c r="H2" s="17"/>
    </row>
    <row r="4" spans="2:30" ht="16.149999999999999" customHeight="1" x14ac:dyDescent="0.25">
      <c r="B4" s="3" t="s">
        <v>4</v>
      </c>
      <c r="C4" s="3" t="s">
        <v>201</v>
      </c>
      <c r="G4" s="13" t="s">
        <v>239</v>
      </c>
      <c r="H4" s="13"/>
      <c r="L4" s="18" t="s">
        <v>200</v>
      </c>
      <c r="M4" s="18"/>
      <c r="N4" s="18"/>
      <c r="O4" s="18"/>
      <c r="P4" s="18"/>
      <c r="T4" s="14" t="s">
        <v>11</v>
      </c>
      <c r="U4" s="14"/>
      <c r="V4" s="7" t="s">
        <v>41</v>
      </c>
      <c r="W4" s="7"/>
      <c r="X4" s="7"/>
      <c r="AA4" t="s">
        <v>14</v>
      </c>
      <c r="AB4" s="3">
        <v>20</v>
      </c>
      <c r="AC4">
        <f ca="1">INDIRECT("U"&amp;9+AB4)</f>
        <v>17</v>
      </c>
      <c r="AD4">
        <f ca="1">INDIRECT("V"&amp;9+AB4)</f>
        <v>21</v>
      </c>
    </row>
    <row r="5" spans="2:30" x14ac:dyDescent="0.25">
      <c r="B5" s="10" t="s">
        <v>215</v>
      </c>
      <c r="C5" t="s">
        <v>238</v>
      </c>
      <c r="E5" s="2">
        <v>0</v>
      </c>
      <c r="G5" s="13"/>
      <c r="H5" s="13"/>
      <c r="J5" s="2">
        <v>0</v>
      </c>
      <c r="L5" s="18"/>
      <c r="M5" s="18"/>
      <c r="N5" s="18"/>
      <c r="O5" s="18"/>
      <c r="P5" s="18"/>
      <c r="T5" s="14" t="s">
        <v>12</v>
      </c>
      <c r="U5" s="14"/>
      <c r="V5" s="6">
        <f>VLOOKUP(V4,$T$9:$X$1000,4,0)</f>
        <v>42</v>
      </c>
      <c r="W5" s="6"/>
      <c r="X5" s="6"/>
    </row>
    <row r="6" spans="2:30" x14ac:dyDescent="0.25">
      <c r="E6" s="2">
        <v>0</v>
      </c>
      <c r="G6" s="13"/>
      <c r="H6" s="13"/>
      <c r="J6" s="2">
        <v>0</v>
      </c>
      <c r="L6" s="18"/>
      <c r="M6" s="18"/>
      <c r="N6" s="18"/>
      <c r="O6" s="18"/>
      <c r="P6" s="18"/>
      <c r="T6" s="14" t="s">
        <v>13</v>
      </c>
      <c r="U6" s="14"/>
      <c r="V6" s="6" t="str">
        <f>VLOOKUP(V4,$T$9:$X$1000,5,0)</f>
        <v>是</v>
      </c>
      <c r="W6" s="6"/>
      <c r="X6" s="6"/>
      <c r="Z6" s="13" t="s">
        <v>212</v>
      </c>
      <c r="AA6" s="14"/>
      <c r="AB6" s="14"/>
      <c r="AC6" s="14"/>
    </row>
    <row r="7" spans="2:30" x14ac:dyDescent="0.25">
      <c r="B7" s="3" t="s">
        <v>1</v>
      </c>
      <c r="C7" s="3" t="s">
        <v>2</v>
      </c>
      <c r="E7" s="2">
        <v>0</v>
      </c>
      <c r="G7" s="13"/>
      <c r="H7" s="13"/>
      <c r="J7" s="2">
        <v>0</v>
      </c>
      <c r="L7" s="18"/>
      <c r="M7" s="18"/>
      <c r="N7" s="18"/>
      <c r="O7" s="18"/>
      <c r="P7" s="18"/>
      <c r="Z7" s="14"/>
      <c r="AA7" s="14"/>
      <c r="AB7" s="14"/>
      <c r="AC7" s="14"/>
    </row>
    <row r="8" spans="2:30" x14ac:dyDescent="0.25">
      <c r="B8" t="s">
        <v>214</v>
      </c>
      <c r="C8" s="9" t="s">
        <v>213</v>
      </c>
      <c r="E8" s="2">
        <v>0</v>
      </c>
      <c r="G8" s="13"/>
      <c r="H8" s="13"/>
      <c r="J8" s="2">
        <v>0</v>
      </c>
      <c r="L8" s="18"/>
      <c r="M8" s="18"/>
      <c r="N8" s="18"/>
      <c r="O8" s="18"/>
      <c r="P8" s="18"/>
      <c r="T8" t="s">
        <v>8</v>
      </c>
      <c r="U8" t="s">
        <v>18</v>
      </c>
      <c r="V8" t="s">
        <v>19</v>
      </c>
      <c r="W8" t="s">
        <v>9</v>
      </c>
      <c r="X8" t="s">
        <v>10</v>
      </c>
      <c r="Z8" s="14"/>
      <c r="AA8" s="14"/>
      <c r="AB8" s="14"/>
      <c r="AC8" s="14"/>
    </row>
    <row r="9" spans="2:30" x14ac:dyDescent="0.25">
      <c r="E9" s="2">
        <v>0</v>
      </c>
      <c r="G9" s="13"/>
      <c r="H9" s="13"/>
      <c r="J9" s="2">
        <v>0</v>
      </c>
      <c r="L9" s="18"/>
      <c r="M9" s="18"/>
      <c r="N9" s="18"/>
      <c r="O9" s="18"/>
      <c r="P9" s="18"/>
      <c r="T9" s="8" t="s">
        <v>15</v>
      </c>
      <c r="U9">
        <v>12</v>
      </c>
      <c r="V9">
        <v>12</v>
      </c>
      <c r="W9">
        <v>1</v>
      </c>
      <c r="X9" t="s">
        <v>21</v>
      </c>
      <c r="Z9" s="14"/>
      <c r="AA9" s="14"/>
      <c r="AB9" s="14"/>
      <c r="AC9" s="14"/>
    </row>
    <row r="10" spans="2:30" x14ac:dyDescent="0.25">
      <c r="B10" s="3" t="s">
        <v>5</v>
      </c>
      <c r="C10" s="3" t="s">
        <v>3</v>
      </c>
      <c r="E10" s="2">
        <v>0</v>
      </c>
      <c r="G10" s="13"/>
      <c r="H10" s="13"/>
      <c r="J10" s="2">
        <v>0</v>
      </c>
      <c r="L10" s="18"/>
      <c r="M10" s="18"/>
      <c r="N10" s="18"/>
      <c r="O10" s="18"/>
      <c r="P10" s="18"/>
      <c r="T10" s="8" t="s">
        <v>20</v>
      </c>
      <c r="U10">
        <v>12</v>
      </c>
      <c r="V10">
        <v>15</v>
      </c>
      <c r="W10">
        <v>4</v>
      </c>
      <c r="X10" t="s">
        <v>21</v>
      </c>
      <c r="Z10" s="14"/>
      <c r="AA10" s="14"/>
      <c r="AB10" s="14"/>
      <c r="AC10" s="14"/>
    </row>
    <row r="11" spans="2:30" ht="16.149999999999999" customHeight="1" x14ac:dyDescent="0.25">
      <c r="B11" t="s">
        <v>57</v>
      </c>
      <c r="C11" t="s">
        <v>234</v>
      </c>
      <c r="E11" s="2">
        <v>0</v>
      </c>
      <c r="G11" s="13"/>
      <c r="H11" s="13"/>
      <c r="J11" s="2">
        <v>0</v>
      </c>
      <c r="L11" s="18"/>
      <c r="M11" s="18"/>
      <c r="N11" s="18"/>
      <c r="O11" s="18"/>
      <c r="P11" s="18"/>
      <c r="T11" s="8" t="s">
        <v>22</v>
      </c>
      <c r="U11">
        <v>12</v>
      </c>
      <c r="V11">
        <v>15</v>
      </c>
      <c r="W11">
        <v>3</v>
      </c>
      <c r="X11" t="s">
        <v>21</v>
      </c>
      <c r="Z11" s="14"/>
      <c r="AA11" s="14"/>
      <c r="AB11" s="14"/>
      <c r="AC11" s="14"/>
    </row>
    <row r="12" spans="2:30" x14ac:dyDescent="0.25">
      <c r="C12" t="s">
        <v>235</v>
      </c>
      <c r="E12" s="2">
        <v>0</v>
      </c>
      <c r="G12" s="13"/>
      <c r="H12" s="13"/>
      <c r="J12" s="2">
        <v>0</v>
      </c>
      <c r="L12" s="18"/>
      <c r="M12" s="18"/>
      <c r="N12" s="18"/>
      <c r="O12" s="18"/>
      <c r="P12" s="18"/>
      <c r="T12" s="8" t="s">
        <v>23</v>
      </c>
      <c r="U12">
        <v>12</v>
      </c>
      <c r="V12">
        <v>16</v>
      </c>
      <c r="W12">
        <v>5</v>
      </c>
      <c r="X12" t="s">
        <v>21</v>
      </c>
      <c r="Z12" s="14"/>
      <c r="AA12" s="14"/>
      <c r="AB12" s="14"/>
      <c r="AC12" s="14"/>
    </row>
    <row r="13" spans="2:30" x14ac:dyDescent="0.25">
      <c r="B13" s="3" t="s">
        <v>0</v>
      </c>
      <c r="C13" t="s">
        <v>236</v>
      </c>
      <c r="E13" s="2">
        <v>0</v>
      </c>
      <c r="G13" s="13"/>
      <c r="H13" s="13"/>
      <c r="J13" s="2">
        <v>0</v>
      </c>
      <c r="L13" s="18"/>
      <c r="M13" s="18"/>
      <c r="N13" s="18"/>
      <c r="O13" s="18"/>
      <c r="P13" s="18"/>
      <c r="T13" s="8" t="s">
        <v>24</v>
      </c>
      <c r="U13">
        <v>12</v>
      </c>
      <c r="V13">
        <v>16</v>
      </c>
      <c r="W13">
        <v>1</v>
      </c>
      <c r="X13" t="s">
        <v>21</v>
      </c>
      <c r="Z13" s="14"/>
      <c r="AA13" s="14"/>
      <c r="AB13" s="14"/>
      <c r="AC13" s="14"/>
    </row>
    <row r="14" spans="2:30" x14ac:dyDescent="0.25">
      <c r="B14" s="19" t="s">
        <v>217</v>
      </c>
      <c r="C14" t="s">
        <v>237</v>
      </c>
      <c r="E14" s="2">
        <v>0</v>
      </c>
      <c r="G14" s="13"/>
      <c r="H14" s="13"/>
      <c r="J14" s="2">
        <v>0</v>
      </c>
      <c r="L14" s="18"/>
      <c r="M14" s="18"/>
      <c r="N14" s="18"/>
      <c r="O14" s="18"/>
      <c r="P14" s="18"/>
      <c r="T14" s="8" t="s">
        <v>25</v>
      </c>
      <c r="U14">
        <v>15</v>
      </c>
      <c r="V14">
        <v>16</v>
      </c>
      <c r="W14">
        <v>4</v>
      </c>
      <c r="X14" t="s">
        <v>21</v>
      </c>
      <c r="Z14" s="14"/>
      <c r="AA14" s="14"/>
      <c r="AB14" s="14"/>
      <c r="AC14" s="14"/>
    </row>
    <row r="15" spans="2:30" x14ac:dyDescent="0.25">
      <c r="E15" s="2">
        <v>0</v>
      </c>
      <c r="G15" s="13"/>
      <c r="H15" s="13"/>
      <c r="J15" s="2">
        <v>0</v>
      </c>
      <c r="L15" s="18"/>
      <c r="M15" s="18"/>
      <c r="N15" s="18"/>
      <c r="O15" s="18"/>
      <c r="P15" s="18"/>
      <c r="T15" s="8" t="s">
        <v>26</v>
      </c>
      <c r="U15">
        <v>14</v>
      </c>
      <c r="V15">
        <v>16</v>
      </c>
      <c r="W15">
        <v>3</v>
      </c>
      <c r="X15" t="s">
        <v>21</v>
      </c>
      <c r="Z15" s="14"/>
      <c r="AA15" s="14"/>
      <c r="AB15" s="14"/>
      <c r="AC15" s="14"/>
    </row>
    <row r="16" spans="2:30" x14ac:dyDescent="0.25">
      <c r="B16" t="s">
        <v>53</v>
      </c>
      <c r="C16" t="s">
        <v>49</v>
      </c>
      <c r="E16" s="2">
        <v>0</v>
      </c>
      <c r="G16" s="13"/>
      <c r="H16" s="13"/>
      <c r="J16" s="2">
        <v>0</v>
      </c>
      <c r="L16" s="18"/>
      <c r="M16" s="18"/>
      <c r="N16" s="18"/>
      <c r="O16" s="18"/>
      <c r="P16" s="18"/>
      <c r="T16" s="8" t="s">
        <v>27</v>
      </c>
      <c r="U16">
        <v>12</v>
      </c>
      <c r="V16">
        <v>16</v>
      </c>
      <c r="W16">
        <v>3</v>
      </c>
      <c r="X16" t="s">
        <v>17</v>
      </c>
      <c r="Z16" s="14"/>
      <c r="AA16" s="14"/>
      <c r="AB16" s="14"/>
      <c r="AC16" s="14"/>
    </row>
    <row r="17" spans="2:29" x14ac:dyDescent="0.25">
      <c r="B17" t="s">
        <v>54</v>
      </c>
      <c r="C17" t="s">
        <v>50</v>
      </c>
      <c r="E17" s="2">
        <v>0</v>
      </c>
      <c r="G17" s="13"/>
      <c r="H17" s="13"/>
      <c r="J17" s="2">
        <v>0</v>
      </c>
      <c r="L17" s="18"/>
      <c r="M17" s="18"/>
      <c r="N17" s="18"/>
      <c r="O17" s="18"/>
      <c r="P17" s="18"/>
      <c r="T17" s="8" t="s">
        <v>28</v>
      </c>
      <c r="U17">
        <v>12</v>
      </c>
      <c r="V17">
        <v>16</v>
      </c>
      <c r="W17">
        <v>3</v>
      </c>
      <c r="X17" t="s">
        <v>21</v>
      </c>
      <c r="Z17" s="14"/>
      <c r="AA17" s="14"/>
      <c r="AB17" s="14"/>
      <c r="AC17" s="14"/>
    </row>
    <row r="18" spans="2:29" x14ac:dyDescent="0.25">
      <c r="B18" t="s">
        <v>218</v>
      </c>
      <c r="C18" t="s">
        <v>219</v>
      </c>
      <c r="E18" s="2">
        <v>0</v>
      </c>
      <c r="G18" s="13"/>
      <c r="H18" s="13"/>
      <c r="J18" s="2">
        <v>0</v>
      </c>
      <c r="L18" s="18"/>
      <c r="M18" s="18"/>
      <c r="N18" s="18"/>
      <c r="O18" s="18"/>
      <c r="P18" s="18"/>
      <c r="T18" s="8" t="s">
        <v>29</v>
      </c>
      <c r="U18">
        <v>33</v>
      </c>
      <c r="V18">
        <v>16</v>
      </c>
      <c r="W18">
        <v>22</v>
      </c>
      <c r="X18" t="s">
        <v>21</v>
      </c>
      <c r="Z18" s="14"/>
      <c r="AA18" s="14"/>
      <c r="AB18" s="14"/>
      <c r="AC18" s="14"/>
    </row>
    <row r="19" spans="2:29" x14ac:dyDescent="0.25">
      <c r="B19" t="s">
        <v>220</v>
      </c>
      <c r="C19" t="s">
        <v>221</v>
      </c>
      <c r="E19" s="2">
        <v>0</v>
      </c>
      <c r="G19" s="13"/>
      <c r="H19" s="13"/>
      <c r="J19" s="2">
        <v>0</v>
      </c>
      <c r="L19" s="18"/>
      <c r="M19" s="18"/>
      <c r="N19" s="18"/>
      <c r="O19" s="18"/>
      <c r="P19" s="18"/>
      <c r="T19" s="8" t="s">
        <v>30</v>
      </c>
      <c r="U19">
        <v>33</v>
      </c>
      <c r="V19">
        <v>16</v>
      </c>
      <c r="W19">
        <v>22</v>
      </c>
      <c r="X19" t="s">
        <v>21</v>
      </c>
      <c r="Z19" s="14"/>
      <c r="AA19" s="14"/>
      <c r="AB19" s="14"/>
      <c r="AC19" s="14"/>
    </row>
    <row r="20" spans="2:29" x14ac:dyDescent="0.25">
      <c r="B20" s="1" t="s">
        <v>222</v>
      </c>
      <c r="C20" s="1" t="s">
        <v>223</v>
      </c>
      <c r="E20" s="2">
        <v>0</v>
      </c>
      <c r="G20" s="13"/>
      <c r="H20" s="13"/>
      <c r="J20" s="2">
        <v>0</v>
      </c>
      <c r="L20" s="18"/>
      <c r="M20" s="18"/>
      <c r="N20" s="18"/>
      <c r="O20" s="18"/>
      <c r="P20" s="18"/>
      <c r="T20" s="8" t="s">
        <v>31</v>
      </c>
      <c r="U20">
        <v>14</v>
      </c>
      <c r="V20">
        <v>16</v>
      </c>
      <c r="W20">
        <v>3</v>
      </c>
      <c r="X20" t="s">
        <v>21</v>
      </c>
      <c r="Z20" s="14"/>
      <c r="AA20" s="14"/>
      <c r="AB20" s="14"/>
      <c r="AC20" s="14"/>
    </row>
    <row r="21" spans="2:29" x14ac:dyDescent="0.25">
      <c r="B21" t="s">
        <v>224</v>
      </c>
      <c r="C21" t="s">
        <v>225</v>
      </c>
      <c r="E21" s="2">
        <v>0</v>
      </c>
      <c r="G21" s="13"/>
      <c r="H21" s="13"/>
      <c r="J21" s="2">
        <v>0</v>
      </c>
      <c r="L21" s="18"/>
      <c r="M21" s="18"/>
      <c r="N21" s="18"/>
      <c r="O21" s="18"/>
      <c r="P21" s="18"/>
      <c r="T21" s="8" t="s">
        <v>32</v>
      </c>
      <c r="U21">
        <v>12</v>
      </c>
      <c r="V21">
        <v>16</v>
      </c>
      <c r="W21">
        <v>3</v>
      </c>
      <c r="X21" t="s">
        <v>21</v>
      </c>
      <c r="Z21" s="14"/>
      <c r="AA21" s="14"/>
      <c r="AB21" s="14"/>
      <c r="AC21" s="14"/>
    </row>
    <row r="22" spans="2:29" x14ac:dyDescent="0.25">
      <c r="B22" t="s">
        <v>55</v>
      </c>
      <c r="C22" t="s">
        <v>226</v>
      </c>
      <c r="E22" s="2">
        <v>0</v>
      </c>
      <c r="G22" s="13"/>
      <c r="H22" s="13"/>
      <c r="J22" s="2">
        <v>0</v>
      </c>
      <c r="L22" s="18"/>
      <c r="M22" s="18"/>
      <c r="N22" s="18"/>
      <c r="O22" s="18"/>
      <c r="P22" s="18"/>
      <c r="T22" s="8" t="s">
        <v>33</v>
      </c>
      <c r="U22">
        <v>19</v>
      </c>
      <c r="V22">
        <v>19</v>
      </c>
      <c r="W22">
        <v>46</v>
      </c>
      <c r="X22" t="s">
        <v>21</v>
      </c>
      <c r="Z22" s="14"/>
      <c r="AA22" s="14"/>
      <c r="AB22" s="14"/>
      <c r="AC22" s="14"/>
    </row>
    <row r="23" spans="2:29" x14ac:dyDescent="0.25">
      <c r="B23" s="1" t="s">
        <v>227</v>
      </c>
      <c r="C23" t="s">
        <v>228</v>
      </c>
      <c r="E23" s="2">
        <v>0</v>
      </c>
      <c r="G23" s="13"/>
      <c r="H23" s="13"/>
      <c r="J23" s="2">
        <v>0</v>
      </c>
      <c r="L23" s="18"/>
      <c r="M23" s="18"/>
      <c r="N23" s="18"/>
      <c r="O23" s="18"/>
      <c r="P23" s="18"/>
      <c r="T23" s="8" t="s">
        <v>35</v>
      </c>
      <c r="U23">
        <v>12</v>
      </c>
      <c r="V23">
        <v>19</v>
      </c>
      <c r="W23">
        <v>5</v>
      </c>
      <c r="X23" t="s">
        <v>21</v>
      </c>
      <c r="Z23" s="14"/>
      <c r="AA23" s="14"/>
      <c r="AB23" s="14"/>
      <c r="AC23" s="14"/>
    </row>
    <row r="24" spans="2:29" x14ac:dyDescent="0.25">
      <c r="B24" t="s">
        <v>229</v>
      </c>
      <c r="C24" t="s">
        <v>230</v>
      </c>
      <c r="E24" s="2">
        <v>0</v>
      </c>
      <c r="G24" s="13"/>
      <c r="H24" s="13"/>
      <c r="J24" s="2">
        <v>0</v>
      </c>
      <c r="L24" s="18"/>
      <c r="M24" s="18"/>
      <c r="N24" s="18"/>
      <c r="O24" s="18"/>
      <c r="P24" s="18"/>
      <c r="T24" s="8" t="s">
        <v>36</v>
      </c>
      <c r="U24">
        <v>14</v>
      </c>
      <c r="V24">
        <v>19</v>
      </c>
      <c r="W24">
        <v>3</v>
      </c>
      <c r="X24" t="s">
        <v>21</v>
      </c>
      <c r="Z24" s="14"/>
      <c r="AA24" s="14"/>
      <c r="AB24" s="14"/>
      <c r="AC24" s="14"/>
    </row>
    <row r="25" spans="2:29" x14ac:dyDescent="0.25">
      <c r="B25" t="s">
        <v>231</v>
      </c>
      <c r="C25" t="s">
        <v>232</v>
      </c>
      <c r="E25" s="2">
        <v>0</v>
      </c>
      <c r="G25" s="13"/>
      <c r="H25" s="13"/>
      <c r="J25" s="2">
        <v>0</v>
      </c>
      <c r="L25" s="18"/>
      <c r="M25" s="18"/>
      <c r="N25" s="18"/>
      <c r="O25" s="18"/>
      <c r="P25" s="18"/>
      <c r="T25" s="8" t="s">
        <v>37</v>
      </c>
      <c r="U25">
        <v>13</v>
      </c>
      <c r="V25">
        <v>19</v>
      </c>
      <c r="W25">
        <v>2</v>
      </c>
      <c r="X25" t="s">
        <v>21</v>
      </c>
      <c r="Z25" s="14"/>
      <c r="AA25" s="14"/>
      <c r="AB25" s="14"/>
      <c r="AC25" s="14"/>
    </row>
    <row r="26" spans="2:29" x14ac:dyDescent="0.25">
      <c r="B26" t="s">
        <v>56</v>
      </c>
      <c r="C26" t="s">
        <v>51</v>
      </c>
      <c r="E26" s="2">
        <v>0</v>
      </c>
      <c r="G26" s="13"/>
      <c r="H26" s="13"/>
      <c r="J26" s="2">
        <v>0</v>
      </c>
      <c r="L26" s="18"/>
      <c r="M26" s="18"/>
      <c r="N26" s="18"/>
      <c r="O26" s="18"/>
      <c r="P26" s="18"/>
      <c r="T26" s="8" t="s">
        <v>38</v>
      </c>
      <c r="U26">
        <v>12</v>
      </c>
      <c r="V26">
        <v>19</v>
      </c>
      <c r="W26">
        <v>3</v>
      </c>
      <c r="X26" t="s">
        <v>21</v>
      </c>
      <c r="Z26" s="14"/>
      <c r="AA26" s="14"/>
      <c r="AB26" s="14"/>
      <c r="AC26" s="14"/>
    </row>
    <row r="27" spans="2:29" x14ac:dyDescent="0.25">
      <c r="B27" s="1" t="s">
        <v>52</v>
      </c>
      <c r="C27" t="s">
        <v>233</v>
      </c>
      <c r="E27" s="2">
        <v>0</v>
      </c>
      <c r="G27" s="13"/>
      <c r="H27" s="13"/>
      <c r="J27" s="2">
        <v>0</v>
      </c>
      <c r="L27" s="18"/>
      <c r="M27" s="18"/>
      <c r="N27" s="18"/>
      <c r="O27" s="18"/>
      <c r="P27" s="18"/>
      <c r="T27" s="8" t="s">
        <v>39</v>
      </c>
      <c r="U27">
        <v>12</v>
      </c>
      <c r="V27">
        <v>19</v>
      </c>
      <c r="W27">
        <v>1</v>
      </c>
      <c r="X27" t="s">
        <v>21</v>
      </c>
      <c r="Z27" s="14"/>
      <c r="AA27" s="14"/>
      <c r="AB27" s="14"/>
      <c r="AC27" s="14"/>
    </row>
    <row r="28" spans="2:29" x14ac:dyDescent="0.25">
      <c r="B28" s="1"/>
      <c r="E28" s="2">
        <v>0</v>
      </c>
      <c r="G28" s="13"/>
      <c r="H28" s="13"/>
      <c r="J28" s="2">
        <v>0</v>
      </c>
      <c r="L28" s="18"/>
      <c r="M28" s="18"/>
      <c r="N28" s="18"/>
      <c r="O28" s="18"/>
      <c r="P28" s="18"/>
      <c r="T28" s="8" t="s">
        <v>40</v>
      </c>
      <c r="U28">
        <v>12</v>
      </c>
      <c r="V28">
        <v>19</v>
      </c>
      <c r="W28">
        <v>3</v>
      </c>
      <c r="X28" t="s">
        <v>21</v>
      </c>
      <c r="Z28" s="14"/>
      <c r="AA28" s="14"/>
      <c r="AB28" s="14"/>
      <c r="AC28" s="14"/>
    </row>
    <row r="29" spans="2:29" x14ac:dyDescent="0.25">
      <c r="E29" s="2">
        <v>0</v>
      </c>
      <c r="G29" s="13"/>
      <c r="H29" s="13"/>
      <c r="J29" s="2">
        <v>0</v>
      </c>
      <c r="L29" s="18"/>
      <c r="M29" s="18"/>
      <c r="N29" s="18"/>
      <c r="O29" s="18"/>
      <c r="P29" s="18"/>
      <c r="T29" s="8" t="s">
        <v>41</v>
      </c>
      <c r="U29">
        <v>17</v>
      </c>
      <c r="V29">
        <v>21</v>
      </c>
      <c r="W29">
        <v>42</v>
      </c>
      <c r="X29" t="s">
        <v>17</v>
      </c>
      <c r="Z29" s="14"/>
      <c r="AA29" s="14"/>
      <c r="AB29" s="14"/>
      <c r="AC29" s="14"/>
    </row>
    <row r="30" spans="2:29" x14ac:dyDescent="0.25">
      <c r="E30" s="2">
        <v>0</v>
      </c>
      <c r="G30" s="13"/>
      <c r="H30" s="13"/>
      <c r="J30" s="2">
        <v>0</v>
      </c>
      <c r="T30" s="8" t="s">
        <v>42</v>
      </c>
      <c r="U30">
        <v>14</v>
      </c>
      <c r="V30">
        <v>21</v>
      </c>
      <c r="W30">
        <v>3</v>
      </c>
      <c r="X30" t="s">
        <v>21</v>
      </c>
    </row>
    <row r="31" spans="2:29" x14ac:dyDescent="0.25">
      <c r="E31" s="2">
        <v>0</v>
      </c>
      <c r="G31" s="13"/>
      <c r="H31" s="13"/>
      <c r="J31" s="2">
        <v>0</v>
      </c>
      <c r="T31" s="8" t="s">
        <v>43</v>
      </c>
      <c r="U31">
        <v>12</v>
      </c>
      <c r="V31">
        <v>21</v>
      </c>
      <c r="W31">
        <v>1</v>
      </c>
      <c r="X31" t="s">
        <v>21</v>
      </c>
    </row>
    <row r="32" spans="2:29" x14ac:dyDescent="0.25">
      <c r="E32" s="2">
        <v>0</v>
      </c>
      <c r="G32" s="13"/>
      <c r="H32" s="13"/>
      <c r="J32" s="2">
        <v>0</v>
      </c>
      <c r="T32" s="8" t="s">
        <v>44</v>
      </c>
      <c r="U32">
        <v>12</v>
      </c>
      <c r="V32">
        <v>21</v>
      </c>
      <c r="W32">
        <v>2</v>
      </c>
      <c r="X32" t="s">
        <v>21</v>
      </c>
    </row>
    <row r="33" spans="2:24" x14ac:dyDescent="0.25">
      <c r="G33" s="13"/>
      <c r="H33" s="13"/>
      <c r="T33" s="8" t="s">
        <v>45</v>
      </c>
      <c r="U33">
        <v>49</v>
      </c>
      <c r="V33">
        <v>35</v>
      </c>
      <c r="W33">
        <v>788</v>
      </c>
      <c r="X33" t="s">
        <v>21</v>
      </c>
    </row>
    <row r="34" spans="2:24" x14ac:dyDescent="0.25">
      <c r="G34" s="13"/>
      <c r="H34" s="13"/>
      <c r="T34" s="8" t="s">
        <v>46</v>
      </c>
      <c r="U34">
        <v>12</v>
      </c>
      <c r="V34">
        <v>35</v>
      </c>
      <c r="W34">
        <v>1</v>
      </c>
      <c r="X34" t="s">
        <v>21</v>
      </c>
    </row>
    <row r="35" spans="2:24" x14ac:dyDescent="0.25">
      <c r="G35" s="13"/>
      <c r="H35" s="13"/>
      <c r="T35" s="8" t="s">
        <v>47</v>
      </c>
      <c r="U35">
        <v>12</v>
      </c>
      <c r="V35">
        <v>35</v>
      </c>
      <c r="W35">
        <v>1</v>
      </c>
      <c r="X35" t="s">
        <v>21</v>
      </c>
    </row>
    <row r="36" spans="2:24" ht="17.25" thickBot="1" x14ac:dyDescent="0.3">
      <c r="B36" s="5"/>
      <c r="G36" s="13"/>
      <c r="H36" s="13"/>
      <c r="L36" s="4" t="s">
        <v>7</v>
      </c>
      <c r="T36" s="8" t="s">
        <v>48</v>
      </c>
      <c r="U36">
        <v>13</v>
      </c>
      <c r="V36">
        <v>35</v>
      </c>
      <c r="W36">
        <v>2</v>
      </c>
      <c r="X36" t="s">
        <v>21</v>
      </c>
    </row>
    <row r="200" spans="2:2" x14ac:dyDescent="0.25">
      <c r="B200" s="1"/>
    </row>
  </sheetData>
  <mergeCells count="9">
    <mergeCell ref="Z6:AC29"/>
    <mergeCell ref="T4:U4"/>
    <mergeCell ref="T5:U5"/>
    <mergeCell ref="T6:U6"/>
    <mergeCell ref="B1:C2"/>
    <mergeCell ref="G1:G2"/>
    <mergeCell ref="H1:H2"/>
    <mergeCell ref="L4:P29"/>
    <mergeCell ref="G4:H36"/>
  </mergeCells>
  <phoneticPr fontId="1" type="noConversion"/>
  <conditionalFormatting sqref="G1:G2">
    <cfRule type="expression" dxfId="4" priority="1">
      <formula>$H$1&lt;&gt;"成功"</formula>
    </cfRule>
    <cfRule type="expression" dxfId="3" priority="5">
      <formula>$H$1="成功"</formula>
    </cfRule>
  </conditionalFormatting>
  <conditionalFormatting sqref="H1:H2">
    <cfRule type="expression" dxfId="2" priority="2">
      <formula>$H$1&lt;&gt;"成功"</formula>
    </cfRule>
    <cfRule type="expression" dxfId="1" priority="3">
      <formula>$H$1="成功"</formula>
    </cfRule>
    <cfRule type="expression" dxfId="0" priority="4">
      <formula>$H$1="成功"</formula>
    </cfRule>
  </conditionalFormatting>
  <dataValidations count="3">
    <dataValidation type="list" allowBlank="1" showInputMessage="1" showErrorMessage="1" sqref="B8" xr:uid="{00000000-0002-0000-0000-000000000000}">
      <formula1>"GET,POST"</formula1>
    </dataValidation>
    <dataValidation type="list" allowBlank="1" showInputMessage="1" showErrorMessage="1" sqref="B11" xr:uid="{00000000-0002-0000-0000-000001000000}">
      <formula1>"UTF-8,Big5"</formula1>
    </dataValidation>
    <dataValidation type="list" allowBlank="1" showInputMessage="1" showErrorMessage="1" sqref="C5" xr:uid="{74078CEB-577E-4DB4-8906-A54D0F71996B}">
      <formula1>"MSXML2.XMLHTTP,WinHttp.WinHttpRequest.5.1"</formula1>
    </dataValidation>
  </dataValidations>
  <hyperlinks>
    <hyperlink ref="V4" location="Table_20!A1" display="Table_20" xr:uid="{00000000-0004-0000-0000-000000000000}"/>
    <hyperlink ref="T9" location="Table_0!A1" display="Table_0" xr:uid="{59811BF7-189E-4C7A-8E5C-DEF7B149E2DC}"/>
    <hyperlink ref="T10" location="Table_1!A1" display="Table_1" xr:uid="{97E2E884-6EA1-4008-B66B-59ED8E4173C8}"/>
    <hyperlink ref="T11" location="Table_2!A1" display="Table_2" xr:uid="{02E03A48-6721-4D99-972F-B82D445EEFB1}"/>
    <hyperlink ref="T12" location="Table_3!A1" display="Table_3" xr:uid="{424F5951-B381-4291-8B23-8A81EFD257DE}"/>
    <hyperlink ref="T13" location="Table_4!A1" display="Table_4" xr:uid="{D5D6A9D2-A731-4EB8-8AD3-331CF599F569}"/>
    <hyperlink ref="T14" location="Table_5!A1" display="Table_5" xr:uid="{32721F71-7A81-4F01-A37D-10C4F259022F}"/>
    <hyperlink ref="T15" location="Table_6!A1" display="Table_6" xr:uid="{D0099C54-9CF0-4385-BEC0-660D8116CD46}"/>
    <hyperlink ref="T16" location="Table_7!A1" display="Table_7" xr:uid="{27177828-8E6A-4EE2-B2D7-1F7E3D7DF9A6}"/>
    <hyperlink ref="T17" location="Table_8!A1" display="Table_8" xr:uid="{57D405F8-C736-456B-A103-331606816B9A}"/>
    <hyperlink ref="T18" location="Table_9!A1" display="Table_9" xr:uid="{35D70931-E663-4A8D-AE75-161896ED5A17}"/>
    <hyperlink ref="T19" location="Table_10!A1" display="Table_10" xr:uid="{46D9FC2E-C6DF-4979-A4A4-6F98A83DB6C7}"/>
    <hyperlink ref="T20" location="Table_11!A1" display="Table_11" xr:uid="{99AD56E7-C4BD-41C2-886E-4245B3781518}"/>
    <hyperlink ref="T21" location="Table_12!A1" display="Table_12" xr:uid="{98C6E49A-6097-40D3-9C20-AC6472A6E4E3}"/>
    <hyperlink ref="T22" location="Table_13!A1" display="Table_13" xr:uid="{1FC50402-60C8-432C-9487-75145BC54FB3}"/>
    <hyperlink ref="T23" location="Table_14!A1" display="Table_14" xr:uid="{5E74B81E-7D5E-40C0-9CBD-AF6670819917}"/>
    <hyperlink ref="T24" location="Table_15!A1" display="Table_15" xr:uid="{DB356FCD-07C2-4615-BF2C-18CE7D8BE690}"/>
    <hyperlink ref="T25" location="Table_16!A1" display="Table_16" xr:uid="{14463DD8-9294-4A11-A56C-6ACB261F9F93}"/>
    <hyperlink ref="T26" location="Table_17!A1" display="Table_17" xr:uid="{F701D53B-5CEC-4DF1-8B68-F4A3A487DD90}"/>
    <hyperlink ref="T27" location="Table_18!A1" display="Table_18" xr:uid="{C3573118-08B4-4467-8551-3605426932C2}"/>
    <hyperlink ref="T28" location="Table_19!A1" display="Table_19" xr:uid="{CEA06D9B-BBCF-472B-9CEB-4B94AE020A30}"/>
    <hyperlink ref="T29" location="Table_20!A1" display="Table_20" xr:uid="{B66DD186-0246-4E97-8718-82D99AC2B8C0}"/>
    <hyperlink ref="T30" location="Table_21!A1" display="Table_21" xr:uid="{02F3BEEA-D69B-45FD-9893-183C9FF4CBF8}"/>
    <hyperlink ref="T31" location="Table_22!A1" display="Table_22" xr:uid="{488011A4-DADD-498E-B378-11F170ED8588}"/>
    <hyperlink ref="T32" location="Table_23!A1" display="Table_23" xr:uid="{1EBCA103-8E25-4818-8070-3108715EF311}"/>
    <hyperlink ref="T33" location="Table_24!A1" display="Table_24" xr:uid="{D18B518B-A2AD-40BE-8D94-A36A1809A36D}"/>
    <hyperlink ref="T34" location="Table_25!A1" display="Table_25" xr:uid="{03D3C606-1E05-4F39-9861-E341D1C4E8D7}"/>
    <hyperlink ref="T35" location="Table_26!A1" display="Table_26" xr:uid="{8E8338F2-0D12-4C16-80EB-B59B30B37A74}"/>
    <hyperlink ref="T36" location="Table_27!A1" display="Table_27" xr:uid="{F7D8CF20-5BD5-4EB9-944C-F2433FC71992}"/>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373" r:id="rId4" name="CommandButton4">
          <controlPr defaultSize="0" autoLine="0" r:id="rId5">
            <anchor moveWithCells="1">
              <from>
                <xdr:col>19</xdr:col>
                <xdr:colOff>38100</xdr:colOff>
                <xdr:row>0</xdr:row>
                <xdr:rowOff>0</xdr:rowOff>
              </from>
              <to>
                <xdr:col>21</xdr:col>
                <xdr:colOff>742950</xdr:colOff>
                <xdr:row>2</xdr:row>
                <xdr:rowOff>180975</xdr:rowOff>
              </to>
            </anchor>
          </controlPr>
        </control>
      </mc:Choice>
      <mc:Fallback>
        <control shapeId="1373" r:id="rId4" name="CommandButton4"/>
      </mc:Fallback>
    </mc:AlternateContent>
    <mc:AlternateContent xmlns:mc="http://schemas.openxmlformats.org/markup-compatibility/2006">
      <mc:Choice Requires="x14">
        <control shapeId="1200" r:id="rId6" name="CommandButton3">
          <controlPr defaultSize="0" autoLine="0" r:id="rId7">
            <anchor moveWithCells="1">
              <from>
                <xdr:col>2</xdr:col>
                <xdr:colOff>209550</xdr:colOff>
                <xdr:row>11</xdr:row>
                <xdr:rowOff>19050</xdr:rowOff>
              </from>
              <to>
                <xdr:col>2</xdr:col>
                <xdr:colOff>1514475</xdr:colOff>
                <xdr:row>13</xdr:row>
                <xdr:rowOff>57150</xdr:rowOff>
              </to>
            </anchor>
          </controlPr>
        </control>
      </mc:Choice>
      <mc:Fallback>
        <control shapeId="1200" r:id="rId6" name="CommandButton3"/>
      </mc:Fallback>
    </mc:AlternateContent>
    <mc:AlternateContent xmlns:mc="http://schemas.openxmlformats.org/markup-compatibility/2006">
      <mc:Choice Requires="x14">
        <control shapeId="1036" r:id="rId8" name="CommandButton1">
          <controlPr defaultSize="0" autoLine="0" r:id="rId9">
            <anchor moveWithCells="1">
              <from>
                <xdr:col>2</xdr:col>
                <xdr:colOff>2562225</xdr:colOff>
                <xdr:row>0</xdr:row>
                <xdr:rowOff>0</xdr:rowOff>
              </from>
              <to>
                <xdr:col>2</xdr:col>
                <xdr:colOff>3762375</xdr:colOff>
                <xdr:row>2</xdr:row>
                <xdr:rowOff>66675</xdr:rowOff>
              </to>
            </anchor>
          </controlPr>
        </control>
      </mc:Choice>
      <mc:Fallback>
        <control shapeId="1036" r:id="rId8" name="CommandButton1"/>
      </mc:Fallback>
    </mc:AlternateContent>
    <mc:AlternateContent xmlns:mc="http://schemas.openxmlformats.org/markup-compatibility/2006">
      <mc:Choice Requires="x14">
        <control shapeId="1180" r:id="rId10" name="CommandButton2">
          <controlPr defaultSize="0" autoLine="0" r:id="rId11">
            <anchor moveWithCells="1">
              <from>
                <xdr:col>11</xdr:col>
                <xdr:colOff>552450</xdr:colOff>
                <xdr:row>0</xdr:row>
                <xdr:rowOff>0</xdr:rowOff>
              </from>
              <to>
                <xdr:col>15</xdr:col>
                <xdr:colOff>76200</xdr:colOff>
                <xdr:row>2</xdr:row>
                <xdr:rowOff>180975</xdr:rowOff>
              </to>
            </anchor>
          </controlPr>
        </control>
      </mc:Choice>
      <mc:Fallback>
        <control shapeId="1180" r:id="rId10" name="CommandButton2"/>
      </mc:Fallback>
    </mc:AlternateContent>
    <mc:AlternateContent xmlns:mc="http://schemas.openxmlformats.org/markup-compatibility/2006">
      <mc:Choice Requires="x14">
        <control shapeId="1391" r:id="rId12" name="CommandButton5">
          <controlPr defaultSize="0" autoLine="0" r:id="rId13">
            <anchor moveWithCells="1">
              <from>
                <xdr:col>25</xdr:col>
                <xdr:colOff>171450</xdr:colOff>
                <xdr:row>0</xdr:row>
                <xdr:rowOff>0</xdr:rowOff>
              </from>
              <to>
                <xdr:col>28</xdr:col>
                <xdr:colOff>504825</xdr:colOff>
                <xdr:row>2</xdr:row>
                <xdr:rowOff>180975</xdr:rowOff>
              </to>
            </anchor>
          </controlPr>
        </control>
      </mc:Choice>
      <mc:Fallback>
        <control shapeId="1391" r:id="rId12" name="CommandButton5"/>
      </mc:Fallback>
    </mc:AlternateContent>
    <mc:AlternateContent xmlns:mc="http://schemas.openxmlformats.org/markup-compatibility/2006">
      <mc:Choice Requires="x14">
        <control shapeId="1480" r:id="rId14" name="Accept">
          <controlPr defaultSize="0" autoFill="0" autoLine="0" autoPict="0">
            <anchor moveWithCells="1">
              <from>
                <xdr:col>0</xdr:col>
                <xdr:colOff>0</xdr:colOff>
                <xdr:row>15</xdr:row>
                <xdr:rowOff>0</xdr:rowOff>
              </from>
              <to>
                <xdr:col>1</xdr:col>
                <xdr:colOff>0</xdr:colOff>
                <xdr:row>16</xdr:row>
                <xdr:rowOff>28575</xdr:rowOff>
              </to>
            </anchor>
          </controlPr>
        </control>
      </mc:Choice>
    </mc:AlternateContent>
    <mc:AlternateContent xmlns:mc="http://schemas.openxmlformats.org/markup-compatibility/2006">
      <mc:Choice Requires="x14">
        <control shapeId="1481" r:id="rId15" name="Accept-Language">
          <controlPr defaultSize="0" autoFill="0" autoLine="0" autoPict="0">
            <anchor moveWithCells="1">
              <from>
                <xdr:col>0</xdr:col>
                <xdr:colOff>0</xdr:colOff>
                <xdr:row>16</xdr:row>
                <xdr:rowOff>0</xdr:rowOff>
              </from>
              <to>
                <xdr:col>1</xdr:col>
                <xdr:colOff>0</xdr:colOff>
                <xdr:row>17</xdr:row>
                <xdr:rowOff>28575</xdr:rowOff>
              </to>
            </anchor>
          </controlPr>
        </control>
      </mc:Choice>
    </mc:AlternateContent>
    <mc:AlternateContent xmlns:mc="http://schemas.openxmlformats.org/markup-compatibility/2006">
      <mc:Choice Requires="x14">
        <control shapeId="1482" r:id="rId16" name="Cache-Control">
          <controlPr defaultSize="0" autoFill="0" autoLine="0" autoPict="0">
            <anchor moveWithCells="1">
              <from>
                <xdr:col>0</xdr:col>
                <xdr:colOff>0</xdr:colOff>
                <xdr:row>17</xdr:row>
                <xdr:rowOff>0</xdr:rowOff>
              </from>
              <to>
                <xdr:col>1</xdr:col>
                <xdr:colOff>0</xdr:colOff>
                <xdr:row>18</xdr:row>
                <xdr:rowOff>28575</xdr:rowOff>
              </to>
            </anchor>
          </controlPr>
        </control>
      </mc:Choice>
    </mc:AlternateContent>
    <mc:AlternateContent xmlns:mc="http://schemas.openxmlformats.org/markup-compatibility/2006">
      <mc:Choice Requires="x14">
        <control shapeId="1483" r:id="rId17" name="Connection">
          <controlPr defaultSize="0" autoFill="0" autoLine="0" autoPict="0">
            <anchor moveWithCells="1">
              <from>
                <xdr:col>0</xdr:col>
                <xdr:colOff>0</xdr:colOff>
                <xdr:row>18</xdr:row>
                <xdr:rowOff>0</xdr:rowOff>
              </from>
              <to>
                <xdr:col>1</xdr:col>
                <xdr:colOff>0</xdr:colOff>
                <xdr:row>19</xdr:row>
                <xdr:rowOff>28575</xdr:rowOff>
              </to>
            </anchor>
          </controlPr>
        </control>
      </mc:Choice>
    </mc:AlternateContent>
    <mc:AlternateContent xmlns:mc="http://schemas.openxmlformats.org/markup-compatibility/2006">
      <mc:Choice Requires="x14">
        <control shapeId="1484" r:id="rId18" name="Content-Length">
          <controlPr defaultSize="0" autoFill="0" autoLine="0" autoPict="0">
            <anchor moveWithCells="1">
              <from>
                <xdr:col>0</xdr:col>
                <xdr:colOff>0</xdr:colOff>
                <xdr:row>19</xdr:row>
                <xdr:rowOff>0</xdr:rowOff>
              </from>
              <to>
                <xdr:col>1</xdr:col>
                <xdr:colOff>0</xdr:colOff>
                <xdr:row>20</xdr:row>
                <xdr:rowOff>28575</xdr:rowOff>
              </to>
            </anchor>
          </controlPr>
        </control>
      </mc:Choice>
    </mc:AlternateContent>
    <mc:AlternateContent xmlns:mc="http://schemas.openxmlformats.org/markup-compatibility/2006">
      <mc:Choice Requires="x14">
        <control shapeId="1485" r:id="rId19" name="Content-Type">
          <controlPr defaultSize="0" autoFill="0" autoLine="0" autoPict="0">
            <anchor moveWithCells="1">
              <from>
                <xdr:col>0</xdr:col>
                <xdr:colOff>0</xdr:colOff>
                <xdr:row>20</xdr:row>
                <xdr:rowOff>0</xdr:rowOff>
              </from>
              <to>
                <xdr:col>1</xdr:col>
                <xdr:colOff>0</xdr:colOff>
                <xdr:row>21</xdr:row>
                <xdr:rowOff>28575</xdr:rowOff>
              </to>
            </anchor>
          </controlPr>
        </control>
      </mc:Choice>
    </mc:AlternateContent>
    <mc:AlternateContent xmlns:mc="http://schemas.openxmlformats.org/markup-compatibility/2006">
      <mc:Choice Requires="x14">
        <control shapeId="1486" r:id="rId20" name="Cookie">
          <controlPr defaultSize="0" autoFill="0" autoLine="0" autoPict="0">
            <anchor moveWithCells="1">
              <from>
                <xdr:col>0</xdr:col>
                <xdr:colOff>0</xdr:colOff>
                <xdr:row>21</xdr:row>
                <xdr:rowOff>0</xdr:rowOff>
              </from>
              <to>
                <xdr:col>1</xdr:col>
                <xdr:colOff>0</xdr:colOff>
                <xdr:row>22</xdr:row>
                <xdr:rowOff>28575</xdr:rowOff>
              </to>
            </anchor>
          </controlPr>
        </control>
      </mc:Choice>
    </mc:AlternateContent>
    <mc:AlternateContent xmlns:mc="http://schemas.openxmlformats.org/markup-compatibility/2006">
      <mc:Choice Requires="x14">
        <control shapeId="1487" r:id="rId21" name="Host">
          <controlPr defaultSize="0" autoFill="0" autoLine="0" autoPict="0">
            <anchor moveWithCells="1">
              <from>
                <xdr:col>0</xdr:col>
                <xdr:colOff>0</xdr:colOff>
                <xdr:row>22</xdr:row>
                <xdr:rowOff>0</xdr:rowOff>
              </from>
              <to>
                <xdr:col>1</xdr:col>
                <xdr:colOff>0</xdr:colOff>
                <xdr:row>23</xdr:row>
                <xdr:rowOff>28575</xdr:rowOff>
              </to>
            </anchor>
          </controlPr>
        </control>
      </mc:Choice>
    </mc:AlternateContent>
    <mc:AlternateContent xmlns:mc="http://schemas.openxmlformats.org/markup-compatibility/2006">
      <mc:Choice Requires="x14">
        <control shapeId="1488" r:id="rId22" name="Origin">
          <controlPr defaultSize="0" autoFill="0" autoLine="0" autoPict="0">
            <anchor moveWithCells="1">
              <from>
                <xdr:col>0</xdr:col>
                <xdr:colOff>0</xdr:colOff>
                <xdr:row>23</xdr:row>
                <xdr:rowOff>0</xdr:rowOff>
              </from>
              <to>
                <xdr:col>1</xdr:col>
                <xdr:colOff>0</xdr:colOff>
                <xdr:row>24</xdr:row>
                <xdr:rowOff>28575</xdr:rowOff>
              </to>
            </anchor>
          </controlPr>
        </control>
      </mc:Choice>
    </mc:AlternateContent>
    <mc:AlternateContent xmlns:mc="http://schemas.openxmlformats.org/markup-compatibility/2006">
      <mc:Choice Requires="x14">
        <control shapeId="1489" r:id="rId23" name="Referer">
          <controlPr defaultSize="0" autoFill="0" autoLine="0" autoPict="0">
            <anchor moveWithCells="1">
              <from>
                <xdr:col>0</xdr:col>
                <xdr:colOff>0</xdr:colOff>
                <xdr:row>24</xdr:row>
                <xdr:rowOff>0</xdr:rowOff>
              </from>
              <to>
                <xdr:col>1</xdr:col>
                <xdr:colOff>0</xdr:colOff>
                <xdr:row>25</xdr:row>
                <xdr:rowOff>28575</xdr:rowOff>
              </to>
            </anchor>
          </controlPr>
        </control>
      </mc:Choice>
    </mc:AlternateContent>
    <mc:AlternateContent xmlns:mc="http://schemas.openxmlformats.org/markup-compatibility/2006">
      <mc:Choice Requires="x14">
        <control shapeId="1490" r:id="rId24" name="Upgrade-Insecure-Requests">
          <controlPr defaultSize="0" autoFill="0" autoLine="0" autoPict="0">
            <anchor moveWithCells="1">
              <from>
                <xdr:col>0</xdr:col>
                <xdr:colOff>0</xdr:colOff>
                <xdr:row>25</xdr:row>
                <xdr:rowOff>0</xdr:rowOff>
              </from>
              <to>
                <xdr:col>1</xdr:col>
                <xdr:colOff>0</xdr:colOff>
                <xdr:row>26</xdr:row>
                <xdr:rowOff>28575</xdr:rowOff>
              </to>
            </anchor>
          </controlPr>
        </control>
      </mc:Choice>
    </mc:AlternateContent>
    <mc:AlternateContent xmlns:mc="http://schemas.openxmlformats.org/markup-compatibility/2006">
      <mc:Choice Requires="x14">
        <control shapeId="1491" r:id="rId25" name="User-Agent">
          <controlPr defaultSize="0" autoFill="0" autoLine="0" autoPict="0">
            <anchor moveWithCells="1">
              <from>
                <xdr:col>0</xdr:col>
                <xdr:colOff>0</xdr:colOff>
                <xdr:row>26</xdr:row>
                <xdr:rowOff>0</xdr:rowOff>
              </from>
              <to>
                <xdr:col>1</xdr:col>
                <xdr:colOff>0</xdr:colOff>
                <xdr:row>27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85E02-A251-4ED7-9452-5C1E4AF106F3}">
  <sheetPr codeName="工作表58"/>
  <dimension ref="A1"/>
  <sheetViews>
    <sheetView workbookViewId="0"/>
  </sheetViews>
  <sheetFormatPr defaultRowHeight="16.5" x14ac:dyDescent="0.25"/>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492A6-C561-41C5-966B-A50C05A8944B}">
  <sheetPr codeName="工作表59"/>
  <dimension ref="A1:C1"/>
  <sheetViews>
    <sheetView workbookViewId="0"/>
  </sheetViews>
  <sheetFormatPr defaultRowHeight="16.5" x14ac:dyDescent="0.25"/>
  <sheetData>
    <row r="1" spans="1:3" ht="82.5" x14ac:dyDescent="0.25">
      <c r="A1" s="1" t="s">
        <v>58</v>
      </c>
      <c r="B1" t="s">
        <v>59</v>
      </c>
      <c r="C1" t="s">
        <v>60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86106-F846-4024-BAA2-38682058CC0D}">
  <sheetPr codeName="工作表60"/>
  <dimension ref="A1:C1"/>
  <sheetViews>
    <sheetView workbookViewId="0"/>
  </sheetViews>
  <sheetFormatPr defaultRowHeight="16.5" x14ac:dyDescent="0.25"/>
  <sheetData>
    <row r="1" spans="1:3" ht="33" x14ac:dyDescent="0.25">
      <c r="A1" s="1" t="s">
        <v>61</v>
      </c>
      <c r="B1" t="s">
        <v>62</v>
      </c>
      <c r="C1" t="s">
        <v>63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40D30-7061-4163-8961-054ADBB24887}">
  <sheetPr codeName="工作表61"/>
  <dimension ref="A1"/>
  <sheetViews>
    <sheetView workbookViewId="0"/>
  </sheetViews>
  <sheetFormatPr defaultRowHeight="16.5" x14ac:dyDescent="0.25"/>
  <sheetData>
    <row r="1" spans="1:1" x14ac:dyDescent="0.25">
      <c r="A1" t="s">
        <v>60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591D1-A5CD-4FB5-B78A-53DC54A525DC}">
  <sheetPr codeName="工作表62"/>
  <dimension ref="A1"/>
  <sheetViews>
    <sheetView workbookViewId="0"/>
  </sheetViews>
  <sheetFormatPr defaultRowHeight="16.5" x14ac:dyDescent="0.2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D74B3-7E21-42C3-A579-70AD3D560FAA}">
  <sheetPr codeName="工作表63"/>
  <dimension ref="A3"/>
  <sheetViews>
    <sheetView workbookViewId="0"/>
  </sheetViews>
  <sheetFormatPr defaultRowHeight="16.5" x14ac:dyDescent="0.25"/>
  <sheetData>
    <row r="3" spans="1:1" ht="409.5" x14ac:dyDescent="0.25">
      <c r="A3" s="1" t="s">
        <v>64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58AF1-6196-4F06-AF9A-9DDFB51A82A8}">
  <sheetPr codeName="工作表64"/>
  <dimension ref="A1"/>
  <sheetViews>
    <sheetView workbookViewId="0"/>
  </sheetViews>
  <sheetFormatPr defaultRowHeight="16.5" x14ac:dyDescent="0.25"/>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762A3-1B6B-4274-9C70-13A55A38B3FC}">
  <sheetPr codeName="工作表65"/>
  <dimension ref="A1:C1"/>
  <sheetViews>
    <sheetView workbookViewId="0"/>
  </sheetViews>
  <sheetFormatPr defaultRowHeight="16.5" x14ac:dyDescent="0.25"/>
  <sheetData>
    <row r="1" spans="1:3" ht="409.5" x14ac:dyDescent="0.25">
      <c r="A1" s="1" t="s">
        <v>65</v>
      </c>
      <c r="C1" s="1" t="s">
        <v>202</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01541-05BE-4981-9D21-CD2F6A33134D}">
  <sheetPr codeName="工作表66"/>
  <dimension ref="A1:C1"/>
  <sheetViews>
    <sheetView workbookViewId="0"/>
  </sheetViews>
  <sheetFormatPr defaultRowHeight="16.5" x14ac:dyDescent="0.25"/>
  <sheetData>
    <row r="1" spans="1:3" ht="409.5" x14ac:dyDescent="0.25">
      <c r="A1" s="1" t="s">
        <v>66</v>
      </c>
      <c r="C1" s="1" t="s">
        <v>67</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C4C9E-2A7B-4A78-9EE8-82742F5D4302}">
  <sheetPr codeName="工作表67"/>
  <dimension ref="A1:A22"/>
  <sheetViews>
    <sheetView workbookViewId="0"/>
  </sheetViews>
  <sheetFormatPr defaultRowHeight="16.5" x14ac:dyDescent="0.25"/>
  <sheetData>
    <row r="1" spans="1:1" x14ac:dyDescent="0.25">
      <c r="A1" t="s">
        <v>68</v>
      </c>
    </row>
    <row r="2" spans="1:1" x14ac:dyDescent="0.25">
      <c r="A2" t="s">
        <v>69</v>
      </c>
    </row>
    <row r="3" spans="1:1" x14ac:dyDescent="0.25">
      <c r="A3" t="s">
        <v>70</v>
      </c>
    </row>
    <row r="4" spans="1:1" x14ac:dyDescent="0.25">
      <c r="A4" t="s">
        <v>71</v>
      </c>
    </row>
    <row r="5" spans="1:1" x14ac:dyDescent="0.25">
      <c r="A5" t="s">
        <v>72</v>
      </c>
    </row>
    <row r="6" spans="1:1" x14ac:dyDescent="0.25">
      <c r="A6" t="s">
        <v>73</v>
      </c>
    </row>
    <row r="7" spans="1:1" x14ac:dyDescent="0.25">
      <c r="A7" t="s">
        <v>74</v>
      </c>
    </row>
    <row r="8" spans="1:1" x14ac:dyDescent="0.25">
      <c r="A8" t="s">
        <v>75</v>
      </c>
    </row>
    <row r="9" spans="1:1" x14ac:dyDescent="0.25">
      <c r="A9" t="s">
        <v>76</v>
      </c>
    </row>
    <row r="10" spans="1:1" x14ac:dyDescent="0.25">
      <c r="A10" t="s">
        <v>77</v>
      </c>
    </row>
    <row r="11" spans="1:1" x14ac:dyDescent="0.25">
      <c r="A11" t="s">
        <v>78</v>
      </c>
    </row>
    <row r="12" spans="1:1" x14ac:dyDescent="0.25">
      <c r="A12" t="s">
        <v>79</v>
      </c>
    </row>
    <row r="13" spans="1:1" x14ac:dyDescent="0.25">
      <c r="A13" t="s">
        <v>80</v>
      </c>
    </row>
    <row r="14" spans="1:1" x14ac:dyDescent="0.25">
      <c r="A14" t="s">
        <v>81</v>
      </c>
    </row>
    <row r="15" spans="1:1" x14ac:dyDescent="0.25">
      <c r="A15" t="s">
        <v>82</v>
      </c>
    </row>
    <row r="16" spans="1:1" x14ac:dyDescent="0.25">
      <c r="A16" t="s">
        <v>83</v>
      </c>
    </row>
    <row r="17" spans="1:1" x14ac:dyDescent="0.25">
      <c r="A17" t="s">
        <v>84</v>
      </c>
    </row>
    <row r="18" spans="1:1" x14ac:dyDescent="0.25">
      <c r="A18" t="s">
        <v>85</v>
      </c>
    </row>
    <row r="19" spans="1:1" x14ac:dyDescent="0.25">
      <c r="A19" t="s">
        <v>86</v>
      </c>
    </row>
    <row r="20" spans="1:1" x14ac:dyDescent="0.25">
      <c r="A20" t="s">
        <v>87</v>
      </c>
    </row>
    <row r="21" spans="1:1" x14ac:dyDescent="0.25">
      <c r="A21" t="s">
        <v>88</v>
      </c>
    </row>
    <row r="22" spans="1:1" x14ac:dyDescent="0.25">
      <c r="A22" t="s">
        <v>89</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0580-E67B-49FE-AD34-1F955D4BA93F}">
  <sheetPr codeName="工作表68"/>
  <dimension ref="A1:A22"/>
  <sheetViews>
    <sheetView workbookViewId="0"/>
  </sheetViews>
  <sheetFormatPr defaultRowHeight="16.5" x14ac:dyDescent="0.25"/>
  <sheetData>
    <row r="1" spans="1:1" x14ac:dyDescent="0.25">
      <c r="A1" t="s">
        <v>90</v>
      </c>
    </row>
    <row r="2" spans="1:1" x14ac:dyDescent="0.25">
      <c r="A2" t="s">
        <v>91</v>
      </c>
    </row>
    <row r="3" spans="1:1" x14ac:dyDescent="0.25">
      <c r="A3" t="s">
        <v>92</v>
      </c>
    </row>
    <row r="4" spans="1:1" x14ac:dyDescent="0.25">
      <c r="A4" t="s">
        <v>93</v>
      </c>
    </row>
    <row r="5" spans="1:1" x14ac:dyDescent="0.25">
      <c r="A5" t="s">
        <v>94</v>
      </c>
    </row>
    <row r="6" spans="1:1" x14ac:dyDescent="0.25">
      <c r="A6" t="s">
        <v>95</v>
      </c>
    </row>
    <row r="7" spans="1:1" x14ac:dyDescent="0.25">
      <c r="A7" t="s">
        <v>96</v>
      </c>
    </row>
    <row r="8" spans="1:1" x14ac:dyDescent="0.25">
      <c r="A8" t="s">
        <v>97</v>
      </c>
    </row>
    <row r="9" spans="1:1" x14ac:dyDescent="0.25">
      <c r="A9" t="s">
        <v>98</v>
      </c>
    </row>
    <row r="10" spans="1:1" x14ac:dyDescent="0.25">
      <c r="A10" t="s">
        <v>99</v>
      </c>
    </row>
    <row r="11" spans="1:1" x14ac:dyDescent="0.25">
      <c r="A11" t="s">
        <v>100</v>
      </c>
    </row>
    <row r="12" spans="1:1" x14ac:dyDescent="0.25">
      <c r="A12" t="s">
        <v>101</v>
      </c>
    </row>
    <row r="13" spans="1:1" x14ac:dyDescent="0.25">
      <c r="A13" t="s">
        <v>102</v>
      </c>
    </row>
    <row r="14" spans="1:1" x14ac:dyDescent="0.25">
      <c r="A14" t="s">
        <v>103</v>
      </c>
    </row>
    <row r="15" spans="1:1" x14ac:dyDescent="0.25">
      <c r="A15" t="s">
        <v>104</v>
      </c>
    </row>
    <row r="16" spans="1:1" x14ac:dyDescent="0.25">
      <c r="A16" t="s">
        <v>105</v>
      </c>
    </row>
    <row r="17" spans="1:1" x14ac:dyDescent="0.25">
      <c r="A17" t="s">
        <v>106</v>
      </c>
    </row>
    <row r="18" spans="1:1" x14ac:dyDescent="0.25">
      <c r="A18" t="s">
        <v>107</v>
      </c>
    </row>
    <row r="19" spans="1:1" x14ac:dyDescent="0.25">
      <c r="A19" t="s">
        <v>108</v>
      </c>
    </row>
    <row r="20" spans="1:1" x14ac:dyDescent="0.25">
      <c r="A20" t="s">
        <v>109</v>
      </c>
    </row>
    <row r="21" spans="1:1" x14ac:dyDescent="0.25">
      <c r="A21" t="s">
        <v>110</v>
      </c>
    </row>
    <row r="22" spans="1:1" x14ac:dyDescent="0.25">
      <c r="A22" t="s">
        <v>111</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24051-24FC-4315-8414-600A69E7AA94}">
  <sheetPr codeName="工作表69"/>
  <dimension ref="A1"/>
  <sheetViews>
    <sheetView workbookViewId="0"/>
  </sheetViews>
  <sheetFormatPr defaultRowHeight="16.5" x14ac:dyDescent="0.25"/>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C5DCB-882F-4382-B410-B2EC7FAF32DB}">
  <sheetPr codeName="工作表70"/>
  <dimension ref="A1:C1"/>
  <sheetViews>
    <sheetView workbookViewId="0"/>
  </sheetViews>
  <sheetFormatPr defaultRowHeight="16.5" x14ac:dyDescent="0.25"/>
  <sheetData>
    <row r="1" spans="1:3" ht="409.5" x14ac:dyDescent="0.25">
      <c r="A1" s="1" t="s">
        <v>203</v>
      </c>
      <c r="C1" s="1" t="s">
        <v>112</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4F60B-0C41-42E7-BE8B-29A584575FC3}">
  <sheetPr codeName="工作表71"/>
  <dimension ref="A1:H8"/>
  <sheetViews>
    <sheetView workbookViewId="0"/>
  </sheetViews>
  <sheetFormatPr defaultRowHeight="16.5" x14ac:dyDescent="0.25"/>
  <sheetData>
    <row r="1" spans="1:8" x14ac:dyDescent="0.25">
      <c r="A1" t="s">
        <v>204</v>
      </c>
    </row>
    <row r="2" spans="1:8" x14ac:dyDescent="0.25">
      <c r="A2" t="s">
        <v>113</v>
      </c>
      <c r="B2" t="s">
        <v>114</v>
      </c>
      <c r="C2" t="s">
        <v>115</v>
      </c>
      <c r="D2" t="s">
        <v>116</v>
      </c>
      <c r="E2" t="s">
        <v>117</v>
      </c>
      <c r="F2" t="s">
        <v>118</v>
      </c>
      <c r="G2" t="s">
        <v>119</v>
      </c>
      <c r="H2" t="s">
        <v>120</v>
      </c>
    </row>
    <row r="3" spans="1:8" x14ac:dyDescent="0.25">
      <c r="A3">
        <v>2160</v>
      </c>
      <c r="B3">
        <v>2190</v>
      </c>
      <c r="C3">
        <v>-30</v>
      </c>
      <c r="D3" s="11">
        <v>-1.37E-2</v>
      </c>
      <c r="E3" s="11">
        <v>3.4200000000000001E-2</v>
      </c>
      <c r="F3">
        <v>2190</v>
      </c>
      <c r="G3">
        <v>2235</v>
      </c>
      <c r="H3">
        <v>2160</v>
      </c>
    </row>
    <row r="4" spans="1:8" x14ac:dyDescent="0.25">
      <c r="A4" t="s">
        <v>121</v>
      </c>
      <c r="B4" t="s">
        <v>122</v>
      </c>
      <c r="C4" t="s">
        <v>123</v>
      </c>
      <c r="D4" t="s">
        <v>124</v>
      </c>
      <c r="E4" t="s">
        <v>125</v>
      </c>
      <c r="F4" t="s">
        <v>126</v>
      </c>
      <c r="G4" t="s">
        <v>127</v>
      </c>
      <c r="H4" t="s">
        <v>128</v>
      </c>
    </row>
    <row r="5" spans="1:8" x14ac:dyDescent="0.25">
      <c r="A5">
        <v>675</v>
      </c>
      <c r="B5" t="s">
        <v>205</v>
      </c>
      <c r="C5" s="12">
        <v>3264</v>
      </c>
      <c r="D5" t="s">
        <v>135</v>
      </c>
      <c r="E5" t="s">
        <v>206</v>
      </c>
      <c r="F5">
        <v>1.84</v>
      </c>
      <c r="G5">
        <v>15.05</v>
      </c>
      <c r="H5">
        <v>-1.84</v>
      </c>
    </row>
    <row r="6" spans="1:8" x14ac:dyDescent="0.25">
      <c r="A6" t="s">
        <v>129</v>
      </c>
      <c r="B6" t="s">
        <v>130</v>
      </c>
      <c r="C6" t="s">
        <v>131</v>
      </c>
      <c r="D6" t="s">
        <v>132</v>
      </c>
      <c r="E6" t="s">
        <v>133</v>
      </c>
      <c r="F6" t="s">
        <v>134</v>
      </c>
    </row>
    <row r="7" spans="1:8" x14ac:dyDescent="0.25">
      <c r="A7">
        <v>320</v>
      </c>
      <c r="B7" t="s">
        <v>207</v>
      </c>
      <c r="C7" s="12">
        <v>1311</v>
      </c>
      <c r="D7" t="s">
        <v>135</v>
      </c>
      <c r="E7" t="s">
        <v>208</v>
      </c>
      <c r="F7" t="s">
        <v>209</v>
      </c>
    </row>
    <row r="8" spans="1:8" ht="247.5" x14ac:dyDescent="0.25">
      <c r="A8" s="1" t="s">
        <v>210</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FFFC8-0681-40C3-AFDA-1213C499AC3D}">
  <sheetPr codeName="工作表72"/>
  <dimension ref="A1:E1"/>
  <sheetViews>
    <sheetView workbookViewId="0"/>
  </sheetViews>
  <sheetFormatPr defaultRowHeight="16.5" x14ac:dyDescent="0.25"/>
  <sheetData>
    <row r="1" spans="1:5" x14ac:dyDescent="0.25">
      <c r="A1" t="s">
        <v>136</v>
      </c>
      <c r="B1" t="s">
        <v>137</v>
      </c>
      <c r="C1" t="s">
        <v>138</v>
      </c>
      <c r="D1" t="s">
        <v>139</v>
      </c>
      <c r="E1" t="s">
        <v>211</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2108B-49A4-4793-8FCB-E76DE0A01A3C}">
  <sheetPr codeName="工作表73"/>
  <dimension ref="A1"/>
  <sheetViews>
    <sheetView workbookViewId="0"/>
  </sheetViews>
  <sheetFormatPr defaultRowHeight="16.5" x14ac:dyDescent="0.25"/>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E5930-582D-49FA-9DC7-5EDA2CA3E5C5}">
  <sheetPr codeName="工作表74"/>
  <dimension ref="A1:A2"/>
  <sheetViews>
    <sheetView workbookViewId="0"/>
  </sheetViews>
  <sheetFormatPr defaultRowHeight="16.5" x14ac:dyDescent="0.25"/>
  <sheetData>
    <row r="1" spans="1:1" x14ac:dyDescent="0.25">
      <c r="A1" t="s">
        <v>140</v>
      </c>
    </row>
    <row r="2" spans="1:1" ht="280.5" x14ac:dyDescent="0.25">
      <c r="A2" s="1" t="s">
        <v>141</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99660-CCD6-4446-B06D-A67950E03B6C}">
  <sheetPr codeName="工作表75"/>
  <dimension ref="B1"/>
  <sheetViews>
    <sheetView workbookViewId="0"/>
  </sheetViews>
  <sheetFormatPr defaultRowHeight="16.5" x14ac:dyDescent="0.25"/>
  <sheetData>
    <row r="1" spans="2:2" x14ac:dyDescent="0.25">
      <c r="B1" t="s">
        <v>140</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4C9E2-0A3E-4BA2-BE68-FCB1130F3DF0}">
  <sheetPr codeName="工作表76"/>
  <dimension ref="A1"/>
  <sheetViews>
    <sheetView workbookViewId="0"/>
  </sheetViews>
  <sheetFormatPr defaultRowHeight="16.5" x14ac:dyDescent="0.25"/>
  <sheetData>
    <row r="1" spans="1:1" x14ac:dyDescent="0.25">
      <c r="A1" t="s">
        <v>142</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09DD0-4441-489F-916A-19C1B072C7C4}">
  <sheetPr codeName="工作表77"/>
  <dimension ref="A1:C1"/>
  <sheetViews>
    <sheetView workbookViewId="0"/>
  </sheetViews>
  <sheetFormatPr defaultRowHeight="16.5" x14ac:dyDescent="0.25"/>
  <sheetData>
    <row r="1" spans="1:3" x14ac:dyDescent="0.25">
      <c r="A1" t="s">
        <v>143</v>
      </c>
      <c r="B1" t="s">
        <v>144</v>
      </c>
      <c r="C1" t="s">
        <v>145</v>
      </c>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58A10-C6E1-429F-85D8-AC04055F12AD}">
  <sheetPr codeName="工作表78"/>
  <dimension ref="A1:J6"/>
  <sheetViews>
    <sheetView workbookViewId="0"/>
  </sheetViews>
  <sheetFormatPr defaultRowHeight="16.5" x14ac:dyDescent="0.25"/>
  <sheetData>
    <row r="1" spans="1:10" ht="115.5" x14ac:dyDescent="0.25">
      <c r="B1" s="1" t="s">
        <v>146</v>
      </c>
      <c r="C1" s="1" t="s">
        <v>147</v>
      </c>
      <c r="D1" s="1" t="s">
        <v>148</v>
      </c>
      <c r="E1" s="1" t="s">
        <v>149</v>
      </c>
    </row>
    <row r="2" spans="1:10" ht="49.5" x14ac:dyDescent="0.25">
      <c r="A2" s="1" t="s">
        <v>150</v>
      </c>
      <c r="B2" s="1" t="s">
        <v>151</v>
      </c>
      <c r="C2" s="1" t="s">
        <v>152</v>
      </c>
      <c r="D2" t="s">
        <v>153</v>
      </c>
    </row>
    <row r="3" spans="1:10" ht="33" x14ac:dyDescent="0.25">
      <c r="A3" s="1" t="s">
        <v>154</v>
      </c>
      <c r="B3" s="1" t="s">
        <v>155</v>
      </c>
      <c r="C3" s="1" t="s">
        <v>156</v>
      </c>
    </row>
    <row r="4" spans="1:10" x14ac:dyDescent="0.25">
      <c r="A4" t="s">
        <v>157</v>
      </c>
      <c r="B4">
        <v>33.9</v>
      </c>
      <c r="C4">
        <v>3.15</v>
      </c>
      <c r="D4">
        <v>72</v>
      </c>
      <c r="E4">
        <v>2.23</v>
      </c>
      <c r="F4">
        <v>3.36</v>
      </c>
      <c r="G4">
        <v>1.63</v>
      </c>
      <c r="H4">
        <v>22</v>
      </c>
      <c r="I4">
        <v>813.86</v>
      </c>
      <c r="J4">
        <v>-1</v>
      </c>
    </row>
    <row r="5" spans="1:10" x14ac:dyDescent="0.25">
      <c r="A5" t="s">
        <v>158</v>
      </c>
      <c r="B5">
        <v>0.56999999999999995</v>
      </c>
      <c r="C5">
        <v>0</v>
      </c>
      <c r="D5">
        <v>48</v>
      </c>
      <c r="E5">
        <v>0.11</v>
      </c>
      <c r="F5">
        <v>0.18</v>
      </c>
      <c r="G5">
        <v>0.08</v>
      </c>
      <c r="H5">
        <v>-14</v>
      </c>
      <c r="I5">
        <v>0</v>
      </c>
      <c r="J5">
        <v>0</v>
      </c>
    </row>
    <row r="6" spans="1:10" x14ac:dyDescent="0.25">
      <c r="A6" t="s">
        <v>159</v>
      </c>
      <c r="B6">
        <v>34.5</v>
      </c>
      <c r="C6">
        <v>3.15</v>
      </c>
      <c r="D6" t="s">
        <v>160</v>
      </c>
      <c r="E6">
        <v>2.34</v>
      </c>
      <c r="F6">
        <v>3.54</v>
      </c>
      <c r="G6">
        <v>1.7</v>
      </c>
      <c r="H6">
        <v>23</v>
      </c>
      <c r="I6">
        <v>827.46</v>
      </c>
      <c r="J6">
        <v>-1</v>
      </c>
    </row>
  </sheetData>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E0DD3-2799-4231-85DB-AE1F2A2B0409}">
  <sheetPr codeName="工作表79"/>
  <dimension ref="A1"/>
  <sheetViews>
    <sheetView workbookViewId="0"/>
  </sheetViews>
  <sheetFormatPr defaultRowHeight="16.5" x14ac:dyDescent="0.25"/>
  <sheetData/>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7054E-0249-4374-88DF-ED3FFAC86036}">
  <sheetPr codeName="工作表80"/>
  <dimension ref="A1"/>
  <sheetViews>
    <sheetView workbookViewId="0"/>
  </sheetViews>
  <sheetFormatPr defaultRowHeight="16.5" x14ac:dyDescent="0.25"/>
  <sheetData>
    <row r="1" spans="1:1" ht="214.5" x14ac:dyDescent="0.25">
      <c r="A1" s="1" t="s">
        <v>161</v>
      </c>
    </row>
  </sheetData>
  <phoneticPr fontId="1"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E379-AA70-4B10-ACD8-C3F774E1ACD9}">
  <sheetPr codeName="工作表81"/>
  <dimension ref="A1:B1"/>
  <sheetViews>
    <sheetView workbookViewId="0"/>
  </sheetViews>
  <sheetFormatPr defaultRowHeight="16.5" x14ac:dyDescent="0.25"/>
  <sheetData>
    <row r="1" spans="1:2" x14ac:dyDescent="0.25">
      <c r="A1" t="s">
        <v>162</v>
      </c>
      <c r="B1" t="s">
        <v>163</v>
      </c>
    </row>
  </sheetData>
  <phoneticPr fontId="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A2013-EC0B-4E5D-B364-134D29EBB7A7}">
  <sheetPr codeName="工作表82"/>
  <dimension ref="A1:X38"/>
  <sheetViews>
    <sheetView workbookViewId="0"/>
  </sheetViews>
  <sheetFormatPr defaultRowHeight="16.5" x14ac:dyDescent="0.25"/>
  <sheetData>
    <row r="1" spans="1:24" x14ac:dyDescent="0.25">
      <c r="A1" t="s">
        <v>164</v>
      </c>
      <c r="B1" t="s">
        <v>165</v>
      </c>
      <c r="C1" t="s">
        <v>166</v>
      </c>
    </row>
    <row r="2" spans="1:24" ht="49.5" x14ac:dyDescent="0.25">
      <c r="A2" s="1" t="s">
        <v>167</v>
      </c>
      <c r="B2" t="s">
        <v>168</v>
      </c>
      <c r="C2" t="s">
        <v>169</v>
      </c>
      <c r="D2" s="1" t="s">
        <v>170</v>
      </c>
      <c r="E2" s="1" t="s">
        <v>171</v>
      </c>
    </row>
    <row r="3" spans="1:24" ht="49.5" x14ac:dyDescent="0.25">
      <c r="A3" t="s">
        <v>157</v>
      </c>
      <c r="B3" t="s">
        <v>158</v>
      </c>
      <c r="C3" s="1" t="s">
        <v>172</v>
      </c>
      <c r="D3" s="1" t="s">
        <v>173</v>
      </c>
      <c r="E3" s="1" t="s">
        <v>174</v>
      </c>
      <c r="F3" s="1" t="s">
        <v>175</v>
      </c>
      <c r="G3" t="s">
        <v>176</v>
      </c>
      <c r="H3" t="s">
        <v>177</v>
      </c>
      <c r="I3" s="1" t="s">
        <v>178</v>
      </c>
      <c r="J3" s="1" t="s">
        <v>179</v>
      </c>
      <c r="K3" t="s">
        <v>180</v>
      </c>
    </row>
    <row r="4" spans="1:24" x14ac:dyDescent="0.25">
      <c r="A4" t="s">
        <v>181</v>
      </c>
      <c r="B4" t="s">
        <v>182</v>
      </c>
      <c r="C4" t="s">
        <v>34</v>
      </c>
      <c r="D4" t="s">
        <v>181</v>
      </c>
      <c r="E4" t="s">
        <v>182</v>
      </c>
      <c r="F4" t="s">
        <v>34</v>
      </c>
      <c r="G4" t="s">
        <v>119</v>
      </c>
      <c r="H4" t="s">
        <v>120</v>
      </c>
      <c r="I4" t="s">
        <v>183</v>
      </c>
      <c r="J4" t="s">
        <v>184</v>
      </c>
      <c r="K4" t="s">
        <v>185</v>
      </c>
      <c r="L4" t="s">
        <v>34</v>
      </c>
      <c r="M4" t="s">
        <v>186</v>
      </c>
      <c r="N4" t="s">
        <v>187</v>
      </c>
      <c r="O4" t="s">
        <v>34</v>
      </c>
    </row>
    <row r="5" spans="1:24" ht="49.5" x14ac:dyDescent="0.25">
      <c r="A5">
        <v>2023</v>
      </c>
      <c r="B5">
        <v>72.5</v>
      </c>
      <c r="C5">
        <v>0</v>
      </c>
      <c r="D5">
        <v>72.5</v>
      </c>
      <c r="E5">
        <v>0</v>
      </c>
      <c r="F5">
        <v>0</v>
      </c>
      <c r="G5">
        <v>0</v>
      </c>
      <c r="H5">
        <v>72.5</v>
      </c>
      <c r="I5">
        <v>96.8</v>
      </c>
      <c r="J5">
        <v>0</v>
      </c>
      <c r="K5" t="s">
        <v>160</v>
      </c>
      <c r="L5" t="s">
        <v>160</v>
      </c>
      <c r="M5">
        <v>2023</v>
      </c>
      <c r="N5">
        <v>2500</v>
      </c>
      <c r="O5">
        <v>1955</v>
      </c>
      <c r="P5">
        <v>2195</v>
      </c>
      <c r="Q5">
        <v>3.3</v>
      </c>
      <c r="R5">
        <v>0</v>
      </c>
      <c r="S5">
        <v>3.3</v>
      </c>
      <c r="T5" s="1" t="s">
        <v>188</v>
      </c>
      <c r="U5">
        <v>143.49</v>
      </c>
      <c r="V5">
        <v>50.5</v>
      </c>
      <c r="W5">
        <v>0</v>
      </c>
      <c r="X5">
        <v>50.5</v>
      </c>
    </row>
    <row r="6" spans="1:24" x14ac:dyDescent="0.25">
      <c r="A6" t="s">
        <v>189</v>
      </c>
      <c r="B6">
        <v>26.5</v>
      </c>
      <c r="C6">
        <v>0</v>
      </c>
      <c r="D6">
        <v>26.5</v>
      </c>
      <c r="E6">
        <v>0</v>
      </c>
      <c r="F6">
        <v>0</v>
      </c>
      <c r="G6">
        <v>0</v>
      </c>
      <c r="H6">
        <v>26.5</v>
      </c>
      <c r="I6">
        <v>35.4</v>
      </c>
      <c r="J6">
        <v>0</v>
      </c>
      <c r="K6" t="s">
        <v>160</v>
      </c>
      <c r="L6" t="s">
        <v>160</v>
      </c>
      <c r="M6" t="s">
        <v>189</v>
      </c>
      <c r="N6" t="s">
        <v>160</v>
      </c>
      <c r="O6" t="s">
        <v>160</v>
      </c>
      <c r="P6" t="s">
        <v>160</v>
      </c>
      <c r="Q6">
        <v>1.21</v>
      </c>
      <c r="R6">
        <v>0</v>
      </c>
      <c r="S6">
        <v>1.21</v>
      </c>
      <c r="T6" t="s">
        <v>190</v>
      </c>
      <c r="U6">
        <v>52.33</v>
      </c>
      <c r="V6">
        <v>50.6</v>
      </c>
      <c r="W6">
        <v>0</v>
      </c>
      <c r="X6">
        <v>50.6</v>
      </c>
    </row>
    <row r="7" spans="1:24" x14ac:dyDescent="0.25">
      <c r="A7" t="s">
        <v>189</v>
      </c>
      <c r="B7">
        <v>46</v>
      </c>
      <c r="C7">
        <v>0</v>
      </c>
      <c r="D7">
        <v>46</v>
      </c>
      <c r="E7">
        <v>0</v>
      </c>
      <c r="F7">
        <v>0</v>
      </c>
      <c r="G7">
        <v>0</v>
      </c>
      <c r="H7">
        <v>46</v>
      </c>
      <c r="I7">
        <v>61.4</v>
      </c>
      <c r="J7">
        <v>0</v>
      </c>
      <c r="K7">
        <v>5</v>
      </c>
      <c r="L7" t="s">
        <v>160</v>
      </c>
      <c r="M7" t="s">
        <v>189</v>
      </c>
      <c r="N7" t="s">
        <v>160</v>
      </c>
      <c r="O7" t="s">
        <v>160</v>
      </c>
      <c r="P7" t="s">
        <v>160</v>
      </c>
      <c r="Q7">
        <v>2.1</v>
      </c>
      <c r="R7">
        <v>0</v>
      </c>
      <c r="S7">
        <v>2.1</v>
      </c>
      <c r="T7" t="s">
        <v>191</v>
      </c>
      <c r="U7">
        <v>91.16</v>
      </c>
      <c r="V7">
        <v>50.5</v>
      </c>
      <c r="W7">
        <v>0</v>
      </c>
      <c r="X7">
        <v>50.5</v>
      </c>
    </row>
    <row r="8" spans="1:24" ht="49.5" x14ac:dyDescent="0.25">
      <c r="A8">
        <v>2022</v>
      </c>
      <c r="B8">
        <v>109.7</v>
      </c>
      <c r="C8">
        <v>0</v>
      </c>
      <c r="D8">
        <v>109.7</v>
      </c>
      <c r="E8">
        <v>0</v>
      </c>
      <c r="F8">
        <v>0</v>
      </c>
      <c r="G8">
        <v>0</v>
      </c>
      <c r="H8">
        <v>109.7</v>
      </c>
      <c r="I8">
        <v>146</v>
      </c>
      <c r="J8">
        <v>0</v>
      </c>
      <c r="K8" t="s">
        <v>160</v>
      </c>
      <c r="L8" t="s">
        <v>160</v>
      </c>
      <c r="M8">
        <v>2022</v>
      </c>
      <c r="N8">
        <v>2710</v>
      </c>
      <c r="O8">
        <v>1525</v>
      </c>
      <c r="P8">
        <v>1936</v>
      </c>
      <c r="Q8">
        <v>5.66</v>
      </c>
      <c r="R8">
        <v>0</v>
      </c>
      <c r="S8">
        <v>5.66</v>
      </c>
      <c r="T8" s="1" t="s">
        <v>192</v>
      </c>
      <c r="U8">
        <v>217.64</v>
      </c>
      <c r="V8">
        <v>50.4</v>
      </c>
      <c r="W8">
        <v>0</v>
      </c>
      <c r="X8">
        <v>50.4</v>
      </c>
    </row>
    <row r="9" spans="1:24" x14ac:dyDescent="0.25">
      <c r="A9" t="s">
        <v>189</v>
      </c>
      <c r="B9">
        <v>39.5</v>
      </c>
      <c r="C9">
        <v>0</v>
      </c>
      <c r="D9">
        <v>39.5</v>
      </c>
      <c r="E9">
        <v>0</v>
      </c>
      <c r="F9">
        <v>0</v>
      </c>
      <c r="G9">
        <v>0</v>
      </c>
      <c r="H9">
        <v>39.5</v>
      </c>
      <c r="I9">
        <v>52.7</v>
      </c>
      <c r="J9">
        <v>0</v>
      </c>
      <c r="K9">
        <v>62</v>
      </c>
      <c r="L9" t="s">
        <v>160</v>
      </c>
      <c r="M9" t="s">
        <v>189</v>
      </c>
      <c r="N9" t="s">
        <v>160</v>
      </c>
      <c r="O9" t="s">
        <v>160</v>
      </c>
      <c r="P9" t="s">
        <v>160</v>
      </c>
      <c r="Q9">
        <v>2.04</v>
      </c>
      <c r="R9">
        <v>0</v>
      </c>
      <c r="S9">
        <v>2.04</v>
      </c>
      <c r="T9" t="s">
        <v>193</v>
      </c>
      <c r="U9">
        <v>78.36</v>
      </c>
      <c r="V9">
        <v>50.4</v>
      </c>
      <c r="W9">
        <v>0</v>
      </c>
      <c r="X9">
        <v>50.4</v>
      </c>
    </row>
    <row r="10" spans="1:24" x14ac:dyDescent="0.25">
      <c r="A10" t="s">
        <v>189</v>
      </c>
      <c r="B10">
        <v>39</v>
      </c>
      <c r="C10">
        <v>0</v>
      </c>
      <c r="D10">
        <v>39</v>
      </c>
      <c r="E10">
        <v>0</v>
      </c>
      <c r="F10">
        <v>0</v>
      </c>
      <c r="G10">
        <v>0</v>
      </c>
      <c r="H10">
        <v>39</v>
      </c>
      <c r="I10">
        <v>52.1</v>
      </c>
      <c r="J10">
        <v>0</v>
      </c>
      <c r="K10">
        <v>4</v>
      </c>
      <c r="L10" t="s">
        <v>160</v>
      </c>
      <c r="M10" t="s">
        <v>189</v>
      </c>
      <c r="N10" t="s">
        <v>160</v>
      </c>
      <c r="O10" t="s">
        <v>160</v>
      </c>
      <c r="P10" t="s">
        <v>160</v>
      </c>
      <c r="Q10">
        <v>2.0099999999999998</v>
      </c>
      <c r="R10">
        <v>0</v>
      </c>
      <c r="S10">
        <v>2.0099999999999998</v>
      </c>
      <c r="T10" t="s">
        <v>194</v>
      </c>
      <c r="U10">
        <v>77.55</v>
      </c>
      <c r="V10">
        <v>50.3</v>
      </c>
      <c r="W10">
        <v>0</v>
      </c>
      <c r="X10">
        <v>50.3</v>
      </c>
    </row>
    <row r="11" spans="1:24" x14ac:dyDescent="0.25">
      <c r="A11" t="s">
        <v>189</v>
      </c>
      <c r="B11">
        <v>31.16</v>
      </c>
      <c r="C11">
        <v>0</v>
      </c>
      <c r="D11">
        <v>31.16</v>
      </c>
      <c r="E11">
        <v>0</v>
      </c>
      <c r="F11">
        <v>0</v>
      </c>
      <c r="G11">
        <v>0</v>
      </c>
      <c r="H11">
        <v>31.16</v>
      </c>
      <c r="I11">
        <v>41.6</v>
      </c>
      <c r="J11">
        <v>0</v>
      </c>
      <c r="K11">
        <v>1</v>
      </c>
      <c r="L11" t="s">
        <v>160</v>
      </c>
      <c r="M11" t="s">
        <v>189</v>
      </c>
      <c r="N11" t="s">
        <v>160</v>
      </c>
      <c r="O11" t="s">
        <v>160</v>
      </c>
      <c r="P11" t="s">
        <v>160</v>
      </c>
      <c r="Q11">
        <v>1.61</v>
      </c>
      <c r="R11">
        <v>0</v>
      </c>
      <c r="S11">
        <v>1.61</v>
      </c>
      <c r="T11" t="s">
        <v>195</v>
      </c>
      <c r="U11">
        <v>61.69</v>
      </c>
      <c r="V11">
        <v>50.5</v>
      </c>
      <c r="W11">
        <v>0</v>
      </c>
      <c r="X11">
        <v>50.5</v>
      </c>
    </row>
    <row r="12" spans="1:24" x14ac:dyDescent="0.25">
      <c r="A12">
        <v>2021</v>
      </c>
      <c r="B12">
        <v>91.5</v>
      </c>
      <c r="C12">
        <v>0</v>
      </c>
      <c r="D12">
        <v>91.5</v>
      </c>
      <c r="E12">
        <v>0</v>
      </c>
      <c r="F12">
        <v>0</v>
      </c>
      <c r="G12">
        <v>0</v>
      </c>
      <c r="H12">
        <v>91.5</v>
      </c>
      <c r="I12">
        <v>123</v>
      </c>
      <c r="J12">
        <v>0</v>
      </c>
      <c r="K12">
        <v>418</v>
      </c>
      <c r="L12" t="s">
        <v>160</v>
      </c>
      <c r="M12">
        <v>2021</v>
      </c>
      <c r="N12">
        <v>3590</v>
      </c>
      <c r="O12">
        <v>1960</v>
      </c>
      <c r="P12">
        <v>2750</v>
      </c>
      <c r="Q12">
        <v>3.33</v>
      </c>
      <c r="R12">
        <v>0</v>
      </c>
      <c r="S12">
        <v>3.33</v>
      </c>
      <c r="T12">
        <v>2020</v>
      </c>
      <c r="U12">
        <v>182.9</v>
      </c>
      <c r="V12">
        <v>50</v>
      </c>
      <c r="W12">
        <v>0</v>
      </c>
      <c r="X12">
        <v>50</v>
      </c>
    </row>
    <row r="13" spans="1:24" x14ac:dyDescent="0.25">
      <c r="A13">
        <v>2020</v>
      </c>
      <c r="B13">
        <v>79</v>
      </c>
      <c r="C13">
        <v>0</v>
      </c>
      <c r="D13">
        <v>79</v>
      </c>
      <c r="E13">
        <v>0</v>
      </c>
      <c r="F13">
        <v>0</v>
      </c>
      <c r="G13">
        <v>0</v>
      </c>
      <c r="H13">
        <v>79</v>
      </c>
      <c r="I13">
        <v>106</v>
      </c>
      <c r="J13">
        <v>0</v>
      </c>
      <c r="K13">
        <v>662</v>
      </c>
      <c r="L13" t="s">
        <v>160</v>
      </c>
      <c r="M13">
        <v>2020</v>
      </c>
      <c r="N13">
        <v>5210</v>
      </c>
      <c r="O13">
        <v>2945</v>
      </c>
      <c r="P13">
        <v>3857</v>
      </c>
      <c r="Q13">
        <v>2.0499999999999998</v>
      </c>
      <c r="R13">
        <v>0</v>
      </c>
      <c r="S13">
        <v>2.0499999999999998</v>
      </c>
      <c r="T13">
        <v>2019</v>
      </c>
      <c r="U13">
        <v>210.7</v>
      </c>
      <c r="V13">
        <v>37.5</v>
      </c>
      <c r="W13">
        <v>0</v>
      </c>
      <c r="X13">
        <v>37.5</v>
      </c>
    </row>
    <row r="14" spans="1:24" x14ac:dyDescent="0.25">
      <c r="A14">
        <v>2019</v>
      </c>
      <c r="B14">
        <v>68</v>
      </c>
      <c r="C14">
        <v>0</v>
      </c>
      <c r="D14">
        <v>68</v>
      </c>
      <c r="E14">
        <v>0</v>
      </c>
      <c r="F14">
        <v>0</v>
      </c>
      <c r="G14">
        <v>0</v>
      </c>
      <c r="H14">
        <v>68</v>
      </c>
      <c r="I14">
        <v>91.2</v>
      </c>
      <c r="J14">
        <v>0</v>
      </c>
      <c r="K14">
        <v>2</v>
      </c>
      <c r="L14" t="s">
        <v>160</v>
      </c>
      <c r="M14">
        <v>2019</v>
      </c>
      <c r="N14">
        <v>5200</v>
      </c>
      <c r="O14">
        <v>2880</v>
      </c>
      <c r="P14">
        <v>4224</v>
      </c>
      <c r="Q14">
        <v>1.61</v>
      </c>
      <c r="R14">
        <v>0</v>
      </c>
      <c r="S14">
        <v>1.61</v>
      </c>
      <c r="T14">
        <v>2018</v>
      </c>
      <c r="U14">
        <v>181.67</v>
      </c>
      <c r="V14">
        <v>37.4</v>
      </c>
      <c r="W14">
        <v>0</v>
      </c>
      <c r="X14">
        <v>37.4</v>
      </c>
    </row>
    <row r="15" spans="1:24" x14ac:dyDescent="0.25">
      <c r="A15">
        <v>2018</v>
      </c>
      <c r="B15">
        <v>72.5</v>
      </c>
      <c r="C15">
        <v>0</v>
      </c>
      <c r="D15">
        <v>72.5</v>
      </c>
      <c r="E15">
        <v>0</v>
      </c>
      <c r="F15">
        <v>0</v>
      </c>
      <c r="G15">
        <v>0</v>
      </c>
      <c r="H15">
        <v>72.5</v>
      </c>
      <c r="I15">
        <v>97.3</v>
      </c>
      <c r="J15">
        <v>0</v>
      </c>
      <c r="K15">
        <v>1</v>
      </c>
      <c r="L15" t="s">
        <v>160</v>
      </c>
      <c r="M15">
        <v>2018</v>
      </c>
      <c r="N15">
        <v>5330</v>
      </c>
      <c r="O15">
        <v>2875</v>
      </c>
      <c r="P15">
        <v>3940</v>
      </c>
      <c r="Q15">
        <v>1.84</v>
      </c>
      <c r="R15">
        <v>0</v>
      </c>
      <c r="S15">
        <v>1.84</v>
      </c>
      <c r="T15">
        <v>2017</v>
      </c>
      <c r="U15">
        <v>193.65</v>
      </c>
      <c r="V15">
        <v>37.4</v>
      </c>
      <c r="W15">
        <v>0</v>
      </c>
      <c r="X15">
        <v>37.4</v>
      </c>
    </row>
    <row r="16" spans="1:24" x14ac:dyDescent="0.25">
      <c r="A16">
        <v>2017</v>
      </c>
      <c r="B16">
        <v>63.5</v>
      </c>
      <c r="C16">
        <v>0</v>
      </c>
      <c r="D16">
        <v>63.5</v>
      </c>
      <c r="E16">
        <v>0</v>
      </c>
      <c r="F16">
        <v>0</v>
      </c>
      <c r="G16">
        <v>0</v>
      </c>
      <c r="H16">
        <v>63.5</v>
      </c>
      <c r="I16">
        <v>85.2</v>
      </c>
      <c r="J16">
        <v>0</v>
      </c>
      <c r="K16">
        <v>1</v>
      </c>
      <c r="L16" t="s">
        <v>160</v>
      </c>
      <c r="M16">
        <v>2017</v>
      </c>
      <c r="N16">
        <v>6075</v>
      </c>
      <c r="O16">
        <v>3780</v>
      </c>
      <c r="P16">
        <v>5028</v>
      </c>
      <c r="Q16">
        <v>1.26</v>
      </c>
      <c r="R16">
        <v>0</v>
      </c>
      <c r="S16">
        <v>1.26</v>
      </c>
      <c r="T16">
        <v>2016</v>
      </c>
      <c r="U16">
        <v>169.47</v>
      </c>
      <c r="V16">
        <v>37.5</v>
      </c>
      <c r="W16">
        <v>0</v>
      </c>
      <c r="X16">
        <v>37.5</v>
      </c>
    </row>
    <row r="17" spans="1:24" x14ac:dyDescent="0.25">
      <c r="A17">
        <v>2016</v>
      </c>
      <c r="B17">
        <v>63.5</v>
      </c>
      <c r="C17">
        <v>0</v>
      </c>
      <c r="D17">
        <v>63.5</v>
      </c>
      <c r="E17">
        <v>0</v>
      </c>
      <c r="F17">
        <v>0</v>
      </c>
      <c r="G17">
        <v>0</v>
      </c>
      <c r="H17">
        <v>63.5</v>
      </c>
      <c r="I17">
        <v>85.2</v>
      </c>
      <c r="J17">
        <v>0</v>
      </c>
      <c r="K17">
        <v>22</v>
      </c>
      <c r="L17" t="s">
        <v>160</v>
      </c>
      <c r="M17">
        <v>2016</v>
      </c>
      <c r="N17">
        <v>3980</v>
      </c>
      <c r="O17">
        <v>1790</v>
      </c>
      <c r="P17">
        <v>3066</v>
      </c>
      <c r="Q17">
        <v>2.0699999999999998</v>
      </c>
      <c r="R17">
        <v>0</v>
      </c>
      <c r="S17">
        <v>2.0699999999999998</v>
      </c>
      <c r="T17">
        <v>2015</v>
      </c>
      <c r="U17">
        <v>180.08</v>
      </c>
      <c r="V17">
        <v>35.299999999999997</v>
      </c>
      <c r="W17">
        <v>0</v>
      </c>
      <c r="X17">
        <v>35.299999999999997</v>
      </c>
    </row>
    <row r="18" spans="1:24" x14ac:dyDescent="0.25">
      <c r="A18">
        <v>2015</v>
      </c>
      <c r="B18">
        <v>51</v>
      </c>
      <c r="C18">
        <v>0</v>
      </c>
      <c r="D18">
        <v>51</v>
      </c>
      <c r="E18">
        <v>0</v>
      </c>
      <c r="F18">
        <v>0</v>
      </c>
      <c r="G18">
        <v>0</v>
      </c>
      <c r="H18">
        <v>51</v>
      </c>
      <c r="I18">
        <v>68.400000000000006</v>
      </c>
      <c r="J18">
        <v>0</v>
      </c>
      <c r="K18">
        <v>1</v>
      </c>
      <c r="L18" t="s">
        <v>160</v>
      </c>
      <c r="M18">
        <v>2015</v>
      </c>
      <c r="N18">
        <v>3715</v>
      </c>
      <c r="O18">
        <v>2045</v>
      </c>
      <c r="P18">
        <v>2839</v>
      </c>
      <c r="Q18">
        <v>1.8</v>
      </c>
      <c r="R18">
        <v>0</v>
      </c>
      <c r="S18">
        <v>1.8</v>
      </c>
      <c r="T18">
        <v>2014</v>
      </c>
      <c r="U18">
        <v>144.91</v>
      </c>
      <c r="V18">
        <v>35.200000000000003</v>
      </c>
      <c r="W18">
        <v>0</v>
      </c>
      <c r="X18">
        <v>35.200000000000003</v>
      </c>
    </row>
    <row r="19" spans="1:24" x14ac:dyDescent="0.25">
      <c r="A19">
        <v>2014</v>
      </c>
      <c r="B19">
        <v>28.5</v>
      </c>
      <c r="C19">
        <v>0</v>
      </c>
      <c r="D19">
        <v>28.5</v>
      </c>
      <c r="E19">
        <v>0</v>
      </c>
      <c r="F19">
        <v>0</v>
      </c>
      <c r="G19">
        <v>0</v>
      </c>
      <c r="H19">
        <v>28.5</v>
      </c>
      <c r="I19">
        <v>38.200000000000003</v>
      </c>
      <c r="J19">
        <v>0</v>
      </c>
      <c r="K19">
        <v>2</v>
      </c>
      <c r="L19" t="s">
        <v>160</v>
      </c>
      <c r="M19">
        <v>2014</v>
      </c>
      <c r="N19">
        <v>2640</v>
      </c>
      <c r="O19">
        <v>1105</v>
      </c>
      <c r="P19">
        <v>1978</v>
      </c>
      <c r="Q19">
        <v>1.44</v>
      </c>
      <c r="R19">
        <v>0</v>
      </c>
      <c r="S19">
        <v>1.44</v>
      </c>
      <c r="T19">
        <v>2013</v>
      </c>
      <c r="U19">
        <v>71.64</v>
      </c>
      <c r="V19">
        <v>39.799999999999997</v>
      </c>
      <c r="W19">
        <v>0</v>
      </c>
      <c r="X19">
        <v>39.799999999999997</v>
      </c>
    </row>
    <row r="20" spans="1:24" x14ac:dyDescent="0.25">
      <c r="A20">
        <v>2013</v>
      </c>
      <c r="B20">
        <v>17</v>
      </c>
      <c r="C20">
        <v>0</v>
      </c>
      <c r="D20">
        <v>17</v>
      </c>
      <c r="E20">
        <v>0</v>
      </c>
      <c r="F20">
        <v>0</v>
      </c>
      <c r="G20">
        <v>0</v>
      </c>
      <c r="H20">
        <v>17</v>
      </c>
      <c r="I20">
        <v>22.8</v>
      </c>
      <c r="J20">
        <v>0</v>
      </c>
      <c r="K20">
        <v>62</v>
      </c>
      <c r="L20" t="s">
        <v>160</v>
      </c>
      <c r="M20">
        <v>2013</v>
      </c>
      <c r="N20">
        <v>1250</v>
      </c>
      <c r="O20">
        <v>681</v>
      </c>
      <c r="P20">
        <v>932</v>
      </c>
      <c r="Q20">
        <v>1.82</v>
      </c>
      <c r="R20">
        <v>0</v>
      </c>
      <c r="S20">
        <v>1.82</v>
      </c>
      <c r="T20">
        <v>2012</v>
      </c>
      <c r="U20">
        <v>41.61</v>
      </c>
      <c r="V20">
        <v>40.9</v>
      </c>
      <c r="W20">
        <v>0</v>
      </c>
      <c r="X20">
        <v>40.9</v>
      </c>
    </row>
    <row r="21" spans="1:24" x14ac:dyDescent="0.25">
      <c r="A21">
        <v>2012</v>
      </c>
      <c r="B21">
        <v>17</v>
      </c>
      <c r="C21">
        <v>0</v>
      </c>
      <c r="D21">
        <v>17</v>
      </c>
      <c r="E21">
        <v>0</v>
      </c>
      <c r="F21">
        <v>0</v>
      </c>
      <c r="G21">
        <v>0</v>
      </c>
      <c r="H21">
        <v>17</v>
      </c>
      <c r="I21">
        <v>22.8</v>
      </c>
      <c r="J21">
        <v>0</v>
      </c>
      <c r="K21">
        <v>1</v>
      </c>
      <c r="L21" t="s">
        <v>160</v>
      </c>
      <c r="M21">
        <v>2012</v>
      </c>
      <c r="N21">
        <v>899</v>
      </c>
      <c r="O21">
        <v>451</v>
      </c>
      <c r="P21">
        <v>623</v>
      </c>
      <c r="Q21">
        <v>2.73</v>
      </c>
      <c r="R21">
        <v>0</v>
      </c>
      <c r="S21">
        <v>2.73</v>
      </c>
      <c r="T21">
        <v>2011</v>
      </c>
      <c r="U21">
        <v>38.76</v>
      </c>
      <c r="V21">
        <v>43.9</v>
      </c>
      <c r="W21">
        <v>0</v>
      </c>
      <c r="X21">
        <v>43.9</v>
      </c>
    </row>
    <row r="22" spans="1:24" x14ac:dyDescent="0.25">
      <c r="A22">
        <v>2011</v>
      </c>
      <c r="B22">
        <v>13.5</v>
      </c>
      <c r="C22">
        <v>0</v>
      </c>
      <c r="D22">
        <v>13.5</v>
      </c>
      <c r="E22">
        <v>0</v>
      </c>
      <c r="F22">
        <v>0</v>
      </c>
      <c r="G22">
        <v>0</v>
      </c>
      <c r="H22">
        <v>13.5</v>
      </c>
      <c r="I22">
        <v>18.100000000000001</v>
      </c>
      <c r="J22">
        <v>0</v>
      </c>
      <c r="K22">
        <v>1</v>
      </c>
      <c r="L22" t="s">
        <v>160</v>
      </c>
      <c r="M22">
        <v>2011</v>
      </c>
      <c r="N22">
        <v>1005</v>
      </c>
      <c r="O22">
        <v>466</v>
      </c>
      <c r="P22">
        <v>785</v>
      </c>
      <c r="Q22">
        <v>1.72</v>
      </c>
      <c r="R22">
        <v>0</v>
      </c>
      <c r="S22">
        <v>1.72</v>
      </c>
      <c r="T22">
        <v>2010</v>
      </c>
      <c r="U22">
        <v>30.15</v>
      </c>
      <c r="V22">
        <v>44.8</v>
      </c>
      <c r="W22">
        <v>0</v>
      </c>
      <c r="X22">
        <v>44.8</v>
      </c>
    </row>
    <row r="23" spans="1:24" x14ac:dyDescent="0.25">
      <c r="A23">
        <v>2010</v>
      </c>
      <c r="B23">
        <v>10</v>
      </c>
      <c r="C23">
        <v>0</v>
      </c>
      <c r="D23">
        <v>10</v>
      </c>
      <c r="E23">
        <v>0</v>
      </c>
      <c r="F23">
        <v>0</v>
      </c>
      <c r="G23">
        <v>0</v>
      </c>
      <c r="H23">
        <v>10</v>
      </c>
      <c r="I23">
        <v>13.4</v>
      </c>
      <c r="J23">
        <v>0</v>
      </c>
      <c r="K23">
        <v>1</v>
      </c>
      <c r="L23" t="s">
        <v>160</v>
      </c>
      <c r="M23">
        <v>2010</v>
      </c>
      <c r="N23">
        <v>765</v>
      </c>
      <c r="O23">
        <v>388</v>
      </c>
      <c r="P23">
        <v>546</v>
      </c>
      <c r="Q23">
        <v>1.83</v>
      </c>
      <c r="R23">
        <v>0</v>
      </c>
      <c r="S23">
        <v>1.83</v>
      </c>
      <c r="T23">
        <v>2009</v>
      </c>
      <c r="U23">
        <v>18.62</v>
      </c>
      <c r="V23">
        <v>53.7</v>
      </c>
      <c r="W23">
        <v>0</v>
      </c>
      <c r="X23">
        <v>53.7</v>
      </c>
    </row>
    <row r="24" spans="1:24" x14ac:dyDescent="0.25">
      <c r="A24">
        <v>2009</v>
      </c>
      <c r="B24">
        <v>10</v>
      </c>
      <c r="C24">
        <v>0</v>
      </c>
      <c r="D24">
        <v>10</v>
      </c>
      <c r="E24">
        <v>0.2</v>
      </c>
      <c r="F24">
        <v>0</v>
      </c>
      <c r="G24">
        <v>0.2</v>
      </c>
      <c r="H24">
        <v>10.199999999999999</v>
      </c>
      <c r="I24">
        <v>13</v>
      </c>
      <c r="J24">
        <v>2.6</v>
      </c>
      <c r="K24">
        <v>1</v>
      </c>
      <c r="L24">
        <v>1</v>
      </c>
      <c r="M24">
        <v>2009</v>
      </c>
      <c r="N24">
        <v>465.5</v>
      </c>
      <c r="O24">
        <v>194.5</v>
      </c>
      <c r="P24">
        <v>343</v>
      </c>
      <c r="Q24">
        <v>2.92</v>
      </c>
      <c r="R24">
        <v>0.06</v>
      </c>
      <c r="S24">
        <v>2.97</v>
      </c>
      <c r="T24">
        <v>2008</v>
      </c>
      <c r="U24">
        <v>24.92</v>
      </c>
      <c r="V24">
        <v>40.1</v>
      </c>
      <c r="W24">
        <v>0.8</v>
      </c>
      <c r="X24">
        <v>40.9</v>
      </c>
    </row>
    <row r="25" spans="1:24" x14ac:dyDescent="0.25">
      <c r="A25">
        <v>2008</v>
      </c>
      <c r="B25">
        <v>9.8000000000000007</v>
      </c>
      <c r="C25">
        <v>0</v>
      </c>
      <c r="D25">
        <v>9.8000000000000007</v>
      </c>
      <c r="E25">
        <v>0.2</v>
      </c>
      <c r="F25">
        <v>0</v>
      </c>
      <c r="G25">
        <v>0.2</v>
      </c>
      <c r="H25">
        <v>10</v>
      </c>
      <c r="I25">
        <v>0</v>
      </c>
      <c r="J25">
        <v>0</v>
      </c>
      <c r="K25">
        <v>240</v>
      </c>
      <c r="L25">
        <v>240</v>
      </c>
      <c r="M25">
        <v>2008</v>
      </c>
      <c r="N25">
        <v>470</v>
      </c>
      <c r="O25">
        <v>167</v>
      </c>
      <c r="P25">
        <v>345</v>
      </c>
      <c r="Q25">
        <v>2.84</v>
      </c>
      <c r="R25">
        <v>0.06</v>
      </c>
      <c r="S25">
        <v>2.9</v>
      </c>
      <c r="T25">
        <v>2007</v>
      </c>
      <c r="U25">
        <v>20.440000000000001</v>
      </c>
      <c r="V25">
        <v>47.9</v>
      </c>
      <c r="W25">
        <v>0.98</v>
      </c>
      <c r="X25">
        <v>48.9</v>
      </c>
    </row>
    <row r="26" spans="1:24" x14ac:dyDescent="0.25">
      <c r="A26" t="s">
        <v>164</v>
      </c>
      <c r="B26" t="s">
        <v>165</v>
      </c>
      <c r="C26" t="s">
        <v>166</v>
      </c>
    </row>
    <row r="27" spans="1:24" ht="49.5" x14ac:dyDescent="0.25">
      <c r="A27" s="1" t="s">
        <v>167</v>
      </c>
      <c r="B27" t="s">
        <v>168</v>
      </c>
      <c r="C27" t="s">
        <v>169</v>
      </c>
      <c r="D27" s="1" t="s">
        <v>170</v>
      </c>
      <c r="E27" s="1" t="s">
        <v>171</v>
      </c>
    </row>
    <row r="28" spans="1:24" ht="49.5" x14ac:dyDescent="0.25">
      <c r="A28" t="s">
        <v>157</v>
      </c>
      <c r="B28" t="s">
        <v>158</v>
      </c>
      <c r="C28" s="1" t="s">
        <v>172</v>
      </c>
      <c r="D28" s="1" t="s">
        <v>173</v>
      </c>
      <c r="E28" s="1" t="s">
        <v>174</v>
      </c>
      <c r="F28" s="1" t="s">
        <v>175</v>
      </c>
      <c r="G28" t="s">
        <v>176</v>
      </c>
      <c r="H28" t="s">
        <v>177</v>
      </c>
      <c r="I28" s="1" t="s">
        <v>178</v>
      </c>
      <c r="J28" s="1" t="s">
        <v>179</v>
      </c>
      <c r="K28" t="s">
        <v>180</v>
      </c>
    </row>
    <row r="29" spans="1:24" x14ac:dyDescent="0.25">
      <c r="A29" t="s">
        <v>181</v>
      </c>
      <c r="B29" t="s">
        <v>182</v>
      </c>
      <c r="C29" t="s">
        <v>34</v>
      </c>
      <c r="D29" t="s">
        <v>181</v>
      </c>
      <c r="E29" t="s">
        <v>182</v>
      </c>
      <c r="F29" t="s">
        <v>34</v>
      </c>
      <c r="G29" t="s">
        <v>119</v>
      </c>
      <c r="H29" t="s">
        <v>120</v>
      </c>
      <c r="I29" t="s">
        <v>183</v>
      </c>
      <c r="J29" t="s">
        <v>184</v>
      </c>
      <c r="K29" t="s">
        <v>185</v>
      </c>
      <c r="L29" t="s">
        <v>34</v>
      </c>
      <c r="M29" t="s">
        <v>186</v>
      </c>
      <c r="N29" t="s">
        <v>187</v>
      </c>
      <c r="O29" t="s">
        <v>34</v>
      </c>
    </row>
    <row r="30" spans="1:24" x14ac:dyDescent="0.25">
      <c r="A30">
        <v>2007</v>
      </c>
      <c r="B30">
        <v>11.4</v>
      </c>
      <c r="C30">
        <v>0</v>
      </c>
      <c r="D30">
        <v>11.4</v>
      </c>
      <c r="E30">
        <v>0.2</v>
      </c>
      <c r="F30">
        <v>0</v>
      </c>
      <c r="G30">
        <v>0.2</v>
      </c>
      <c r="H30">
        <v>11.6</v>
      </c>
      <c r="I30">
        <v>0</v>
      </c>
      <c r="J30">
        <v>0</v>
      </c>
      <c r="K30">
        <v>37</v>
      </c>
      <c r="L30">
        <v>37</v>
      </c>
      <c r="M30">
        <v>2007</v>
      </c>
      <c r="N30">
        <v>645</v>
      </c>
      <c r="O30">
        <v>260</v>
      </c>
      <c r="P30">
        <v>422</v>
      </c>
      <c r="Q30">
        <v>2.7</v>
      </c>
      <c r="R30">
        <v>0.05</v>
      </c>
      <c r="S30">
        <v>2.75</v>
      </c>
      <c r="T30">
        <v>2006</v>
      </c>
      <c r="U30">
        <v>32.06</v>
      </c>
      <c r="V30">
        <v>35.6</v>
      </c>
      <c r="W30">
        <v>0.62</v>
      </c>
      <c r="X30">
        <v>36.200000000000003</v>
      </c>
    </row>
    <row r="31" spans="1:24" x14ac:dyDescent="0.25">
      <c r="A31">
        <v>2006</v>
      </c>
      <c r="B31">
        <v>7</v>
      </c>
      <c r="C31">
        <v>0</v>
      </c>
      <c r="D31">
        <v>7</v>
      </c>
      <c r="E31">
        <v>0.5</v>
      </c>
      <c r="F31">
        <v>0</v>
      </c>
      <c r="G31">
        <v>0.5</v>
      </c>
      <c r="H31">
        <v>7.5</v>
      </c>
      <c r="I31">
        <v>0</v>
      </c>
      <c r="J31">
        <v>0</v>
      </c>
      <c r="K31">
        <v>29</v>
      </c>
      <c r="L31">
        <v>29</v>
      </c>
      <c r="M31">
        <v>2006</v>
      </c>
      <c r="N31">
        <v>766</v>
      </c>
      <c r="O31">
        <v>482</v>
      </c>
      <c r="P31">
        <v>635</v>
      </c>
      <c r="Q31">
        <v>1.1000000000000001</v>
      </c>
      <c r="R31">
        <v>0.08</v>
      </c>
      <c r="S31">
        <v>1.18</v>
      </c>
      <c r="T31">
        <v>2005</v>
      </c>
      <c r="U31">
        <v>14.93</v>
      </c>
      <c r="V31">
        <v>46.9</v>
      </c>
      <c r="W31">
        <v>3.35</v>
      </c>
      <c r="X31">
        <v>50.2</v>
      </c>
    </row>
    <row r="32" spans="1:24" x14ac:dyDescent="0.25">
      <c r="A32">
        <v>2005</v>
      </c>
      <c r="B32">
        <v>4.5</v>
      </c>
      <c r="C32">
        <v>0</v>
      </c>
      <c r="D32">
        <v>4.5</v>
      </c>
      <c r="E32">
        <v>0.5</v>
      </c>
      <c r="F32">
        <v>0</v>
      </c>
      <c r="G32">
        <v>0.5</v>
      </c>
      <c r="H32">
        <v>5</v>
      </c>
      <c r="I32">
        <v>0</v>
      </c>
      <c r="J32">
        <v>0</v>
      </c>
      <c r="K32">
        <v>7</v>
      </c>
      <c r="L32">
        <v>7</v>
      </c>
      <c r="M32">
        <v>2005</v>
      </c>
      <c r="N32">
        <v>551</v>
      </c>
      <c r="O32">
        <v>128</v>
      </c>
      <c r="P32">
        <v>254</v>
      </c>
      <c r="Q32">
        <v>1.77</v>
      </c>
      <c r="R32">
        <v>0.2</v>
      </c>
      <c r="S32">
        <v>1.97</v>
      </c>
      <c r="T32">
        <v>2004</v>
      </c>
      <c r="U32">
        <v>10.48</v>
      </c>
      <c r="V32">
        <v>42.9</v>
      </c>
      <c r="W32">
        <v>4.7699999999999996</v>
      </c>
      <c r="X32">
        <v>47.7</v>
      </c>
    </row>
    <row r="33" spans="1:24" x14ac:dyDescent="0.25">
      <c r="A33">
        <v>2004</v>
      </c>
      <c r="B33">
        <v>6</v>
      </c>
      <c r="C33">
        <v>0</v>
      </c>
      <c r="D33">
        <v>6</v>
      </c>
      <c r="E33">
        <v>1</v>
      </c>
      <c r="F33">
        <v>0</v>
      </c>
      <c r="G33">
        <v>1</v>
      </c>
      <c r="H33">
        <v>7</v>
      </c>
      <c r="I33">
        <v>0</v>
      </c>
      <c r="J33">
        <v>0</v>
      </c>
      <c r="K33">
        <v>3</v>
      </c>
      <c r="L33">
        <v>3</v>
      </c>
      <c r="M33">
        <v>2004</v>
      </c>
      <c r="N33">
        <v>469</v>
      </c>
      <c r="O33">
        <v>168</v>
      </c>
      <c r="P33">
        <v>295</v>
      </c>
      <c r="Q33">
        <v>2.0299999999999998</v>
      </c>
      <c r="R33">
        <v>0.34</v>
      </c>
      <c r="S33">
        <v>2.37</v>
      </c>
      <c r="T33">
        <v>2003</v>
      </c>
      <c r="U33">
        <v>14.08</v>
      </c>
      <c r="V33">
        <v>42.6</v>
      </c>
      <c r="W33">
        <v>7.1</v>
      </c>
      <c r="X33">
        <v>49.7</v>
      </c>
    </row>
    <row r="34" spans="1:24" x14ac:dyDescent="0.25">
      <c r="A34">
        <v>2003</v>
      </c>
      <c r="B34">
        <v>5</v>
      </c>
      <c r="C34">
        <v>0</v>
      </c>
      <c r="D34">
        <v>5</v>
      </c>
      <c r="E34">
        <v>1</v>
      </c>
      <c r="F34">
        <v>0</v>
      </c>
      <c r="G34">
        <v>1</v>
      </c>
      <c r="H34">
        <v>6</v>
      </c>
      <c r="I34">
        <v>0</v>
      </c>
      <c r="J34">
        <v>0</v>
      </c>
      <c r="K34">
        <v>1</v>
      </c>
      <c r="L34">
        <v>1</v>
      </c>
      <c r="M34">
        <v>2003</v>
      </c>
      <c r="N34">
        <v>413</v>
      </c>
      <c r="O34">
        <v>171</v>
      </c>
      <c r="P34">
        <v>262</v>
      </c>
      <c r="Q34">
        <v>1.91</v>
      </c>
      <c r="R34">
        <v>0.38</v>
      </c>
      <c r="S34">
        <v>2.29</v>
      </c>
      <c r="T34">
        <v>2002</v>
      </c>
      <c r="U34">
        <v>10.18</v>
      </c>
      <c r="V34">
        <v>49.1</v>
      </c>
      <c r="W34">
        <v>9.82</v>
      </c>
      <c r="X34">
        <v>58.9</v>
      </c>
    </row>
    <row r="35" spans="1:24" x14ac:dyDescent="0.25">
      <c r="A35">
        <v>2002</v>
      </c>
      <c r="B35">
        <v>3</v>
      </c>
      <c r="C35">
        <v>0</v>
      </c>
      <c r="D35">
        <v>3</v>
      </c>
      <c r="E35">
        <v>3</v>
      </c>
      <c r="F35">
        <v>0</v>
      </c>
      <c r="G35">
        <v>3</v>
      </c>
      <c r="H35">
        <v>6</v>
      </c>
      <c r="I35">
        <v>0</v>
      </c>
      <c r="J35">
        <v>0</v>
      </c>
      <c r="K35">
        <v>67</v>
      </c>
      <c r="L35">
        <v>67</v>
      </c>
      <c r="M35">
        <v>2002</v>
      </c>
      <c r="N35">
        <v>324</v>
      </c>
      <c r="O35">
        <v>152</v>
      </c>
      <c r="P35">
        <v>231</v>
      </c>
      <c r="Q35">
        <v>1.3</v>
      </c>
      <c r="R35">
        <v>1.3</v>
      </c>
      <c r="S35">
        <v>2.6</v>
      </c>
      <c r="T35">
        <v>2001</v>
      </c>
      <c r="U35">
        <v>10.029999999999999</v>
      </c>
      <c r="V35">
        <v>29.9</v>
      </c>
      <c r="W35">
        <v>29.9</v>
      </c>
      <c r="X35">
        <v>59.8</v>
      </c>
    </row>
    <row r="36" spans="1:24" x14ac:dyDescent="0.25">
      <c r="A36">
        <v>2001</v>
      </c>
      <c r="B36">
        <v>0</v>
      </c>
      <c r="C36">
        <v>0</v>
      </c>
      <c r="D36">
        <v>0</v>
      </c>
      <c r="E36">
        <v>7</v>
      </c>
      <c r="F36">
        <v>0</v>
      </c>
      <c r="G36">
        <v>7</v>
      </c>
      <c r="H36">
        <v>7</v>
      </c>
      <c r="I36">
        <v>0</v>
      </c>
      <c r="J36">
        <v>0</v>
      </c>
      <c r="K36" t="s">
        <v>160</v>
      </c>
      <c r="L36" t="s">
        <v>160</v>
      </c>
      <c r="M36" t="s">
        <v>160</v>
      </c>
      <c r="N36" t="s">
        <v>160</v>
      </c>
      <c r="O36" t="s">
        <v>160</v>
      </c>
      <c r="P36" t="s">
        <v>160</v>
      </c>
      <c r="Q36" t="s">
        <v>160</v>
      </c>
      <c r="R36" t="s">
        <v>160</v>
      </c>
      <c r="S36" t="s">
        <v>160</v>
      </c>
      <c r="T36">
        <v>2000</v>
      </c>
      <c r="U36">
        <v>14.39</v>
      </c>
      <c r="V36">
        <v>0</v>
      </c>
      <c r="W36">
        <v>48.6</v>
      </c>
      <c r="X36">
        <v>48.6</v>
      </c>
    </row>
    <row r="37" spans="1:24" x14ac:dyDescent="0.25">
      <c r="A37">
        <v>2000</v>
      </c>
      <c r="B37">
        <v>0</v>
      </c>
      <c r="C37">
        <v>0</v>
      </c>
      <c r="D37">
        <v>0</v>
      </c>
      <c r="E37">
        <v>0</v>
      </c>
      <c r="F37">
        <v>0</v>
      </c>
      <c r="G37">
        <v>0</v>
      </c>
      <c r="H37">
        <v>0</v>
      </c>
      <c r="I37">
        <v>0</v>
      </c>
      <c r="J37">
        <v>0</v>
      </c>
      <c r="K37" t="s">
        <v>160</v>
      </c>
      <c r="L37" t="s">
        <v>160</v>
      </c>
      <c r="M37" t="s">
        <v>160</v>
      </c>
      <c r="N37" t="s">
        <v>160</v>
      </c>
      <c r="O37" t="s">
        <v>160</v>
      </c>
      <c r="P37" t="s">
        <v>160</v>
      </c>
      <c r="Q37" t="s">
        <v>160</v>
      </c>
      <c r="R37" t="s">
        <v>160</v>
      </c>
      <c r="S37" t="s">
        <v>160</v>
      </c>
      <c r="T37">
        <v>1999</v>
      </c>
      <c r="U37">
        <v>13.29</v>
      </c>
      <c r="V37">
        <v>0</v>
      </c>
      <c r="W37">
        <v>0</v>
      </c>
      <c r="X37">
        <v>0</v>
      </c>
    </row>
    <row r="38" spans="1:24" x14ac:dyDescent="0.25">
      <c r="A38" t="s">
        <v>196</v>
      </c>
      <c r="B38">
        <v>813.9</v>
      </c>
      <c r="C38">
        <v>0</v>
      </c>
      <c r="D38">
        <v>813.9</v>
      </c>
      <c r="E38">
        <v>13.6</v>
      </c>
      <c r="F38">
        <v>0</v>
      </c>
      <c r="G38">
        <v>13.6</v>
      </c>
      <c r="H38">
        <v>827.5</v>
      </c>
      <c r="T38" t="s">
        <v>196</v>
      </c>
      <c r="U38">
        <v>1990</v>
      </c>
    </row>
  </sheetData>
  <phoneticPr fontId="1"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ECA9F-27AD-4D7E-99B5-34686F1F3239}">
  <sheetPr codeName="工作表83"/>
  <dimension ref="A1"/>
  <sheetViews>
    <sheetView workbookViewId="0"/>
  </sheetViews>
  <sheetFormatPr defaultRowHeight="16.5" x14ac:dyDescent="0.25"/>
  <sheetData/>
  <phoneticPr fontId="1"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B6ABA-83C8-47C5-A61F-7792948BE483}">
  <sheetPr codeName="工作表84"/>
  <dimension ref="A1"/>
  <sheetViews>
    <sheetView workbookViewId="0"/>
  </sheetViews>
  <sheetFormatPr defaultRowHeight="16.5" x14ac:dyDescent="0.25"/>
  <sheetData>
    <row r="1" spans="1:1" ht="409.5" x14ac:dyDescent="0.25">
      <c r="A1" s="1" t="s">
        <v>197</v>
      </c>
    </row>
  </sheetData>
  <phoneticPr fontId="1"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D7EAD-5F47-4D1F-A89C-4347326C9E0D}">
  <sheetPr codeName="工作表85"/>
  <dimension ref="A1:A2"/>
  <sheetViews>
    <sheetView workbookViewId="0"/>
  </sheetViews>
  <sheetFormatPr defaultRowHeight="16.5" x14ac:dyDescent="0.25"/>
  <sheetData>
    <row r="1" spans="1:1" x14ac:dyDescent="0.25">
      <c r="A1" t="s">
        <v>198</v>
      </c>
    </row>
    <row r="2" spans="1:1" x14ac:dyDescent="0.25">
      <c r="A2" t="s">
        <v>199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29</vt:i4>
      </vt:variant>
    </vt:vector>
  </HeadingPairs>
  <TitlesOfParts>
    <vt:vector size="29" baseType="lpstr">
      <vt:lpstr>Main</vt:lpstr>
      <vt:lpstr>Table_0</vt:lpstr>
      <vt:lpstr>Table_1</vt:lpstr>
      <vt:lpstr>Table_2</vt:lpstr>
      <vt:lpstr>Table_3</vt:lpstr>
      <vt:lpstr>Table_4</vt:lpstr>
      <vt:lpstr>Table_5</vt:lpstr>
      <vt:lpstr>Table_6</vt:lpstr>
      <vt:lpstr>Table_7</vt:lpstr>
      <vt:lpstr>Table_8</vt:lpstr>
      <vt:lpstr>Table_9</vt:lpstr>
      <vt:lpstr>Table_10</vt:lpstr>
      <vt:lpstr>Table_11</vt:lpstr>
      <vt:lpstr>Table_12</vt:lpstr>
      <vt:lpstr>Table_13</vt:lpstr>
      <vt:lpstr>Table_14</vt:lpstr>
      <vt:lpstr>Table_15</vt:lpstr>
      <vt:lpstr>Table_16</vt:lpstr>
      <vt:lpstr>Table_17</vt:lpstr>
      <vt:lpstr>Table_18</vt:lpstr>
      <vt:lpstr>Table_19</vt:lpstr>
      <vt:lpstr>Table_20</vt:lpstr>
      <vt:lpstr>Table_21</vt:lpstr>
      <vt:lpstr>Table_22</vt:lpstr>
      <vt:lpstr>Table_23</vt:lpstr>
      <vt:lpstr>Table_24</vt:lpstr>
      <vt:lpstr>Table_25</vt:lpstr>
      <vt:lpstr>Table_26</vt:lpstr>
      <vt:lpstr>Table_27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C036039</cp:lastModifiedBy>
  <dcterms:created xsi:type="dcterms:W3CDTF">2019-07-10T03:16:25Z</dcterms:created>
  <dcterms:modified xsi:type="dcterms:W3CDTF">2024-02-21T00:34:41Z</dcterms:modified>
</cp:coreProperties>
</file>