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C214A2BA-96A2-4DD3-8AD8-D2BD4CDEBEBE}" xr6:coauthVersionLast="45" xr6:coauthVersionMax="45" xr10:uidLastSave="{00000000-0000-0000-0000-000000000000}"/>
  <bookViews>
    <workbookView xWindow="28680" yWindow="-120" windowWidth="29040" windowHeight="15840" firstSheet="2" activeTab="5" xr2:uid="{BACEB412-F2AB-4E5B-B900-11AD3AF6942A}"/>
  </bookViews>
  <sheets>
    <sheet name="總表" sheetId="1" r:id="rId1"/>
    <sheet name="假日報准施工統計表" sheetId="7" r:id="rId2"/>
    <sheet name="設定" sheetId="3" r:id="rId3"/>
    <sheet name="字典" sheetId="14" r:id="rId4"/>
    <sheet name="版本" sheetId="8" r:id="rId5"/>
    <sheet name="DATA" sheetId="15" r:id="rId6"/>
  </sheets>
  <functionGroups builtInGroupCount="19"/>
  <definedNames>
    <definedName name="_xlnm._FilterDatabase" localSheetId="5" hidden="1">DATA!$A$2:$J$827</definedName>
    <definedName name="_xlnm._FilterDatabase" localSheetId="0" hidden="1">總表!$A$7:$B$17</definedName>
    <definedName name="_xlnm.Print_Area" localSheetId="1">假日報准施工統計表!$A$1:$I$19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829" i="15" l="1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28" i="15"/>
  <c r="A827" i="15"/>
  <c r="A826" i="15"/>
  <c r="A825" i="15"/>
  <c r="A824" i="15"/>
  <c r="A823" i="15"/>
  <c r="A822" i="15"/>
  <c r="A821" i="15"/>
  <c r="A820" i="15"/>
  <c r="A819" i="15"/>
  <c r="A818" i="15"/>
  <c r="A817" i="15"/>
  <c r="A816" i="15"/>
  <c r="A815" i="15"/>
  <c r="A814" i="15"/>
  <c r="A813" i="15"/>
  <c r="A812" i="15"/>
  <c r="A811" i="15"/>
  <c r="A810" i="15"/>
  <c r="A809" i="15"/>
  <c r="A808" i="15"/>
  <c r="A807" i="15"/>
  <c r="A806" i="15"/>
  <c r="A805" i="15"/>
  <c r="A804" i="15"/>
  <c r="A803" i="15"/>
  <c r="A802" i="15"/>
  <c r="A801" i="15"/>
  <c r="A800" i="15"/>
  <c r="A799" i="15"/>
  <c r="A798" i="15"/>
  <c r="A797" i="15"/>
  <c r="A796" i="15"/>
  <c r="A795" i="15"/>
  <c r="A794" i="15"/>
  <c r="A793" i="15"/>
  <c r="A792" i="15"/>
  <c r="A791" i="15"/>
  <c r="A790" i="15"/>
  <c r="A789" i="15"/>
  <c r="A788" i="15"/>
  <c r="A787" i="15"/>
  <c r="A786" i="15"/>
  <c r="A785" i="15"/>
  <c r="A784" i="15"/>
  <c r="A783" i="15"/>
  <c r="A782" i="15"/>
  <c r="A781" i="15"/>
  <c r="A780" i="15"/>
  <c r="A779" i="15"/>
  <c r="A778" i="15"/>
  <c r="A777" i="15"/>
  <c r="A776" i="15"/>
  <c r="A775" i="15"/>
  <c r="A774" i="15"/>
  <c r="A773" i="15"/>
  <c r="A772" i="15"/>
  <c r="A771" i="15"/>
  <c r="A770" i="15"/>
  <c r="A769" i="15"/>
  <c r="A768" i="15"/>
  <c r="A767" i="15"/>
  <c r="A766" i="15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N15" i="15"/>
  <c r="A15" i="15"/>
  <c r="A14" i="15"/>
  <c r="N13" i="15"/>
  <c r="A13" i="15"/>
  <c r="A12" i="15"/>
  <c r="A11" i="15"/>
  <c r="A10" i="15"/>
  <c r="A9" i="15"/>
  <c r="A8" i="15"/>
  <c r="A7" i="15"/>
  <c r="A6" i="15"/>
  <c r="A5" i="15"/>
  <c r="A4" i="15"/>
  <c r="A3" i="15"/>
  <c r="A2" i="7" l="1"/>
</calcChain>
</file>

<file path=xl/sharedStrings.xml><?xml version="1.0" encoding="utf-8"?>
<sst xmlns="http://schemas.openxmlformats.org/spreadsheetml/2006/main" count="5891" uniqueCount="959">
  <si>
    <t>每週</t>
    <phoneticPr fontId="2" type="noConversion"/>
  </si>
  <si>
    <t>假日報准施工紀錄暨假日走動管理執行統計表</t>
    <phoneticPr fontId="2" type="noConversion"/>
  </si>
  <si>
    <t>註:1.直屬主管為報准同意施工之各簽核主管。</t>
  </si>
  <si>
    <t xml:space="preserve">   2.若假日報准施工案件未指派檢驗員辦理工安抽查且未有主管抽查時，請填報下方說明表。</t>
  </si>
  <si>
    <t xml:space="preserve">   3.主管抽查方式為現場抽查或CCTV監看抽查均可，惟均應有抽查紀錄。</t>
  </si>
  <si>
    <t xml:space="preserve">   4.工程(作)範圍，應考量工作場所負責人可全程掌控作業狀況。</t>
  </si>
  <si>
    <t xml:space="preserve">   5.如屬委外監造案，上列檢驗員職務可由監造公司指派之人員代行。</t>
  </si>
  <si>
    <t>單位</t>
  </si>
  <si>
    <t>報准施工日期</t>
  </si>
  <si>
    <t>報准施工件數</t>
  </si>
  <si>
    <t>未指派檢驗員件數</t>
  </si>
  <si>
    <t>維護組</t>
  </si>
  <si>
    <t>假日報准施工未指派檢驗員且未有主管抽查說明表(逐件檢討)</t>
  </si>
  <si>
    <r>
      <t xml:space="preserve">工程(作)範圍、地點 </t>
    </r>
    <r>
      <rPr>
        <b/>
        <sz val="12"/>
        <color theme="1"/>
        <rFont val="Times New Roman"/>
        <family val="1"/>
      </rPr>
      <t>(</t>
    </r>
    <r>
      <rPr>
        <b/>
        <sz val="12"/>
        <color theme="1"/>
        <rFont val="標楷體"/>
        <family val="4"/>
        <charset val="136"/>
      </rPr>
      <t>註</t>
    </r>
    <r>
      <rPr>
        <b/>
        <sz val="12"/>
        <color theme="1"/>
        <rFont val="Times New Roman"/>
        <family val="1"/>
      </rPr>
      <t>4)</t>
    </r>
  </si>
  <si>
    <t>改善對策</t>
  </si>
  <si>
    <r>
      <t>經辦：</t>
    </r>
    <r>
      <rPr>
        <b/>
        <sz val="14"/>
        <color theme="1"/>
        <rFont val="Times New Roman"/>
        <family val="1"/>
      </rPr>
      <t xml:space="preserve">                              </t>
    </r>
    <r>
      <rPr>
        <b/>
        <sz val="14"/>
        <color theme="1"/>
        <rFont val="標楷體"/>
        <family val="4"/>
        <charset val="136"/>
      </rPr>
      <t>課長：</t>
    </r>
    <r>
      <rPr>
        <b/>
        <sz val="14"/>
        <color theme="1"/>
        <rFont val="Times New Roman"/>
        <family val="1"/>
      </rPr>
      <t xml:space="preserve">                              </t>
    </r>
    <r>
      <rPr>
        <b/>
        <sz val="14"/>
        <color theme="1"/>
        <rFont val="標楷體"/>
        <family val="4"/>
        <charset val="136"/>
      </rPr>
      <t>經理：</t>
    </r>
  </si>
  <si>
    <r>
      <t>報准施工未指派檢驗員且
未有主管抽查件數</t>
    </r>
    <r>
      <rPr>
        <b/>
        <sz val="12"/>
        <color theme="1"/>
        <rFont val="Times New Roman"/>
        <family val="1"/>
      </rPr>
      <t>(</t>
    </r>
    <r>
      <rPr>
        <b/>
        <sz val="12"/>
        <color theme="1"/>
        <rFont val="標楷體"/>
        <family val="4"/>
        <charset val="136"/>
      </rPr>
      <t>註</t>
    </r>
    <r>
      <rPr>
        <b/>
        <sz val="12"/>
        <color theme="1"/>
        <rFont val="Times New Roman"/>
        <family val="1"/>
      </rPr>
      <t>2)</t>
    </r>
    <phoneticPr fontId="2" type="noConversion"/>
  </si>
  <si>
    <t>其他主管
抽查件數</t>
    <phoneticPr fontId="2" type="noConversion"/>
  </si>
  <si>
    <t>項
次</t>
    <phoneticPr fontId="2" type="noConversion"/>
  </si>
  <si>
    <r>
      <t>假日報准施工紀錄暨假日走動管理執行統計表</t>
    </r>
    <r>
      <rPr>
        <b/>
        <sz val="14"/>
        <color theme="1"/>
        <rFont val="Times New Roman"/>
        <family val="1"/>
      </rPr>
      <t>(</t>
    </r>
    <r>
      <rPr>
        <b/>
        <sz val="14"/>
        <color theme="1"/>
        <rFont val="標楷體"/>
        <family val="4"/>
        <charset val="136"/>
      </rPr>
      <t>每週提報</t>
    </r>
    <r>
      <rPr>
        <b/>
        <sz val="14"/>
        <color theme="1"/>
        <rFont val="Times New Roman"/>
        <family val="1"/>
      </rPr>
      <t>)</t>
    </r>
    <phoneticPr fontId="2" type="noConversion"/>
  </si>
  <si>
    <t>未指派檢驗員且
未有主管抽查原因</t>
    <phoneticPr fontId="2" type="noConversion"/>
  </si>
  <si>
    <t>件
次</t>
    <phoneticPr fontId="2" type="noConversion"/>
  </si>
  <si>
    <r>
      <t xml:space="preserve">直屬主管抽查件數
</t>
    </r>
    <r>
      <rPr>
        <b/>
        <sz val="12"/>
        <color theme="1"/>
        <rFont val="Times New Roman"/>
        <family val="1"/>
      </rPr>
      <t>(</t>
    </r>
    <r>
      <rPr>
        <b/>
        <sz val="12"/>
        <color theme="1"/>
        <rFont val="標楷體"/>
        <family val="4"/>
        <charset val="136"/>
      </rPr>
      <t>註</t>
    </r>
    <r>
      <rPr>
        <b/>
        <sz val="12"/>
        <color theme="1"/>
        <rFont val="Times New Roman"/>
        <family val="1"/>
      </rPr>
      <t>1)</t>
    </r>
    <phoneticPr fontId="2" type="noConversion"/>
  </si>
  <si>
    <t>上傳日期</t>
    <phoneticPr fontId="2" type="noConversion"/>
  </si>
  <si>
    <t>備註</t>
    <phoneticPr fontId="2" type="noConversion"/>
  </si>
  <si>
    <t>帳號</t>
    <phoneticPr fontId="2" type="noConversion"/>
  </si>
  <si>
    <t>密碼</t>
    <phoneticPr fontId="2" type="noConversion"/>
  </si>
  <si>
    <t>查詢日期</t>
    <phoneticPr fontId="2" type="noConversion"/>
  </si>
  <si>
    <t>每週一</t>
    <phoneticPr fontId="2" type="noConversion"/>
  </si>
  <si>
    <t>每月</t>
    <phoneticPr fontId="2" type="noConversion"/>
  </si>
  <si>
    <t>每月5日</t>
    <phoneticPr fontId="2" type="noConversion"/>
  </si>
  <si>
    <t>大項工程及M52預算進度表</t>
    <phoneticPr fontId="2" type="noConversion"/>
  </si>
  <si>
    <t>大項維護工程預算實績比較表</t>
    <phoneticPr fontId="2" type="noConversion"/>
  </si>
  <si>
    <t>由維君匯整，每月資料放在T碟</t>
    <phoneticPr fontId="2" type="noConversion"/>
  </si>
  <si>
    <t>下年度採購案進度表(電督每月會要進度)</t>
    <phoneticPr fontId="2" type="noConversion"/>
  </si>
  <si>
    <t>紅外線量測</t>
    <phoneticPr fontId="2" type="noConversion"/>
  </si>
  <si>
    <t>彰化區處(含承攬商)昇空車之每月及年度檢查管制表</t>
    <phoneticPr fontId="2" type="noConversion"/>
  </si>
  <si>
    <t>分級檢核-維護組(含線路課)-年計畫與執行報告表</t>
    <phoneticPr fontId="2" type="noConversion"/>
  </si>
  <si>
    <t>每月向承攬商要</t>
    <phoneticPr fontId="2" type="noConversion"/>
  </si>
  <si>
    <t>表箱更換工作
定期電表暨非倍數電表塑膠表箱更換工作</t>
    <phoneticPr fontId="2" type="noConversion"/>
  </si>
  <si>
    <t>當年度各項工程、財物及勞務採購預定實際工作度表</t>
    <phoneticPr fontId="2" type="noConversion"/>
  </si>
  <si>
    <t>每月10日</t>
    <phoneticPr fontId="2" type="noConversion"/>
  </si>
  <si>
    <t>ftp://10.210.35.206/UPLOAD/處長室/電務督導/110年採購案實際工作進度表(上傳區)</t>
    <phoneticPr fontId="2" type="noConversion"/>
  </si>
  <si>
    <t>分離會計收支同期比較分析表</t>
    <phoneticPr fontId="2" type="noConversion"/>
  </si>
  <si>
    <t>編審課每月由電子信箱寄送</t>
    <phoneticPr fontId="2" type="noConversion"/>
  </si>
  <si>
    <t>每季</t>
    <phoneticPr fontId="2" type="noConversion"/>
  </si>
  <si>
    <t>工品小組</t>
    <phoneticPr fontId="2" type="noConversion"/>
  </si>
  <si>
    <t>規劃課陳柏君匯整</t>
    <phoneticPr fontId="2" type="noConversion"/>
  </si>
  <si>
    <t>次月5日前陳核後上傳業務處網頁/FTP下載區/配電處運轉維護組上傳區/(0002)主管架空維護/「年度配電線路維護性工作履約進度及新、舊標案執行進度管控」項下（檔案名稱：XXX（區處代號）-XX區處XXX年XX月份「年度配電線路維護性工作履約進度及新、舊標案執行進度管控表」</t>
    <phoneticPr fontId="2" type="noConversion"/>
  </si>
  <si>
    <t>僅針對承攬商沒派檢驗員案件</t>
    <phoneticPr fontId="2" type="noConversion"/>
  </si>
  <si>
    <t>各組工作月報</t>
    <phoneticPr fontId="2" type="noConversion"/>
  </si>
  <si>
    <t>每月六日前 upload\文書課長資料夾</t>
    <phoneticPr fontId="2" type="noConversion"/>
  </si>
  <si>
    <t>表箱更換工作
永靖鄉港西村中山路１段７５３號附近等</t>
    <phoneticPr fontId="2" type="noConversion"/>
  </si>
  <si>
    <t>孔蓋暨管路改善工作
範圍廣泛、工作單純、危險性低且為非關鍵性作業。</t>
    <phoneticPr fontId="2" type="noConversion"/>
  </si>
  <si>
    <t>低壓AMI通訊介面單元安裝
彰化市</t>
    <phoneticPr fontId="2" type="noConversion"/>
  </si>
  <si>
    <t>重要工作(未來)事件簿</t>
    <phoneticPr fontId="2" type="noConversion"/>
  </si>
  <si>
    <t>每月月初傳到電督upload</t>
    <phoneticPr fontId="2" type="noConversion"/>
  </si>
  <si>
    <t>每月10日前傳到業督upload</t>
    <phoneticPr fontId="2" type="noConversion"/>
  </si>
  <si>
    <t>編審課-主辦每月提供</t>
    <phoneticPr fontId="2" type="noConversion"/>
  </si>
  <si>
    <t>資料放於志遠背後櫃子，差異檢討事項送業務督導</t>
    <phoneticPr fontId="2" type="noConversion"/>
  </si>
  <si>
    <t>每年</t>
    <phoneticPr fontId="2" type="noConversion"/>
  </si>
  <si>
    <t>責任中心制度實施方案-不計績效非可控費用實績填報及審核單</t>
    <phoneticPr fontId="2" type="noConversion"/>
  </si>
  <si>
    <t>定期電表暨非倍數塑膠表箱工作
鹿港鎮廖厝巷１０８－３號附近等</t>
    <phoneticPr fontId="2" type="noConversion"/>
  </si>
  <si>
    <t>07v 下年度採購案進度表(電督每月會要進度)</t>
    <phoneticPr fontId="2" type="noConversion"/>
  </si>
  <si>
    <t>每月10日前傳到電督upload</t>
    <phoneticPr fontId="2" type="noConversion"/>
  </si>
  <si>
    <t>與承攬商雇主檢討工安防災措施座談會</t>
    <phoneticPr fontId="2" type="noConversion"/>
  </si>
  <si>
    <t>需制作簡報</t>
    <phoneticPr fontId="2" type="noConversion"/>
  </si>
  <si>
    <t>一年辦理二次</t>
    <phoneticPr fontId="2" type="noConversion"/>
  </si>
  <si>
    <t xml:space="preserve">                                                                                                                                                               </t>
    <phoneticPr fontId="2" type="noConversion"/>
  </si>
  <si>
    <t>維護組承攬商</t>
    <phoneticPr fontId="2" type="noConversion"/>
  </si>
  <si>
    <t>1.加強與承攬商協商，避免假日施工。
2.請領班加強假日出勤人員現場危害辨
識及交通安全防禦駕駛。</t>
  </si>
  <si>
    <t>工程(作)範圍、地點 (註4)</t>
    <phoneticPr fontId="2" type="noConversion"/>
  </si>
  <si>
    <t>改善對策</t>
    <phoneticPr fontId="2" type="noConversion"/>
  </si>
  <si>
    <t>低壓AMI通訊介面單元安裝</t>
    <phoneticPr fontId="2" type="noConversion"/>
  </si>
  <si>
    <t>維護工作填報工作場所負責人+職安人員</t>
    <phoneticPr fontId="2" type="noConversion"/>
  </si>
  <si>
    <t>每月25日(月底)</t>
    <phoneticPr fontId="2" type="noConversion"/>
  </si>
  <si>
    <t>上傳至upload\工安課\上傳\...</t>
    <phoneticPr fontId="2" type="noConversion"/>
  </si>
  <si>
    <t xml:space="preserve"> 01-3v年度維護性工作履約進度管控表(5日前上傳配電處)</t>
    <phoneticPr fontId="2" type="noConversion"/>
  </si>
  <si>
    <t>下年度編列預算上網填報</t>
    <phoneticPr fontId="2" type="noConversion"/>
  </si>
  <si>
    <t>每年一月上傳</t>
    <phoneticPr fontId="2" type="noConversion"/>
  </si>
  <si>
    <t>上傳至運維組網站-並制作簡報
運維組\各類報表\配電設備修護費(M52)\新增
檔案放D:\01-線路主辦\06v-甲式工作單及設計方案編列事宜\02維護設計方案-9月(初編年初辦)</t>
    <phoneticPr fontId="2" type="noConversion"/>
  </si>
  <si>
    <t>E:\01-線路主辦\28v-工品小組</t>
  </si>
  <si>
    <t>關鍵字</t>
    <phoneticPr fontId="2" type="noConversion"/>
  </si>
  <si>
    <t>樹木修剪工作
範圍廣泛、工作單純、危險性低且為非關鍵性作業。</t>
  </si>
  <si>
    <t>樹木修剪工作</t>
    <phoneticPr fontId="2" type="noConversion"/>
  </si>
  <si>
    <t>表箱更換工作</t>
    <phoneticPr fontId="2" type="noConversion"/>
  </si>
  <si>
    <t>低壓AMI通訊介面單元安裝工作
範圍廣泛、工作單純、危險性低且為非關鍵性作業。</t>
  </si>
  <si>
    <t>樹木修剪
GM228豐崙高分4X2-1(K3192EA46)等多處</t>
  </si>
  <si>
    <t>人手孔檢點工作
芳苑鄉台17線,建成路,芳漢路,王功海埔地,功湖路,二溪路G1500~G2002</t>
  </si>
  <si>
    <t>人手孔檢點工作
範圍廣泛、工作單純、危險性低且為非關鍵性作業。</t>
  </si>
  <si>
    <t>定期電表暨非倍數電表塑膠表箱更換工作
範圍廣泛、工作單純、危險性低且為非關鍵性作業。</t>
  </si>
  <si>
    <t>人手孔點檢</t>
    <phoneticPr fontId="2" type="noConversion"/>
  </si>
  <si>
    <t>定期電表暨非倍數塑膠表箱工作</t>
  </si>
  <si>
    <t>孔蓋暨管路改善工作</t>
  </si>
  <si>
    <t>孔蓋暨管路改善工作</t>
    <phoneticPr fontId="2" type="noConversion"/>
  </si>
  <si>
    <t>維護組
檢驗課</t>
  </si>
  <si>
    <t>M2定期換表並做低壓AMI電表安裝
範圍廣泛、工作單純、危險性低且為非關鍵性作業。</t>
  </si>
  <si>
    <t>維護組
線路課</t>
  </si>
  <si>
    <t>111/04/16</t>
  </si>
  <si>
    <t>配電設備油漆暨電桿牌
埤頭 興工路 K3083BE16 K3083BE63</t>
  </si>
  <si>
    <t>配電設備油漆暨電桿牌
範圍廣泛、工作單純、危險性低且為非關鍵性作業。</t>
  </si>
  <si>
    <t>配電室場檢點
埤頭 文化路15處 K3382HE33 K3482EA74</t>
  </si>
  <si>
    <t>配電室場檢點
範圍廣泛、工作單純、危險性低且為非關鍵性作業。</t>
  </si>
  <si>
    <t>M2定期換表並做低壓AMI電表安裝
芳苑鄉漢寶園段６１９地號附近</t>
  </si>
  <si>
    <t>更新跨月異常問題</t>
    <phoneticPr fontId="2" type="noConversion"/>
  </si>
  <si>
    <t>SAFE_0100200_Export0_20220414213646219.xlsx</t>
  </si>
  <si>
    <t>SAFE_0100200_Export0_20220418075706636.xlsx</t>
  </si>
  <si>
    <t>SAFE_0100200_Export0_20220420101550006.xlsx</t>
  </si>
  <si>
    <t>SAFE_0100200_Export0_20220527161737884.xlsx</t>
  </si>
  <si>
    <t>SAFE_0100200_Export0_20220626133427457.xlsx</t>
  </si>
  <si>
    <t>增加自動下載新版ChromeDriver版本</t>
    <phoneticPr fontId="2" type="noConversion"/>
  </si>
  <si>
    <t>SAFE_0100200_Export0_20220708090807000.xlsx</t>
  </si>
  <si>
    <t>SAFE_0100200_Export0_20220718093056264.xlsx</t>
  </si>
  <si>
    <t>SAFE_0100200_Export0_20220718105552869.xlsx</t>
  </si>
  <si>
    <t>!Bb457984</t>
    <phoneticPr fontId="2" type="noConversion"/>
  </si>
  <si>
    <t>SAFE_0100200_Export0_20221028154814588.xlsx</t>
  </si>
  <si>
    <t>SAFE_0100200_Export0_20221031104010325.xlsx</t>
  </si>
  <si>
    <t>字典對象的方法有6個：</t>
  </si>
  <si>
    <t>Add 添加一條關鍵字與條目</t>
  </si>
  <si>
    <t>Keys 返回所有關鍵字(形成1維數組)</t>
  </si>
  <si>
    <t>Items 返回所有條目(形成1維數組)</t>
  </si>
  <si>
    <t>Exists 關鍵字是否存在(TRUE/FALSE)</t>
  </si>
  <si>
    <t>Remove 移除關鍵字與對應的條目</t>
  </si>
  <si>
    <t>RemoveAll 移除所有關鍵字與對應的條目</t>
  </si>
  <si>
    <t>向 Dictionary 對象中添加一個關鍵字項目對。</t>
  </si>
  <si>
    <t>語法：object.Add (key, item)</t>
  </si>
  <si>
    <t>Key，必選項。與被添加的 item 相關聯的 key。</t>
  </si>
  <si>
    <t>Item，必選項。與被添加的 key 相關聯的 item。</t>
  </si>
  <si>
    <t>key 是唯一存在的，否則將導致一個錯誤。</t>
  </si>
  <si>
    <t>實例1:</t>
  </si>
  <si>
    <t>Sub kaishi()</t>
  </si>
  <si>
    <t>'字典的鍵索引從零開始爲第一個鍵</t>
  </si>
  <si>
    <t>Dim d As New Dictionary, i, j, k, l</t>
  </si>
  <si>
    <t>Set d = CreateObject("scripting.dictionary")</t>
  </si>
  <si>
    <t>d.Add "張三", "15"</t>
  </si>
  <si>
    <t>d.Add "李四", "18"</t>
  </si>
  <si>
    <t>‘基礎取值方法</t>
  </si>
  <si>
    <t>i = d.Keys(0)</t>
  </si>
  <si>
    <t>j = Application.WorksheetFunction.Index(d.Keys, 2)</t>
  </si>
  <si>
    <t>k = d.Keys ’keys會返回一個數組，所以可以用Index方法取值</t>
  </si>
  <si>
    <t>l = k(1)</t>
  </si>
  <si>
    <t>'Exists方法</t>
  </si>
  <si>
    <t>'如果 Dictionary 對象中存在所指定的關鍵字則返回 true，否則返回 false。</t>
  </si>
  <si>
    <t>' a = d.Exists("李四")</t>
  </si>
  <si>
    <t>'Remove方法</t>
  </si>
  <si>
    <t>'Remove 方法從一個 Dictionary 對象中清除一個鍵——值對。</t>
  </si>
  <si>
    <t>d.Remove ("李四")</t>
  </si>
  <si>
    <t>'RemoveAll方法</t>
  </si>
  <si>
    <t>'RemoveAll 方法從一個 Dictionary 對象中清除所有鍵——值對。</t>
  </si>
  <si>
    <t>d.RemoveAll</t>
  </si>
  <si>
    <t>End Sub</t>
  </si>
  <si>
    <t>字典對象的屬性有4個：</t>
  </si>
  <si>
    <t>CompareMode屬性</t>
  </si>
  <si>
    <t>Count屬性</t>
  </si>
  <si>
    <t>Key屬性</t>
  </si>
  <si>
    <t>Item屬性</t>
  </si>
  <si>
    <t>實例2：</t>
  </si>
  <si>
    <t>Sub test()</t>
  </si>
  <si>
    <t>'1.CompareMode屬性</t>
  </si>
  <si>
    <t>'設置或者返回在 Dictionary 對象中進行字符串關鍵字比較時所使用的比較模式。</t>
  </si>
  <si>
    <t>d.CompareMode = 0 '1則不區分大小寫，0則區分大小寫，默認爲1</t>
  </si>
  <si>
    <t>d.Add "a", ""</t>
  </si>
  <si>
    <t>d.Add "A", ""</t>
  </si>
  <si>
    <t>d.Add "張三", "13434544323"</t>
  </si>
  <si>
    <t>d.Add "李四", "13589898999"</t>
  </si>
  <si>
    <t>d.Add "王五", "13456565567"</t>
  </si>
  <si>
    <t>'2.Count屬性</t>
  </si>
  <si>
    <t>'返回一個Dictionary 對象中的項目數.只讀屬性</t>
  </si>
  <si>
    <t>k = d.Count</t>
  </si>
  <si>
    <t>'3.Key屬性</t>
  </si>
  <si>
    <t>'在 Dictionary 對象中修改一個 key。</t>
  </si>
  <si>
    <t>d.Key("王五") = "牛三斤"</t>
  </si>
  <si>
    <t>'4.Item屬性</t>
  </si>
  <si>
    <t>'在一個 Dictionary 對象中設置或者返回所指定 key 的 item。對於集合則根據所指定的 key 返回一個 item。</t>
  </si>
  <si>
    <t>i = d.Items</t>
  </si>
  <si>
    <t>d.Item("張三") = "112233"</t>
  </si>
  <si>
    <t>d("張三") = 987 '簡寫方式</t>
  </si>
  <si>
    <t>'注意：容易混淆知識點。d.key("a")與d("a")</t>
  </si>
  <si>
    <t>https://www.twblogs.net/a/5ca5b36bbd9eee59d332e201</t>
    <phoneticPr fontId="2" type="noConversion"/>
  </si>
  <si>
    <r>
      <t xml:space="preserve">1、前期綁定，在EXCEL表格開發工具中，工具-引用-瀏覽-找到scrrun.dll-確定；
     或引用項目勾選 
    1. </t>
    </r>
    <r>
      <rPr>
        <b/>
        <sz val="18"/>
        <color rgb="FF0070C0"/>
        <rFont val="新細明體"/>
        <family val="1"/>
        <charset val="136"/>
        <scheme val="minor"/>
      </rPr>
      <t xml:space="preserve">Microsoft Scripting runtime
</t>
    </r>
    <r>
      <rPr>
        <b/>
        <sz val="18"/>
        <color theme="1"/>
        <rFont val="新細明體"/>
        <family val="1"/>
        <charset val="136"/>
        <scheme val="minor"/>
      </rPr>
      <t xml:space="preserve">    2. Dim d as scritpting.Dictionary 
       set d = new scripting.Dictionary
2、後期綁定，直接用代碼創建調用：Set d = CreateObject("scripting.dictionary")
</t>
    </r>
    <phoneticPr fontId="2" type="noConversion"/>
  </si>
  <si>
    <t>變電所別</t>
    <phoneticPr fontId="2" type="noConversion"/>
  </si>
  <si>
    <t>變壓器_x000D_
或饋線名稱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</si>
  <si>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</si>
  <si>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</si>
  <si>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</si>
  <si>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最大電流</t>
    <phoneticPr fontId="2" type="noConversion"/>
  </si>
  <si>
    <t>N</t>
    <phoneticPr fontId="2" type="noConversion"/>
  </si>
  <si>
    <t>線路變壓器用戶數</t>
  </si>
  <si>
    <t>高壓用戶用戶數</t>
  </si>
  <si>
    <t>合計用戶數</t>
  </si>
  <si>
    <t>電流</t>
    <phoneticPr fontId="2" type="noConversion"/>
  </si>
  <si>
    <t>發生時間</t>
    <phoneticPr fontId="2" type="noConversion"/>
  </si>
  <si>
    <t xml:space="preserve"> </t>
  </si>
  <si>
    <t xml:space="preserve"> 二水SS_IW </t>
    <phoneticPr fontId="2" type="noConversion"/>
  </si>
  <si>
    <t xml:space="preserve"> #1MTR </t>
    <phoneticPr fontId="2" type="noConversion"/>
  </si>
  <si>
    <t xml:space="preserve"> 17:00:00 </t>
    <phoneticPr fontId="2" type="noConversion"/>
  </si>
  <si>
    <t xml:space="preserve">  </t>
    <phoneticPr fontId="2" type="noConversion"/>
  </si>
  <si>
    <t xml:space="preserve"> 大莊線 (IW22) </t>
    <phoneticPr fontId="2" type="noConversion"/>
  </si>
  <si>
    <t xml:space="preserve"> 19:00:00 </t>
    <phoneticPr fontId="2" type="noConversion"/>
  </si>
  <si>
    <t xml:space="preserve"> 15:00:00 </t>
    <phoneticPr fontId="2" type="noConversion"/>
  </si>
  <si>
    <t xml:space="preserve"> 10:00:00 </t>
    <phoneticPr fontId="2" type="noConversion"/>
  </si>
  <si>
    <t xml:space="preserve"> 惠民線 (IW26) </t>
    <phoneticPr fontId="2" type="noConversion"/>
  </si>
  <si>
    <t xml:space="preserve"> 16:00:00 </t>
    <phoneticPr fontId="2" type="noConversion"/>
  </si>
  <si>
    <t xml:space="preserve"> 榮光線 (IW25) </t>
    <phoneticPr fontId="2" type="noConversion"/>
  </si>
  <si>
    <t xml:space="preserve"> 14:00:00 </t>
    <phoneticPr fontId="2" type="noConversion"/>
  </si>
  <si>
    <t xml:space="preserve"> 大崙線 (IW24) </t>
    <phoneticPr fontId="2" type="noConversion"/>
  </si>
  <si>
    <t xml:space="preserve"> 18:00:00 </t>
    <phoneticPr fontId="2" type="noConversion"/>
  </si>
  <si>
    <t xml:space="preserve"> 華成線 (IW29) </t>
    <phoneticPr fontId="2" type="noConversion"/>
  </si>
  <si>
    <t xml:space="preserve"> 01:00:00 </t>
    <phoneticPr fontId="2" type="noConversion"/>
  </si>
  <si>
    <t xml:space="preserve"> #2MTR </t>
    <phoneticPr fontId="2" type="noConversion"/>
  </si>
  <si>
    <t xml:space="preserve"> 吉安線 (IW30) </t>
    <phoneticPr fontId="2" type="noConversion"/>
  </si>
  <si>
    <t xml:space="preserve"> 柑園線 (IW34) </t>
    <phoneticPr fontId="2" type="noConversion"/>
  </si>
  <si>
    <t xml:space="preserve"> 大安線 (IW31) </t>
    <phoneticPr fontId="2" type="noConversion"/>
  </si>
  <si>
    <t xml:space="preserve"> 08:00:00 </t>
    <phoneticPr fontId="2" type="noConversion"/>
  </si>
  <si>
    <t xml:space="preserve"> 羽台線 (IW33) </t>
    <phoneticPr fontId="2" type="noConversion"/>
  </si>
  <si>
    <t xml:space="preserve"> 00:00:00 </t>
    <phoneticPr fontId="2" type="noConversion"/>
  </si>
  <si>
    <t xml:space="preserve"> 坑內線 (IW32) </t>
    <phoneticPr fontId="2" type="noConversion"/>
  </si>
  <si>
    <t xml:space="preserve"> #3MTR </t>
    <phoneticPr fontId="2" type="noConversion"/>
  </si>
  <si>
    <t xml:space="preserve"> 09:00:00 </t>
    <phoneticPr fontId="2" type="noConversion"/>
  </si>
  <si>
    <t xml:space="preserve"> 南通線 (IW21) </t>
    <phoneticPr fontId="2" type="noConversion"/>
  </si>
  <si>
    <t xml:space="preserve"> 22:00:00 </t>
    <phoneticPr fontId="2" type="noConversion"/>
  </si>
  <si>
    <t xml:space="preserve"> 源泉線 (IW20) </t>
    <phoneticPr fontId="2" type="noConversion"/>
  </si>
  <si>
    <t xml:space="preserve"> 11:00:00 </t>
    <phoneticPr fontId="2" type="noConversion"/>
  </si>
  <si>
    <t xml:space="preserve"> 榮民線 (IW27) </t>
    <phoneticPr fontId="2" type="noConversion"/>
  </si>
  <si>
    <t xml:space="preserve"> 23:00:00 </t>
    <phoneticPr fontId="2" type="noConversion"/>
  </si>
  <si>
    <t xml:space="preserve"> 大同線 (IW23) </t>
    <phoneticPr fontId="2" type="noConversion"/>
  </si>
  <si>
    <t xml:space="preserve"> 大田線 (IW28) </t>
    <phoneticPr fontId="2" type="noConversion"/>
  </si>
  <si>
    <t xml:space="preserve"> 13:00:00 </t>
    <phoneticPr fontId="2" type="noConversion"/>
  </si>
  <si>
    <t xml:space="preserve"> 二林SS_IE </t>
    <phoneticPr fontId="2" type="noConversion"/>
  </si>
  <si>
    <t xml:space="preserve"> 永安線 (IE25) </t>
    <phoneticPr fontId="2" type="noConversion"/>
  </si>
  <si>
    <t xml:space="preserve"> 溝頭線 (IE24) </t>
    <phoneticPr fontId="2" type="noConversion"/>
  </si>
  <si>
    <t xml:space="preserve"> 12:00:00 </t>
    <phoneticPr fontId="2" type="noConversion"/>
  </si>
  <si>
    <t xml:space="preserve"> 中西線 (IE21) </t>
    <phoneticPr fontId="2" type="noConversion"/>
  </si>
  <si>
    <t xml:space="preserve"> 埤北線 (IE27) </t>
    <phoneticPr fontId="2" type="noConversion"/>
  </si>
  <si>
    <t xml:space="preserve"> 西斗線 (IE22) </t>
    <phoneticPr fontId="2" type="noConversion"/>
  </si>
  <si>
    <t xml:space="preserve"> 20:00:00 </t>
    <phoneticPr fontId="2" type="noConversion"/>
  </si>
  <si>
    <t xml:space="preserve"> 北平線 (IE23) </t>
    <phoneticPr fontId="2" type="noConversion"/>
  </si>
  <si>
    <t xml:space="preserve"> 廣西線 (IE28) </t>
    <phoneticPr fontId="2" type="noConversion"/>
  </si>
  <si>
    <t xml:space="preserve"> 21:00:00 </t>
    <phoneticPr fontId="2" type="noConversion"/>
  </si>
  <si>
    <t xml:space="preserve"> 三合線 (IE20) </t>
    <phoneticPr fontId="2" type="noConversion"/>
  </si>
  <si>
    <t xml:space="preserve"> 舊社線 (IE26) </t>
    <phoneticPr fontId="2" type="noConversion"/>
  </si>
  <si>
    <t xml:space="preserve"> 東興線 (IE29) </t>
    <phoneticPr fontId="2" type="noConversion"/>
  </si>
  <si>
    <t xml:space="preserve"> 大竹SS_IM </t>
    <phoneticPr fontId="2" type="noConversion"/>
  </si>
  <si>
    <t xml:space="preserve"> 竹彰線 (IM30) </t>
    <phoneticPr fontId="2" type="noConversion"/>
  </si>
  <si>
    <t xml:space="preserve"> 山坑線 (IM29) </t>
    <phoneticPr fontId="2" type="noConversion"/>
  </si>
  <si>
    <t xml:space="preserve"> 牛埔線 (IM26) </t>
    <phoneticPr fontId="2" type="noConversion"/>
  </si>
  <si>
    <t xml:space="preserve"> 大竹線 (IM22) </t>
    <phoneticPr fontId="2" type="noConversion"/>
  </si>
  <si>
    <t xml:space="preserve"> 渡船線 (IM20) </t>
    <phoneticPr fontId="2" type="noConversion"/>
  </si>
  <si>
    <t xml:space="preserve"> 渡橋線 (IM28) </t>
    <phoneticPr fontId="2" type="noConversion"/>
  </si>
  <si>
    <t xml:space="preserve"> 香山線 (IM27) </t>
    <phoneticPr fontId="2" type="noConversion"/>
  </si>
  <si>
    <t xml:space="preserve"> 福山線 (IM25) </t>
    <phoneticPr fontId="2" type="noConversion"/>
  </si>
  <si>
    <t xml:space="preserve"> 中莊線 (IM24) </t>
    <phoneticPr fontId="2" type="noConversion"/>
  </si>
  <si>
    <t xml:space="preserve"> 快官線 (IM23) </t>
    <phoneticPr fontId="2" type="noConversion"/>
  </si>
  <si>
    <t xml:space="preserve"> 大東線 (IM21) </t>
    <phoneticPr fontId="2" type="noConversion"/>
  </si>
  <si>
    <t xml:space="preserve"> 大村SS_IN </t>
    <phoneticPr fontId="2" type="noConversion"/>
  </si>
  <si>
    <t xml:space="preserve"> 黃厝線 (IN28) </t>
    <phoneticPr fontId="2" type="noConversion"/>
  </si>
  <si>
    <t xml:space="preserve"> 中興線 (IN24) </t>
    <phoneticPr fontId="2" type="noConversion"/>
  </si>
  <si>
    <t xml:space="preserve"> 內庄線 (IN20) </t>
    <phoneticPr fontId="2" type="noConversion"/>
  </si>
  <si>
    <t xml:space="preserve"> 三芬線 (IN31) </t>
    <phoneticPr fontId="2" type="noConversion"/>
  </si>
  <si>
    <t xml:space="preserve"> 村上線 (IN29) </t>
    <phoneticPr fontId="2" type="noConversion"/>
  </si>
  <si>
    <t xml:space="preserve"> 大橋線 (IN22) </t>
    <phoneticPr fontId="2" type="noConversion"/>
  </si>
  <si>
    <t xml:space="preserve"> 金墩線 (IN26) </t>
    <phoneticPr fontId="2" type="noConversion"/>
  </si>
  <si>
    <t xml:space="preserve"> 大村線 (IN23) </t>
    <phoneticPr fontId="2" type="noConversion"/>
  </si>
  <si>
    <t xml:space="preserve"> 灣口線 (IN27) </t>
    <phoneticPr fontId="2" type="noConversion"/>
  </si>
  <si>
    <t xml:space="preserve"> 長春線 (IN32) </t>
    <phoneticPr fontId="2" type="noConversion"/>
  </si>
  <si>
    <t xml:space="preserve"> 南寮線 (IN34) </t>
    <phoneticPr fontId="2" type="noConversion"/>
  </si>
  <si>
    <t xml:space="preserve"> 上莊線 (IN33) </t>
    <phoneticPr fontId="2" type="noConversion"/>
  </si>
  <si>
    <t xml:space="preserve"> 三春線 (IN21) </t>
    <phoneticPr fontId="2" type="noConversion"/>
  </si>
  <si>
    <t xml:space="preserve"> 03:00:00 </t>
    <phoneticPr fontId="2" type="noConversion"/>
  </si>
  <si>
    <t xml:space="preserve"> 村北線 (IN25) </t>
    <phoneticPr fontId="2" type="noConversion"/>
  </si>
  <si>
    <t xml:space="preserve"> 村宜線 (IN30) </t>
    <phoneticPr fontId="2" type="noConversion"/>
  </si>
  <si>
    <t xml:space="preserve"> 大城DS_9L </t>
    <phoneticPr fontId="2" type="noConversion"/>
  </si>
  <si>
    <t xml:space="preserve"> #1DTR(A) </t>
    <phoneticPr fontId="2" type="noConversion"/>
  </si>
  <si>
    <t xml:space="preserve"> 9L21 (9L21) </t>
    <phoneticPr fontId="2" type="noConversion"/>
  </si>
  <si>
    <t xml:space="preserve"> 9L22 (9L22) </t>
    <phoneticPr fontId="2" type="noConversion"/>
  </si>
  <si>
    <t xml:space="preserve"> 9L23 (9L23) </t>
    <phoneticPr fontId="2" type="noConversion"/>
  </si>
  <si>
    <t xml:space="preserve"> 9L24 (9L24) </t>
    <phoneticPr fontId="2" type="noConversion"/>
  </si>
  <si>
    <t xml:space="preserve"> 05:00:00 </t>
    <phoneticPr fontId="2" type="noConversion"/>
  </si>
  <si>
    <t xml:space="preserve"> 9L25 (9L25) </t>
    <phoneticPr fontId="2" type="noConversion"/>
  </si>
  <si>
    <t xml:space="preserve"> #1DTR(B) </t>
    <phoneticPr fontId="2" type="noConversion"/>
  </si>
  <si>
    <t xml:space="preserve"> 9LE0 (9LE0) </t>
    <phoneticPr fontId="2" type="noConversion"/>
  </si>
  <si>
    <t xml:space="preserve"> 9LE1 (9LE1) </t>
    <phoneticPr fontId="2" type="noConversion"/>
  </si>
  <si>
    <t xml:space="preserve"> 9L26 (9L26) </t>
    <phoneticPr fontId="2" type="noConversion"/>
  </si>
  <si>
    <t xml:space="preserve"> 9L27 (9L27) </t>
    <phoneticPr fontId="2" type="noConversion"/>
  </si>
  <si>
    <t xml:space="preserve"> 9LE2 (9LE2) </t>
    <phoneticPr fontId="2" type="noConversion"/>
  </si>
  <si>
    <t xml:space="preserve"> 9LE3 (9LE3) </t>
    <phoneticPr fontId="2" type="noConversion"/>
  </si>
  <si>
    <t xml:space="preserve"> 9L28 (9L28) </t>
    <phoneticPr fontId="2" type="noConversion"/>
  </si>
  <si>
    <t xml:space="preserve"> 9L29 (9L29) </t>
    <phoneticPr fontId="2" type="noConversion"/>
  </si>
  <si>
    <t xml:space="preserve"> 9L30 (9L30) </t>
    <phoneticPr fontId="2" type="noConversion"/>
  </si>
  <si>
    <t xml:space="preserve"> #2DTR(A) </t>
    <phoneticPr fontId="2" type="noConversion"/>
  </si>
  <si>
    <t xml:space="preserve"> 9LE4 (9LE4) </t>
    <phoneticPr fontId="2" type="noConversion"/>
  </si>
  <si>
    <t xml:space="preserve"> 9LE5 (9LE5) </t>
    <phoneticPr fontId="2" type="noConversion"/>
  </si>
  <si>
    <t xml:space="preserve"> 9L35 (9L35) </t>
    <phoneticPr fontId="2" type="noConversion"/>
  </si>
  <si>
    <t xml:space="preserve"> 06:00:00 </t>
    <phoneticPr fontId="2" type="noConversion"/>
  </si>
  <si>
    <t xml:space="preserve"> 9LE6 (9LE6) </t>
    <phoneticPr fontId="2" type="noConversion"/>
  </si>
  <si>
    <t xml:space="preserve"> 9L34 (9L34) </t>
    <phoneticPr fontId="2" type="noConversion"/>
  </si>
  <si>
    <t xml:space="preserve"> 9L33 (9L33) </t>
    <phoneticPr fontId="2" type="noConversion"/>
  </si>
  <si>
    <t xml:space="preserve"> 9LE7 (9LE7) </t>
    <phoneticPr fontId="2" type="noConversion"/>
  </si>
  <si>
    <t xml:space="preserve"> 9L32 (9L32) </t>
    <phoneticPr fontId="2" type="noConversion"/>
  </si>
  <si>
    <t xml:space="preserve"> 9L31 (9L31) </t>
    <phoneticPr fontId="2" type="noConversion"/>
  </si>
  <si>
    <t xml:space="preserve"> #2DTR(B) </t>
    <phoneticPr fontId="2" type="noConversion"/>
  </si>
  <si>
    <t xml:space="preserve"> 9L40 (9L40) </t>
    <phoneticPr fontId="2" type="noConversion"/>
  </si>
  <si>
    <t xml:space="preserve"> 07:00:00 </t>
    <phoneticPr fontId="2" type="noConversion"/>
  </si>
  <si>
    <t xml:space="preserve"> 9L39 (9L39) </t>
    <phoneticPr fontId="2" type="noConversion"/>
  </si>
  <si>
    <t xml:space="preserve"> 9L38 (9L38) </t>
    <phoneticPr fontId="2" type="noConversion"/>
  </si>
  <si>
    <t xml:space="preserve"> 9L37 (9L37) </t>
    <phoneticPr fontId="2" type="noConversion"/>
  </si>
  <si>
    <t xml:space="preserve"> 9L36 (9L36) </t>
    <phoneticPr fontId="2" type="noConversion"/>
  </si>
  <si>
    <t xml:space="preserve"> 大霞DS_9K </t>
    <phoneticPr fontId="2" type="noConversion"/>
  </si>
  <si>
    <t xml:space="preserve"> 9K21 (9K21) </t>
    <phoneticPr fontId="2" type="noConversion"/>
  </si>
  <si>
    <t xml:space="preserve"> 9K22 (9K22) </t>
    <phoneticPr fontId="2" type="noConversion"/>
  </si>
  <si>
    <t xml:space="preserve"> 9K23 (9K23) </t>
    <phoneticPr fontId="2" type="noConversion"/>
  </si>
  <si>
    <t xml:space="preserve"> 9K24 (9K24) </t>
    <phoneticPr fontId="2" type="noConversion"/>
  </si>
  <si>
    <t xml:space="preserve"> 9K25 (9K25) </t>
    <phoneticPr fontId="2" type="noConversion"/>
  </si>
  <si>
    <t xml:space="preserve"> 9K26 (9K26) </t>
    <phoneticPr fontId="2" type="noConversion"/>
  </si>
  <si>
    <t xml:space="preserve"> 9K27 (9K27) </t>
    <phoneticPr fontId="2" type="noConversion"/>
  </si>
  <si>
    <t xml:space="preserve"> 9K28 (9K28) </t>
    <phoneticPr fontId="2" type="noConversion"/>
  </si>
  <si>
    <t xml:space="preserve"> 9K29 (9K29) </t>
    <phoneticPr fontId="2" type="noConversion"/>
  </si>
  <si>
    <t xml:space="preserve"> 9K30 (9K30) </t>
    <phoneticPr fontId="2" type="noConversion"/>
  </si>
  <si>
    <t xml:space="preserve"> 9K31 (9K31) </t>
    <phoneticPr fontId="2" type="noConversion"/>
  </si>
  <si>
    <t xml:space="preserve"> 9K32 (9K32) </t>
    <phoneticPr fontId="2" type="noConversion"/>
  </si>
  <si>
    <t xml:space="preserve"> 9K34 (9K34) </t>
    <phoneticPr fontId="2" type="noConversion"/>
  </si>
  <si>
    <t xml:space="preserve"> 9K35 (9K35) </t>
    <phoneticPr fontId="2" type="noConversion"/>
  </si>
  <si>
    <t xml:space="preserve"> 9K33 (9K33) </t>
    <phoneticPr fontId="2" type="noConversion"/>
  </si>
  <si>
    <t xml:space="preserve"> 9K36 (9K36) </t>
    <phoneticPr fontId="2" type="noConversion"/>
  </si>
  <si>
    <t xml:space="preserve"> 9K37 (9K37) </t>
    <phoneticPr fontId="2" type="noConversion"/>
  </si>
  <si>
    <t xml:space="preserve"> 9K38 (9K38) </t>
    <phoneticPr fontId="2" type="noConversion"/>
  </si>
  <si>
    <t xml:space="preserve"> 9K39 (9K39) </t>
    <phoneticPr fontId="2" type="noConversion"/>
  </si>
  <si>
    <t xml:space="preserve"> 9K40 (9K40) </t>
    <phoneticPr fontId="2" type="noConversion"/>
  </si>
  <si>
    <t xml:space="preserve"> 北斗SS_IX </t>
    <phoneticPr fontId="2" type="noConversion"/>
  </si>
  <si>
    <t xml:space="preserve"> 斗裕線 (IX25) </t>
    <phoneticPr fontId="2" type="noConversion"/>
  </si>
  <si>
    <t xml:space="preserve"> 斗永線 (IX23) </t>
    <phoneticPr fontId="2" type="noConversion"/>
  </si>
  <si>
    <t xml:space="preserve"> 斗州線 (IX26) </t>
    <phoneticPr fontId="2" type="noConversion"/>
  </si>
  <si>
    <t xml:space="preserve"> 斗湖線 (IX30) </t>
    <phoneticPr fontId="2" type="noConversion"/>
  </si>
  <si>
    <t xml:space="preserve"> 文宗線 (IX24) </t>
    <phoneticPr fontId="2" type="noConversion"/>
  </si>
  <si>
    <t xml:space="preserve"> 斗建線 (IX28) </t>
    <phoneticPr fontId="2" type="noConversion"/>
  </si>
  <si>
    <t xml:space="preserve"> 斗鳳線 (IX34) </t>
    <phoneticPr fontId="2" type="noConversion"/>
  </si>
  <si>
    <t xml:space="preserve"> 斗圳線 (IX31) </t>
    <phoneticPr fontId="2" type="noConversion"/>
  </si>
  <si>
    <t xml:space="preserve"> 斗溪線 (IX33) </t>
    <phoneticPr fontId="2" type="noConversion"/>
  </si>
  <si>
    <t xml:space="preserve"> 斗興線 (IX32) </t>
    <phoneticPr fontId="2" type="noConversion"/>
  </si>
  <si>
    <t xml:space="preserve"> 斗海線 (IX22) </t>
    <phoneticPr fontId="2" type="noConversion"/>
  </si>
  <si>
    <t xml:space="preserve"> 斗苑線 (IX20) </t>
    <phoneticPr fontId="2" type="noConversion"/>
  </si>
  <si>
    <t xml:space="preserve"> 斗中線 (IX21) </t>
    <phoneticPr fontId="2" type="noConversion"/>
  </si>
  <si>
    <t xml:space="preserve"> 斗工線 (IX29) </t>
    <phoneticPr fontId="2" type="noConversion"/>
  </si>
  <si>
    <t xml:space="preserve"> 斗民線 (IX27) </t>
    <phoneticPr fontId="2" type="noConversion"/>
  </si>
  <si>
    <t xml:space="preserve"> 田中DS_IG </t>
    <phoneticPr fontId="2" type="noConversion"/>
  </si>
  <si>
    <t xml:space="preserve"> IG30 (IG30) </t>
    <phoneticPr fontId="2" type="noConversion"/>
  </si>
  <si>
    <t xml:space="preserve"> IG31 (IG31) </t>
    <phoneticPr fontId="2" type="noConversion"/>
  </si>
  <si>
    <t xml:space="preserve"> IG32 (IG32) </t>
    <phoneticPr fontId="2" type="noConversion"/>
  </si>
  <si>
    <t xml:space="preserve"> IG33 (IG33) </t>
    <phoneticPr fontId="2" type="noConversion"/>
  </si>
  <si>
    <t xml:space="preserve"> IG34 (IG34) </t>
    <phoneticPr fontId="2" type="noConversion"/>
  </si>
  <si>
    <t xml:space="preserve"> IG35 (IG35) </t>
    <phoneticPr fontId="2" type="noConversion"/>
  </si>
  <si>
    <t xml:space="preserve"> IG36 (IG36) </t>
    <phoneticPr fontId="2" type="noConversion"/>
  </si>
  <si>
    <t xml:space="preserve"> IG37 (IG37) </t>
    <phoneticPr fontId="2" type="noConversion"/>
  </si>
  <si>
    <t xml:space="preserve"> IG38 (IG38) </t>
    <phoneticPr fontId="2" type="noConversion"/>
  </si>
  <si>
    <t xml:space="preserve"> IG39 (IG39) </t>
    <phoneticPr fontId="2" type="noConversion"/>
  </si>
  <si>
    <t xml:space="preserve"> IG40 (IG40) </t>
    <phoneticPr fontId="2" type="noConversion"/>
  </si>
  <si>
    <t xml:space="preserve"> IG41 (IG41) </t>
    <phoneticPr fontId="2" type="noConversion"/>
  </si>
  <si>
    <t xml:space="preserve"> IG43 (IG43) </t>
    <phoneticPr fontId="2" type="noConversion"/>
  </si>
  <si>
    <t xml:space="preserve"> IG44 (IG44) </t>
    <phoneticPr fontId="2" type="noConversion"/>
  </si>
  <si>
    <t xml:space="preserve"> IG42 (IG42) </t>
    <phoneticPr fontId="2" type="noConversion"/>
  </si>
  <si>
    <t xml:space="preserve"> IG45 (IG45) </t>
    <phoneticPr fontId="2" type="noConversion"/>
  </si>
  <si>
    <t xml:space="preserve"> IG46 (IG46) </t>
    <phoneticPr fontId="2" type="noConversion"/>
  </si>
  <si>
    <t xml:space="preserve"> IG47 (IG47) </t>
    <phoneticPr fontId="2" type="noConversion"/>
  </si>
  <si>
    <t xml:space="preserve"> IG48 (IG48) </t>
    <phoneticPr fontId="2" type="noConversion"/>
  </si>
  <si>
    <t xml:space="preserve"> IG49 (IG49) </t>
    <phoneticPr fontId="2" type="noConversion"/>
  </si>
  <si>
    <t xml:space="preserve"> 全興ES_IZ </t>
    <phoneticPr fontId="2" type="noConversion"/>
  </si>
  <si>
    <t xml:space="preserve"> #1DTR </t>
    <phoneticPr fontId="2" type="noConversion"/>
  </si>
  <si>
    <t xml:space="preserve"> IZ51 (IZ51) </t>
    <phoneticPr fontId="2" type="noConversion"/>
  </si>
  <si>
    <t xml:space="preserve"> IZ52 (IZ52) </t>
    <phoneticPr fontId="2" type="noConversion"/>
  </si>
  <si>
    <t xml:space="preserve"> IZ53 (IZ53) </t>
    <phoneticPr fontId="2" type="noConversion"/>
  </si>
  <si>
    <t xml:space="preserve"> IZ54 (IZ54) </t>
    <phoneticPr fontId="2" type="noConversion"/>
  </si>
  <si>
    <t xml:space="preserve"> IZ55 (IZ55) </t>
    <phoneticPr fontId="2" type="noConversion"/>
  </si>
  <si>
    <t xml:space="preserve"> IZ56 (IZ56) </t>
    <phoneticPr fontId="2" type="noConversion"/>
  </si>
  <si>
    <t xml:space="preserve"> #2DTR </t>
    <phoneticPr fontId="2" type="noConversion"/>
  </si>
  <si>
    <t xml:space="preserve"> IZ61 (IZ61) </t>
    <phoneticPr fontId="2" type="noConversion"/>
  </si>
  <si>
    <t xml:space="preserve"> IZ62 (IZ62) </t>
    <phoneticPr fontId="2" type="noConversion"/>
  </si>
  <si>
    <t xml:space="preserve"> IZ63 (IZ63) </t>
    <phoneticPr fontId="2" type="noConversion"/>
  </si>
  <si>
    <t xml:space="preserve"> IZ64 (IZ64) </t>
    <phoneticPr fontId="2" type="noConversion"/>
  </si>
  <si>
    <t xml:space="preserve"> IZ65 (IZ65) </t>
    <phoneticPr fontId="2" type="noConversion"/>
  </si>
  <si>
    <t xml:space="preserve"> IZ66 (IZ66) </t>
    <phoneticPr fontId="2" type="noConversion"/>
  </si>
  <si>
    <t xml:space="preserve"> #3DTR(A) </t>
    <phoneticPr fontId="2" type="noConversion"/>
  </si>
  <si>
    <t xml:space="preserve"> IZ23 (IZ23) </t>
    <phoneticPr fontId="2" type="noConversion"/>
  </si>
  <si>
    <t xml:space="preserve"> IZ22 (IZ22) </t>
    <phoneticPr fontId="2" type="noConversion"/>
  </si>
  <si>
    <t xml:space="preserve"> IZ21 (IZ21) </t>
    <phoneticPr fontId="2" type="noConversion"/>
  </si>
  <si>
    <t xml:space="preserve"> #3DTR(B) </t>
    <phoneticPr fontId="2" type="noConversion"/>
  </si>
  <si>
    <t xml:space="preserve"> IZ26 (IZ26) </t>
    <phoneticPr fontId="2" type="noConversion"/>
  </si>
  <si>
    <t xml:space="preserve"> IZ25 (IZ25) </t>
    <phoneticPr fontId="2" type="noConversion"/>
  </si>
  <si>
    <t xml:space="preserve"> IZ24 (IZ24) </t>
    <phoneticPr fontId="2" type="noConversion"/>
  </si>
  <si>
    <t xml:space="preserve"> 伸港SS_IV </t>
    <phoneticPr fontId="2" type="noConversion"/>
  </si>
  <si>
    <t xml:space="preserve"> IV51 (IV51) </t>
    <phoneticPr fontId="2" type="noConversion"/>
  </si>
  <si>
    <t xml:space="preserve"> IV52 (IV52) </t>
    <phoneticPr fontId="2" type="noConversion"/>
  </si>
  <si>
    <t xml:space="preserve"> IV53 (IV53) </t>
    <phoneticPr fontId="2" type="noConversion"/>
  </si>
  <si>
    <t xml:space="preserve"> IV54 (IV54) </t>
    <phoneticPr fontId="2" type="noConversion"/>
  </si>
  <si>
    <t xml:space="preserve"> IV55 (IV55) </t>
    <phoneticPr fontId="2" type="noConversion"/>
  </si>
  <si>
    <t xml:space="preserve"> 伸湖線 (IV32) </t>
    <phoneticPr fontId="2" type="noConversion"/>
  </si>
  <si>
    <t xml:space="preserve"> 伸隆線 (IV34) </t>
    <phoneticPr fontId="2" type="noConversion"/>
  </si>
  <si>
    <t xml:space="preserve"> 伸尾線 (IV33) </t>
    <phoneticPr fontId="2" type="noConversion"/>
  </si>
  <si>
    <t xml:space="preserve"> 伸松線 (IV35) </t>
    <phoneticPr fontId="2" type="noConversion"/>
  </si>
  <si>
    <t xml:space="preserve"> 伸工線 (IV31) </t>
    <phoneticPr fontId="2" type="noConversion"/>
  </si>
  <si>
    <t xml:space="preserve"> 頂溪線 (IV24) </t>
    <phoneticPr fontId="2" type="noConversion"/>
  </si>
  <si>
    <t xml:space="preserve"> 伸海線 (IV25) </t>
    <phoneticPr fontId="2" type="noConversion"/>
  </si>
  <si>
    <t xml:space="preserve"> 水尾線 (IV22) </t>
    <phoneticPr fontId="2" type="noConversion"/>
  </si>
  <si>
    <t xml:space="preserve"> 草埔線 (IV21) </t>
    <phoneticPr fontId="2" type="noConversion"/>
  </si>
  <si>
    <t xml:space="preserve"> 伸三線 (IV29) </t>
    <phoneticPr fontId="2" type="noConversion"/>
  </si>
  <si>
    <t xml:space="preserve"> 和美SS_IJ </t>
    <phoneticPr fontId="2" type="noConversion"/>
  </si>
  <si>
    <t xml:space="preserve"> 和美線 (IJ23) </t>
    <phoneticPr fontId="2" type="noConversion"/>
  </si>
  <si>
    <t xml:space="preserve"> 和崁線 (IJ33) </t>
    <phoneticPr fontId="2" type="noConversion"/>
  </si>
  <si>
    <t xml:space="preserve"> 汴頭線 (IJ30) </t>
    <phoneticPr fontId="2" type="noConversion"/>
  </si>
  <si>
    <t xml:space="preserve"> 和西線 (IJ22) </t>
    <phoneticPr fontId="2" type="noConversion"/>
  </si>
  <si>
    <t xml:space="preserve"> 和張線 (IJ34) </t>
    <phoneticPr fontId="2" type="noConversion"/>
  </si>
  <si>
    <t xml:space="preserve"> 和發線 (IJ26) </t>
    <phoneticPr fontId="2" type="noConversion"/>
  </si>
  <si>
    <t xml:space="preserve"> 和東線 (IJ29) </t>
    <phoneticPr fontId="2" type="noConversion"/>
  </si>
  <si>
    <t xml:space="preserve"> 和南線 (IJ28) </t>
    <phoneticPr fontId="2" type="noConversion"/>
  </si>
  <si>
    <t xml:space="preserve"> 和雅線 (IJ32) </t>
    <phoneticPr fontId="2" type="noConversion"/>
  </si>
  <si>
    <t xml:space="preserve"> 和伸線 (IJ20) </t>
    <phoneticPr fontId="2" type="noConversion"/>
  </si>
  <si>
    <t xml:space="preserve"> 地政線 (IJ31) </t>
    <phoneticPr fontId="2" type="noConversion"/>
  </si>
  <si>
    <t xml:space="preserve"> 溪底線 (IJ24) </t>
    <phoneticPr fontId="2" type="noConversion"/>
  </si>
  <si>
    <t xml:space="preserve"> 下犁線 (IJ25) </t>
    <phoneticPr fontId="2" type="noConversion"/>
  </si>
  <si>
    <t xml:space="preserve"> 頂犁線 (IJ21) </t>
    <phoneticPr fontId="2" type="noConversion"/>
  </si>
  <si>
    <t xml:space="preserve"> 霞田線 (IJ27) </t>
    <phoneticPr fontId="2" type="noConversion"/>
  </si>
  <si>
    <t xml:space="preserve"> 社頭SS_IR </t>
    <phoneticPr fontId="2" type="noConversion"/>
  </si>
  <si>
    <t xml:space="preserve"> 社東線 (IR21) </t>
    <phoneticPr fontId="2" type="noConversion"/>
  </si>
  <si>
    <t xml:space="preserve"> 崙厝線 (IR31) </t>
    <phoneticPr fontId="2" type="noConversion"/>
  </si>
  <si>
    <t xml:space="preserve"> 雅果線 (IR32) </t>
    <phoneticPr fontId="2" type="noConversion"/>
  </si>
  <si>
    <t xml:space="preserve"> 清水線 (IR33) </t>
    <phoneticPr fontId="2" type="noConversion"/>
  </si>
  <si>
    <t xml:space="preserve"> 美雅線 (IR34) </t>
    <phoneticPr fontId="2" type="noConversion"/>
  </si>
  <si>
    <t xml:space="preserve"> 八堡線 (IR35) </t>
    <phoneticPr fontId="2" type="noConversion"/>
  </si>
  <si>
    <t xml:space="preserve"> 崙雅線 (IR25) </t>
    <phoneticPr fontId="2" type="noConversion"/>
  </si>
  <si>
    <t xml:space="preserve"> 朝興線 (IR26) </t>
    <phoneticPr fontId="2" type="noConversion"/>
  </si>
  <si>
    <t xml:space="preserve"> 新雅線 (IR20) </t>
    <phoneticPr fontId="2" type="noConversion"/>
  </si>
  <si>
    <t xml:space="preserve"> 社永線 (IR27) </t>
    <phoneticPr fontId="2" type="noConversion"/>
  </si>
  <si>
    <t xml:space="preserve"> IR37 (IR37) </t>
    <phoneticPr fontId="2" type="noConversion"/>
  </si>
  <si>
    <t xml:space="preserve"> IR38 (IR38) </t>
    <phoneticPr fontId="2" type="noConversion"/>
  </si>
  <si>
    <t xml:space="preserve"> IR39 (IR39) </t>
    <phoneticPr fontId="2" type="noConversion"/>
  </si>
  <si>
    <t xml:space="preserve"> IR36 (IR36) </t>
    <phoneticPr fontId="2" type="noConversion"/>
  </si>
  <si>
    <t xml:space="preserve"> IR40 (IR40) </t>
    <phoneticPr fontId="2" type="noConversion"/>
  </si>
  <si>
    <t xml:space="preserve"> #4MTR </t>
    <phoneticPr fontId="2" type="noConversion"/>
  </si>
  <si>
    <t xml:space="preserve"> 社斗線 (IR23) </t>
    <phoneticPr fontId="2" type="noConversion"/>
  </si>
  <si>
    <t xml:space="preserve"> 光雲線 (IR28) </t>
    <phoneticPr fontId="2" type="noConversion"/>
  </si>
  <si>
    <t xml:space="preserve"> 社西線 (IR22) </t>
    <phoneticPr fontId="2" type="noConversion"/>
  </si>
  <si>
    <t xml:space="preserve"> 圳尾線 (IR29) </t>
    <phoneticPr fontId="2" type="noConversion"/>
  </si>
  <si>
    <t xml:space="preserve"> 枋橋線 (IR24) </t>
    <phoneticPr fontId="2" type="noConversion"/>
  </si>
  <si>
    <t xml:space="preserve"> 芳苑SS_IY </t>
    <phoneticPr fontId="2" type="noConversion"/>
  </si>
  <si>
    <t xml:space="preserve"> 芳森線 (IY31) </t>
    <phoneticPr fontId="2" type="noConversion"/>
  </si>
  <si>
    <t xml:space="preserve"> 芳苑線 (IY21) </t>
    <phoneticPr fontId="2" type="noConversion"/>
  </si>
  <si>
    <t xml:space="preserve"> 芳中線 (IY32) </t>
    <phoneticPr fontId="2" type="noConversion"/>
  </si>
  <si>
    <t xml:space="preserve"> 芳隆線 (IY28) </t>
    <phoneticPr fontId="2" type="noConversion"/>
  </si>
  <si>
    <t xml:space="preserve"> 芳六線 (IY29) </t>
    <phoneticPr fontId="2" type="noConversion"/>
  </si>
  <si>
    <t xml:space="preserve"> 芳路線 (IY33) </t>
    <phoneticPr fontId="2" type="noConversion"/>
  </si>
  <si>
    <t xml:space="preserve"> 新街線 (IY20) </t>
    <phoneticPr fontId="2" type="noConversion"/>
  </si>
  <si>
    <t xml:space="preserve"> 芳林線 (IY34) </t>
    <phoneticPr fontId="2" type="noConversion"/>
  </si>
  <si>
    <t xml:space="preserve"> 芳街線 (IY35) </t>
    <phoneticPr fontId="2" type="noConversion"/>
  </si>
  <si>
    <t xml:space="preserve"> 永興線 (IY24) </t>
    <phoneticPr fontId="2" type="noConversion"/>
  </si>
  <si>
    <t xml:space="preserve"> 芳鵬線 (IY27) </t>
    <phoneticPr fontId="2" type="noConversion"/>
  </si>
  <si>
    <t xml:space="preserve"> 芳聚線 (IY26) </t>
    <phoneticPr fontId="2" type="noConversion"/>
  </si>
  <si>
    <t xml:space="preserve"> 芳南線 (IY22) </t>
    <phoneticPr fontId="2" type="noConversion"/>
  </si>
  <si>
    <t xml:space="preserve"> 芳北線 (IY23) </t>
    <phoneticPr fontId="2" type="noConversion"/>
  </si>
  <si>
    <t xml:space="preserve"> 芳麗線 (IY25) </t>
    <phoneticPr fontId="2" type="noConversion"/>
  </si>
  <si>
    <t xml:space="preserve"> 04:00:00 </t>
    <phoneticPr fontId="2" type="noConversion"/>
  </si>
  <si>
    <t xml:space="preserve"> 花壇DS_9P </t>
    <phoneticPr fontId="2" type="noConversion"/>
  </si>
  <si>
    <t xml:space="preserve"> 9P10 (9P10) </t>
    <phoneticPr fontId="2" type="noConversion"/>
  </si>
  <si>
    <t xml:space="preserve"> 9P11 (9P11) </t>
    <phoneticPr fontId="2" type="noConversion"/>
  </si>
  <si>
    <t xml:space="preserve"> 9P12 (9P12) </t>
    <phoneticPr fontId="2" type="noConversion"/>
  </si>
  <si>
    <t xml:space="preserve"> 9P13 (9P13) </t>
    <phoneticPr fontId="2" type="noConversion"/>
  </si>
  <si>
    <t xml:space="preserve"> 9P14 (9P14) </t>
    <phoneticPr fontId="2" type="noConversion"/>
  </si>
  <si>
    <t xml:space="preserve"> 9P15 (9P15) </t>
    <phoneticPr fontId="2" type="noConversion"/>
  </si>
  <si>
    <t xml:space="preserve"> 9P16 (9P16) </t>
    <phoneticPr fontId="2" type="noConversion"/>
  </si>
  <si>
    <t xml:space="preserve"> 9P17 (9P17) </t>
    <phoneticPr fontId="2" type="noConversion"/>
  </si>
  <si>
    <t xml:space="preserve"> 9P18 (9P18) </t>
    <phoneticPr fontId="2" type="noConversion"/>
  </si>
  <si>
    <t xml:space="preserve"> 9P19 (9P19) </t>
    <phoneticPr fontId="2" type="noConversion"/>
  </si>
  <si>
    <t xml:space="preserve"> 9P20 (9P20) </t>
    <phoneticPr fontId="2" type="noConversion"/>
  </si>
  <si>
    <t xml:space="preserve"> 9P21 (9P21) </t>
    <phoneticPr fontId="2" type="noConversion"/>
  </si>
  <si>
    <t xml:space="preserve"> 9P22 (9P22) </t>
    <phoneticPr fontId="2" type="noConversion"/>
  </si>
  <si>
    <t xml:space="preserve"> 9P23 (9P23) </t>
    <phoneticPr fontId="2" type="noConversion"/>
  </si>
  <si>
    <t xml:space="preserve"> 9P24 (9P24) </t>
    <phoneticPr fontId="2" type="noConversion"/>
  </si>
  <si>
    <t xml:space="preserve"> 9P25 (9P25) </t>
    <phoneticPr fontId="2" type="noConversion"/>
  </si>
  <si>
    <t xml:space="preserve"> 9P26 (9P26) </t>
    <phoneticPr fontId="2" type="noConversion"/>
  </si>
  <si>
    <t xml:space="preserve"> 9P27 (9P27) </t>
    <phoneticPr fontId="2" type="noConversion"/>
  </si>
  <si>
    <t xml:space="preserve"> 9P28 (9P28) </t>
    <phoneticPr fontId="2" type="noConversion"/>
  </si>
  <si>
    <t xml:space="preserve"> 9P29 (9P29) </t>
    <phoneticPr fontId="2" type="noConversion"/>
  </si>
  <si>
    <t xml:space="preserve"> 員東DS_IU </t>
    <phoneticPr fontId="2" type="noConversion"/>
  </si>
  <si>
    <t xml:space="preserve"> IU21 (IU21) </t>
    <phoneticPr fontId="2" type="noConversion"/>
  </si>
  <si>
    <t xml:space="preserve"> 宏進線 (IU22) </t>
    <phoneticPr fontId="2" type="noConversion"/>
  </si>
  <si>
    <t xml:space="preserve"> 中崙線 (IU23) </t>
    <phoneticPr fontId="2" type="noConversion"/>
  </si>
  <si>
    <t xml:space="preserve"> 東山線 (IU24) </t>
    <phoneticPr fontId="2" type="noConversion"/>
  </si>
  <si>
    <t xml:space="preserve"> 湖水線 (IU25) </t>
    <phoneticPr fontId="2" type="noConversion"/>
  </si>
  <si>
    <t xml:space="preserve"> IU26 (IU26) </t>
    <phoneticPr fontId="2" type="noConversion"/>
  </si>
  <si>
    <t xml:space="preserve"> 東新線 (IU31) </t>
    <phoneticPr fontId="2" type="noConversion"/>
  </si>
  <si>
    <t xml:space="preserve"> 西東線 (IU32) </t>
    <phoneticPr fontId="2" type="noConversion"/>
  </si>
  <si>
    <t xml:space="preserve"> 三民線 (IU33) </t>
    <phoneticPr fontId="2" type="noConversion"/>
  </si>
  <si>
    <t xml:space="preserve"> IU34 (IU34) </t>
    <phoneticPr fontId="2" type="noConversion"/>
  </si>
  <si>
    <t xml:space="preserve"> 東羽線 (IU27) </t>
    <phoneticPr fontId="2" type="noConversion"/>
  </si>
  <si>
    <t xml:space="preserve"> 東北線 (IU28) </t>
    <phoneticPr fontId="2" type="noConversion"/>
  </si>
  <si>
    <t xml:space="preserve"> 東水線 (IU29) </t>
    <phoneticPr fontId="2" type="noConversion"/>
  </si>
  <si>
    <t xml:space="preserve"> 三條線 (IU30) </t>
    <phoneticPr fontId="2" type="noConversion"/>
  </si>
  <si>
    <t xml:space="preserve"> 山腳線 (IU35) </t>
    <phoneticPr fontId="2" type="noConversion"/>
  </si>
  <si>
    <t xml:space="preserve"> 鎮興線 (IU36) </t>
    <phoneticPr fontId="2" type="noConversion"/>
  </si>
  <si>
    <t xml:space="preserve"> 東門線 (IU37) </t>
    <phoneticPr fontId="2" type="noConversion"/>
  </si>
  <si>
    <t xml:space="preserve"> 金安線 (IU38) </t>
    <phoneticPr fontId="2" type="noConversion"/>
  </si>
  <si>
    <t xml:space="preserve"> IU39 (IU39) </t>
    <phoneticPr fontId="2" type="noConversion"/>
  </si>
  <si>
    <t xml:space="preserve"> IU40 (IU40) </t>
    <phoneticPr fontId="2" type="noConversion"/>
  </si>
  <si>
    <t xml:space="preserve"> 員林DS_9C </t>
    <phoneticPr fontId="2" type="noConversion"/>
  </si>
  <si>
    <t xml:space="preserve"> 9C20 (9C20) </t>
    <phoneticPr fontId="2" type="noConversion"/>
  </si>
  <si>
    <t xml:space="preserve"> 9C21 (9C21) </t>
    <phoneticPr fontId="2" type="noConversion"/>
  </si>
  <si>
    <t xml:space="preserve"> 9C22 (9C22) </t>
    <phoneticPr fontId="2" type="noConversion"/>
  </si>
  <si>
    <t xml:space="preserve"> 9C23 (9C23) </t>
    <phoneticPr fontId="2" type="noConversion"/>
  </si>
  <si>
    <t xml:space="preserve"> 9C24 (9C24) </t>
    <phoneticPr fontId="2" type="noConversion"/>
  </si>
  <si>
    <t xml:space="preserve"> 9C25 (9C25) </t>
    <phoneticPr fontId="2" type="noConversion"/>
  </si>
  <si>
    <t xml:space="preserve"> 9C26 (9C26) </t>
    <phoneticPr fontId="2" type="noConversion"/>
  </si>
  <si>
    <t xml:space="preserve"> 9C27 (9C27) </t>
    <phoneticPr fontId="2" type="noConversion"/>
  </si>
  <si>
    <t xml:space="preserve"> 9C28 (9C28) </t>
    <phoneticPr fontId="2" type="noConversion"/>
  </si>
  <si>
    <t xml:space="preserve"> 9C29 (9C29) </t>
    <phoneticPr fontId="2" type="noConversion"/>
  </si>
  <si>
    <t xml:space="preserve"> 9C30 (9C30) </t>
    <phoneticPr fontId="2" type="noConversion"/>
  </si>
  <si>
    <t xml:space="preserve"> 9C31 (9C31) </t>
    <phoneticPr fontId="2" type="noConversion"/>
  </si>
  <si>
    <t xml:space="preserve"> 9C33 (9C33) </t>
    <phoneticPr fontId="2" type="noConversion"/>
  </si>
  <si>
    <t xml:space="preserve"> 9C34 (9C34) </t>
    <phoneticPr fontId="2" type="noConversion"/>
  </si>
  <si>
    <t xml:space="preserve"> 9C32 (9C32) </t>
    <phoneticPr fontId="2" type="noConversion"/>
  </si>
  <si>
    <t xml:space="preserve"> 9C35 (9C35) </t>
    <phoneticPr fontId="2" type="noConversion"/>
  </si>
  <si>
    <t xml:space="preserve"> 9C36 (9C36) </t>
    <phoneticPr fontId="2" type="noConversion"/>
  </si>
  <si>
    <t xml:space="preserve"> 9C37 (9C37) </t>
    <phoneticPr fontId="2" type="noConversion"/>
  </si>
  <si>
    <t xml:space="preserve"> 9C38 (9C38) </t>
    <phoneticPr fontId="2" type="noConversion"/>
  </si>
  <si>
    <t xml:space="preserve"> 9C39 (9C39) </t>
    <phoneticPr fontId="2" type="noConversion"/>
  </si>
  <si>
    <t xml:space="preserve"> 9C40 (9C40) </t>
    <phoneticPr fontId="2" type="noConversion"/>
  </si>
  <si>
    <t xml:space="preserve"> 9C41 (9C41) </t>
    <phoneticPr fontId="2" type="noConversion"/>
  </si>
  <si>
    <t xml:space="preserve"> 9C42 (9C42) </t>
    <phoneticPr fontId="2" type="noConversion"/>
  </si>
  <si>
    <t xml:space="preserve"> 9C43 (9C43) </t>
    <phoneticPr fontId="2" type="noConversion"/>
  </si>
  <si>
    <t xml:space="preserve"> 9C44 (9C44) </t>
    <phoneticPr fontId="2" type="noConversion"/>
  </si>
  <si>
    <t xml:space="preserve"> 9C45 (9C45) </t>
    <phoneticPr fontId="2" type="noConversion"/>
  </si>
  <si>
    <t xml:space="preserve"> 9C46 (9C46) </t>
    <phoneticPr fontId="2" type="noConversion"/>
  </si>
  <si>
    <t xml:space="preserve"> 9C47 (9C47) </t>
    <phoneticPr fontId="2" type="noConversion"/>
  </si>
  <si>
    <t xml:space="preserve"> 9C48 (9C48) </t>
    <phoneticPr fontId="2" type="noConversion"/>
  </si>
  <si>
    <t xml:space="preserve"> 9C49 (9C49) </t>
    <phoneticPr fontId="2" type="noConversion"/>
  </si>
  <si>
    <t xml:space="preserve"> 員南SS_IL </t>
    <phoneticPr fontId="2" type="noConversion"/>
  </si>
  <si>
    <t xml:space="preserve"> 萬年線 (IL27) </t>
    <phoneticPr fontId="2" type="noConversion"/>
  </si>
  <si>
    <t xml:space="preserve"> 南靖線 (IL22) </t>
    <phoneticPr fontId="2" type="noConversion"/>
  </si>
  <si>
    <t xml:space="preserve"> 經口線 (IL21) </t>
    <phoneticPr fontId="2" type="noConversion"/>
  </si>
  <si>
    <t xml:space="preserve"> 太平線 (IL23) </t>
    <phoneticPr fontId="2" type="noConversion"/>
  </si>
  <si>
    <t xml:space="preserve"> 中央線 (IL24) </t>
    <phoneticPr fontId="2" type="noConversion"/>
  </si>
  <si>
    <t xml:space="preserve"> F16 (F16) </t>
    <phoneticPr fontId="2" type="noConversion"/>
  </si>
  <si>
    <t xml:space="preserve"> 大華線 (IL32) </t>
    <phoneticPr fontId="2" type="noConversion"/>
  </si>
  <si>
    <t xml:space="preserve"> 瓦瑤線 (IL29) </t>
    <phoneticPr fontId="2" type="noConversion"/>
  </si>
  <si>
    <t xml:space="preserve"> 百果線 (IL20) </t>
    <phoneticPr fontId="2" type="noConversion"/>
  </si>
  <si>
    <t xml:space="preserve"> 溝皂線 (IL25) </t>
    <phoneticPr fontId="2" type="noConversion"/>
  </si>
  <si>
    <t xml:space="preserve"> 大饒線 (IL26) </t>
    <phoneticPr fontId="2" type="noConversion"/>
  </si>
  <si>
    <t xml:space="preserve"> F15 (F15) </t>
    <phoneticPr fontId="2" type="noConversion"/>
  </si>
  <si>
    <t xml:space="preserve"> F14 (F14) </t>
    <phoneticPr fontId="2" type="noConversion"/>
  </si>
  <si>
    <t xml:space="preserve"> 南門線 (IL30) </t>
    <phoneticPr fontId="2" type="noConversion"/>
  </si>
  <si>
    <t xml:space="preserve"> 五汴線 (IL28) </t>
    <phoneticPr fontId="2" type="noConversion"/>
  </si>
  <si>
    <t xml:space="preserve"> 莒光線 (IL31) </t>
    <phoneticPr fontId="2" type="noConversion"/>
  </si>
  <si>
    <t xml:space="preserve"> 埔鹽SS_9J </t>
    <phoneticPr fontId="2" type="noConversion"/>
  </si>
  <si>
    <t xml:space="preserve"> 9J11 (9J11) </t>
    <phoneticPr fontId="2" type="noConversion"/>
  </si>
  <si>
    <t xml:space="preserve"> 9J12 (9J12) </t>
    <phoneticPr fontId="2" type="noConversion"/>
  </si>
  <si>
    <t xml:space="preserve"> 9J13 (9J13) </t>
    <phoneticPr fontId="2" type="noConversion"/>
  </si>
  <si>
    <t xml:space="preserve"> 9J14 (9J14) </t>
    <phoneticPr fontId="2" type="noConversion"/>
  </si>
  <si>
    <t xml:space="preserve"> 9J15 (9J15) </t>
    <phoneticPr fontId="2" type="noConversion"/>
  </si>
  <si>
    <t xml:space="preserve"> 9J21 (9J21) </t>
    <phoneticPr fontId="2" type="noConversion"/>
  </si>
  <si>
    <t xml:space="preserve"> 9J24 (9J24) </t>
    <phoneticPr fontId="2" type="noConversion"/>
  </si>
  <si>
    <t xml:space="preserve"> 9J25 (9J25) </t>
    <phoneticPr fontId="2" type="noConversion"/>
  </si>
  <si>
    <t xml:space="preserve"> 9J22 (9J22) </t>
    <phoneticPr fontId="2" type="noConversion"/>
  </si>
  <si>
    <t xml:space="preserve"> 9J23 (9J23) </t>
    <phoneticPr fontId="2" type="noConversion"/>
  </si>
  <si>
    <t xml:space="preserve"> 9J31 (9J31) </t>
    <phoneticPr fontId="2" type="noConversion"/>
  </si>
  <si>
    <t xml:space="preserve"> 9J32 (9J32) </t>
    <phoneticPr fontId="2" type="noConversion"/>
  </si>
  <si>
    <t xml:space="preserve"> 9J33 (9J33) </t>
    <phoneticPr fontId="2" type="noConversion"/>
  </si>
  <si>
    <t xml:space="preserve"> 9J34 (9J34) </t>
    <phoneticPr fontId="2" type="noConversion"/>
  </si>
  <si>
    <t xml:space="preserve"> 9J35 (9J35) </t>
    <phoneticPr fontId="2" type="noConversion"/>
  </si>
  <si>
    <t xml:space="preserve"> 草港DS_9H </t>
    <phoneticPr fontId="2" type="noConversion"/>
  </si>
  <si>
    <t xml:space="preserve"> 9H20 (9H20) </t>
    <phoneticPr fontId="2" type="noConversion"/>
  </si>
  <si>
    <t xml:space="preserve"> 下港線 (9H21) </t>
    <phoneticPr fontId="2" type="noConversion"/>
  </si>
  <si>
    <t xml:space="preserve"> 草塭線 (9H22) </t>
    <phoneticPr fontId="2" type="noConversion"/>
  </si>
  <si>
    <t xml:space="preserve"> 崙尾線 (9H23) </t>
    <phoneticPr fontId="2" type="noConversion"/>
  </si>
  <si>
    <t xml:space="preserve"> 崙草線 (9H24) </t>
    <phoneticPr fontId="2" type="noConversion"/>
  </si>
  <si>
    <t xml:space="preserve"> 南勢線 (9H25) </t>
    <phoneticPr fontId="2" type="noConversion"/>
  </si>
  <si>
    <t xml:space="preserve"> 02:00:00 </t>
    <phoneticPr fontId="2" type="noConversion"/>
  </si>
  <si>
    <t xml:space="preserve"> 草洋線 (9H26) </t>
    <phoneticPr fontId="2" type="noConversion"/>
  </si>
  <si>
    <t xml:space="preserve"> 草港線 (9H27) </t>
    <phoneticPr fontId="2" type="noConversion"/>
  </si>
  <si>
    <t xml:space="preserve"> 草莊線 (9H28) </t>
    <phoneticPr fontId="2" type="noConversion"/>
  </si>
  <si>
    <t xml:space="preserve"> 草東線 (9H29) </t>
    <phoneticPr fontId="2" type="noConversion"/>
  </si>
  <si>
    <t xml:space="preserve"> 9H30 (9H30) </t>
    <phoneticPr fontId="2" type="noConversion"/>
  </si>
  <si>
    <t xml:space="preserve"> 西崙線 (9H31) </t>
    <phoneticPr fontId="2" type="noConversion"/>
  </si>
  <si>
    <t xml:space="preserve"> 草一線 (9H32) </t>
    <phoneticPr fontId="2" type="noConversion"/>
  </si>
  <si>
    <t xml:space="preserve"> 草鹿線 (9H33) </t>
    <phoneticPr fontId="2" type="noConversion"/>
  </si>
  <si>
    <t xml:space="preserve"> 頂山線 (9H34) </t>
    <phoneticPr fontId="2" type="noConversion"/>
  </si>
  <si>
    <t xml:space="preserve"> 草中線 (9H35) </t>
    <phoneticPr fontId="2" type="noConversion"/>
  </si>
  <si>
    <t xml:space="preserve"> 草子線 (9H36) </t>
    <phoneticPr fontId="2" type="noConversion"/>
  </si>
  <si>
    <t xml:space="preserve"> 東正線 (9H37) </t>
    <phoneticPr fontId="2" type="noConversion"/>
  </si>
  <si>
    <t xml:space="preserve"> 草嶺線 (9H38) </t>
    <phoneticPr fontId="2" type="noConversion"/>
  </si>
  <si>
    <t xml:space="preserve"> 草伸線 (9H39) </t>
    <phoneticPr fontId="2" type="noConversion"/>
  </si>
  <si>
    <t xml:space="preserve"> 草湖SS_IS </t>
    <phoneticPr fontId="2" type="noConversion"/>
  </si>
  <si>
    <t xml:space="preserve"> 草北線 (IS20) </t>
    <phoneticPr fontId="2" type="noConversion"/>
  </si>
  <si>
    <t xml:space="preserve"> 竹寮線 (IS21) </t>
    <phoneticPr fontId="2" type="noConversion"/>
  </si>
  <si>
    <t xml:space="preserve"> 趙甲線 (IS22) </t>
    <phoneticPr fontId="2" type="noConversion"/>
  </si>
  <si>
    <t xml:space="preserve"> 建平線 (IS27) </t>
    <phoneticPr fontId="2" type="noConversion"/>
  </si>
  <si>
    <t xml:space="preserve"> 胡厝線 (IS29) </t>
    <phoneticPr fontId="2" type="noConversion"/>
  </si>
  <si>
    <t xml:space="preserve"> 八甲線 (IS26) </t>
    <phoneticPr fontId="2" type="noConversion"/>
  </si>
  <si>
    <t xml:space="preserve"> 川邊線 (IS25) </t>
    <phoneticPr fontId="2" type="noConversion"/>
  </si>
  <si>
    <t xml:space="preserve"> 草苑線 (IS23) </t>
    <phoneticPr fontId="2" type="noConversion"/>
  </si>
  <si>
    <t xml:space="preserve"> 崙腳線 (IS24) </t>
    <phoneticPr fontId="2" type="noConversion"/>
  </si>
  <si>
    <t xml:space="preserve"> 興海線 (IS28) </t>
    <phoneticPr fontId="2" type="noConversion"/>
  </si>
  <si>
    <t xml:space="preserve"> ISA0 (ISA0) </t>
    <phoneticPr fontId="2" type="noConversion"/>
  </si>
  <si>
    <t xml:space="preserve"> ISA1 (ISA1) </t>
    <phoneticPr fontId="2" type="noConversion"/>
  </si>
  <si>
    <t xml:space="preserve"> IS32 (IS32) </t>
    <phoneticPr fontId="2" type="noConversion"/>
  </si>
  <si>
    <t xml:space="preserve"> IS31 (IS31) </t>
    <phoneticPr fontId="2" type="noConversion"/>
  </si>
  <si>
    <t xml:space="preserve"> IS30 (IS30) </t>
    <phoneticPr fontId="2" type="noConversion"/>
  </si>
  <si>
    <t xml:space="preserve"> 鹿西DS_9F </t>
    <phoneticPr fontId="2" type="noConversion"/>
  </si>
  <si>
    <t xml:space="preserve"> 9F51 (9F51) </t>
    <phoneticPr fontId="2" type="noConversion"/>
  </si>
  <si>
    <t xml:space="preserve"> 9F52 (9F52) </t>
    <phoneticPr fontId="2" type="noConversion"/>
  </si>
  <si>
    <t xml:space="preserve"> 9F53 (9F53) </t>
    <phoneticPr fontId="2" type="noConversion"/>
  </si>
  <si>
    <t xml:space="preserve"> 9F54 (9F54) </t>
    <phoneticPr fontId="2" type="noConversion"/>
  </si>
  <si>
    <t xml:space="preserve"> 9F55 (9F55) </t>
    <phoneticPr fontId="2" type="noConversion"/>
  </si>
  <si>
    <t xml:space="preserve"> 9F56 (9F56) </t>
    <phoneticPr fontId="2" type="noConversion"/>
  </si>
  <si>
    <t xml:space="preserve"> 9F57 (9F57) </t>
    <phoneticPr fontId="2" type="noConversion"/>
  </si>
  <si>
    <t xml:space="preserve"> 9F58 (9F58) </t>
    <phoneticPr fontId="2" type="noConversion"/>
  </si>
  <si>
    <t xml:space="preserve"> 9F61 (9F61) </t>
    <phoneticPr fontId="2" type="noConversion"/>
  </si>
  <si>
    <t xml:space="preserve"> 9F62 (9F62) </t>
    <phoneticPr fontId="2" type="noConversion"/>
  </si>
  <si>
    <t xml:space="preserve"> 9F63 (9F63) </t>
    <phoneticPr fontId="2" type="noConversion"/>
  </si>
  <si>
    <t xml:space="preserve"> 9F64 (9F64) </t>
    <phoneticPr fontId="2" type="noConversion"/>
  </si>
  <si>
    <t xml:space="preserve"> 9F65 (9F65) </t>
    <phoneticPr fontId="2" type="noConversion"/>
  </si>
  <si>
    <t xml:space="preserve"> 9F66 (9F66) </t>
    <phoneticPr fontId="2" type="noConversion"/>
  </si>
  <si>
    <t xml:space="preserve"> 9F67 (9F67) </t>
    <phoneticPr fontId="2" type="noConversion"/>
  </si>
  <si>
    <t xml:space="preserve"> 9F68 (9F68) </t>
    <phoneticPr fontId="2" type="noConversion"/>
  </si>
  <si>
    <t xml:space="preserve"> 鹿東DS_IO </t>
    <phoneticPr fontId="2" type="noConversion"/>
  </si>
  <si>
    <t xml:space="preserve"> IO51 (IO51) </t>
    <phoneticPr fontId="2" type="noConversion"/>
  </si>
  <si>
    <t xml:space="preserve"> IO52 (IO52) </t>
    <phoneticPr fontId="2" type="noConversion"/>
  </si>
  <si>
    <t xml:space="preserve"> IO53 (IO53) </t>
    <phoneticPr fontId="2" type="noConversion"/>
  </si>
  <si>
    <t xml:space="preserve"> IO54 (IO54) </t>
    <phoneticPr fontId="2" type="noConversion"/>
  </si>
  <si>
    <t xml:space="preserve"> IO55 (IO55) </t>
    <phoneticPr fontId="2" type="noConversion"/>
  </si>
  <si>
    <t xml:space="preserve"> IO56 (IO56) </t>
    <phoneticPr fontId="2" type="noConversion"/>
  </si>
  <si>
    <t xml:space="preserve"> IO61 (IO61) </t>
    <phoneticPr fontId="2" type="noConversion"/>
  </si>
  <si>
    <t xml:space="preserve"> IO64 (IO64) </t>
    <phoneticPr fontId="2" type="noConversion"/>
  </si>
  <si>
    <t xml:space="preserve"> IO65 (IO65) </t>
    <phoneticPr fontId="2" type="noConversion"/>
  </si>
  <si>
    <t xml:space="preserve"> IO62 (IO62) </t>
    <phoneticPr fontId="2" type="noConversion"/>
  </si>
  <si>
    <t xml:space="preserve"> IO63 (IO63) </t>
    <phoneticPr fontId="2" type="noConversion"/>
  </si>
  <si>
    <t xml:space="preserve"> IO66 (IO66) </t>
    <phoneticPr fontId="2" type="noConversion"/>
  </si>
  <si>
    <t xml:space="preserve"> #3DTR </t>
    <phoneticPr fontId="2" type="noConversion"/>
  </si>
  <si>
    <t xml:space="preserve"> IO76 (IO76) </t>
    <phoneticPr fontId="2" type="noConversion"/>
  </si>
  <si>
    <t xml:space="preserve"> IO75 (IO75) </t>
    <phoneticPr fontId="2" type="noConversion"/>
  </si>
  <si>
    <t xml:space="preserve"> IO73 (IO73) </t>
    <phoneticPr fontId="2" type="noConversion"/>
  </si>
  <si>
    <t xml:space="preserve"> IO74 (IO74) </t>
    <phoneticPr fontId="2" type="noConversion"/>
  </si>
  <si>
    <t xml:space="preserve"> IO72 (IO72) </t>
    <phoneticPr fontId="2" type="noConversion"/>
  </si>
  <si>
    <t xml:space="preserve"> IO71 (IO71) </t>
    <phoneticPr fontId="2" type="noConversion"/>
  </si>
  <si>
    <t xml:space="preserve"> IO26 (IO26) </t>
    <phoneticPr fontId="2" type="noConversion"/>
  </si>
  <si>
    <t xml:space="preserve"> IO25 (IO25) </t>
    <phoneticPr fontId="2" type="noConversion"/>
  </si>
  <si>
    <t xml:space="preserve"> IO24 (IO24) </t>
    <phoneticPr fontId="2" type="noConversion"/>
  </si>
  <si>
    <t xml:space="preserve"> IO23 (IO23) </t>
    <phoneticPr fontId="2" type="noConversion"/>
  </si>
  <si>
    <t xml:space="preserve"> IO22 (IO22) </t>
    <phoneticPr fontId="2" type="noConversion"/>
  </si>
  <si>
    <t xml:space="preserve"> IO21 (IO21) </t>
    <phoneticPr fontId="2" type="noConversion"/>
  </si>
  <si>
    <t xml:space="preserve"> 鹿港SS_IB </t>
    <phoneticPr fontId="2" type="noConversion"/>
  </si>
  <si>
    <t xml:space="preserve"> 二港線 (IB20) </t>
    <phoneticPr fontId="2" type="noConversion"/>
  </si>
  <si>
    <t xml:space="preserve"> 海埔線 (IB22) </t>
    <phoneticPr fontId="2" type="noConversion"/>
  </si>
  <si>
    <t xml:space="preserve"> 下庄線 (IB30) </t>
    <phoneticPr fontId="2" type="noConversion"/>
  </si>
  <si>
    <t xml:space="preserve"> 鹿一線 (IB31) </t>
    <phoneticPr fontId="2" type="noConversion"/>
  </si>
  <si>
    <t xml:space="preserve"> 橋頭線 (IB21) </t>
    <phoneticPr fontId="2" type="noConversion"/>
  </si>
  <si>
    <t xml:space="preserve"> 龍山線 (IB28) </t>
    <phoneticPr fontId="2" type="noConversion"/>
  </si>
  <si>
    <t xml:space="preserve"> 鹽場線 (IB25) </t>
    <phoneticPr fontId="2" type="noConversion"/>
  </si>
  <si>
    <t xml:space="preserve"> 鹿三線 (IB33) </t>
    <phoneticPr fontId="2" type="noConversion"/>
  </si>
  <si>
    <t xml:space="preserve"> 鹿東線 (IB27) </t>
    <phoneticPr fontId="2" type="noConversion"/>
  </si>
  <si>
    <t xml:space="preserve"> 鹿溪線 (IB24) </t>
    <phoneticPr fontId="2" type="noConversion"/>
  </si>
  <si>
    <t xml:space="preserve"> 永豐線 (IB34) </t>
    <phoneticPr fontId="2" type="noConversion"/>
  </si>
  <si>
    <t xml:space="preserve"> 鹿管線 (IB29) </t>
    <phoneticPr fontId="2" type="noConversion"/>
  </si>
  <si>
    <t xml:space="preserve"> 鹿二線 (IB32) </t>
    <phoneticPr fontId="2" type="noConversion"/>
  </si>
  <si>
    <t xml:space="preserve"> 頂厝線 (IB26) </t>
    <phoneticPr fontId="2" type="noConversion"/>
  </si>
  <si>
    <t xml:space="preserve"> 鹿中線 (IB23) </t>
    <phoneticPr fontId="2" type="noConversion"/>
  </si>
  <si>
    <t xml:space="preserve"> 溝墘SS_IT </t>
    <phoneticPr fontId="2" type="noConversion"/>
  </si>
  <si>
    <t xml:space="preserve"> 嘉佃線 (IT29) </t>
    <phoneticPr fontId="2" type="noConversion"/>
  </si>
  <si>
    <t xml:space="preserve"> 頭崙線 (IT22) </t>
    <phoneticPr fontId="2" type="noConversion"/>
  </si>
  <si>
    <t xml:space="preserve"> 溝南線 (IT34) </t>
    <phoneticPr fontId="2" type="noConversion"/>
  </si>
  <si>
    <t xml:space="preserve"> 馬興線 (IT23) </t>
    <phoneticPr fontId="2" type="noConversion"/>
  </si>
  <si>
    <t xml:space="preserve"> 葉厝線 (IT25) </t>
    <phoneticPr fontId="2" type="noConversion"/>
  </si>
  <si>
    <t xml:space="preserve"> 棋盤線 (IT24) </t>
    <phoneticPr fontId="2" type="noConversion"/>
  </si>
  <si>
    <t xml:space="preserve"> 鎮平線 (IT20) </t>
    <phoneticPr fontId="2" type="noConversion"/>
  </si>
  <si>
    <t xml:space="preserve"> 溝中線 (IT32) </t>
    <phoneticPr fontId="2" type="noConversion"/>
  </si>
  <si>
    <t xml:space="preserve"> 溝東線 (IT33) </t>
    <phoneticPr fontId="2" type="noConversion"/>
  </si>
  <si>
    <t xml:space="preserve"> 南海線 (IT27) </t>
    <phoneticPr fontId="2" type="noConversion"/>
  </si>
  <si>
    <t xml:space="preserve"> 頂番線 (IT21) </t>
    <phoneticPr fontId="2" type="noConversion"/>
  </si>
  <si>
    <t xml:space="preserve"> 溝圳線 (IT30) </t>
    <phoneticPr fontId="2" type="noConversion"/>
  </si>
  <si>
    <t xml:space="preserve"> 溝北線 (IT26) </t>
    <phoneticPr fontId="2" type="noConversion"/>
  </si>
  <si>
    <t xml:space="preserve"> 溝鹿線 (IT31) </t>
    <phoneticPr fontId="2" type="noConversion"/>
  </si>
  <si>
    <t xml:space="preserve"> 三永線 (IT28) </t>
    <phoneticPr fontId="2" type="noConversion"/>
  </si>
  <si>
    <t xml:space="preserve"> 溪州SS_IF </t>
    <phoneticPr fontId="2" type="noConversion"/>
  </si>
  <si>
    <t xml:space="preserve"> 埤頭線 (IF21) </t>
    <phoneticPr fontId="2" type="noConversion"/>
  </si>
  <si>
    <t xml:space="preserve"> 下霸線 (IF25) </t>
    <phoneticPr fontId="2" type="noConversion"/>
  </si>
  <si>
    <t xml:space="preserve"> 田頭線 (IF30) </t>
    <phoneticPr fontId="2" type="noConversion"/>
  </si>
  <si>
    <t xml:space="preserve"> 溪工線 (IF33) </t>
    <phoneticPr fontId="2" type="noConversion"/>
  </si>
  <si>
    <t xml:space="preserve"> 農場線 (IF34) </t>
    <phoneticPr fontId="2" type="noConversion"/>
  </si>
  <si>
    <t xml:space="preserve"> 溪竹線 (IF31) </t>
    <phoneticPr fontId="2" type="noConversion"/>
  </si>
  <si>
    <t xml:space="preserve"> 潮洋線 (IF22) </t>
    <phoneticPr fontId="2" type="noConversion"/>
  </si>
  <si>
    <t xml:space="preserve"> 路口線 (IF23) </t>
    <phoneticPr fontId="2" type="noConversion"/>
  </si>
  <si>
    <t xml:space="preserve"> 埤工線 (IF24) </t>
    <phoneticPr fontId="2" type="noConversion"/>
  </si>
  <si>
    <t xml:space="preserve"> 埔尾線 (IF26) </t>
    <phoneticPr fontId="2" type="noConversion"/>
  </si>
  <si>
    <t xml:space="preserve"> IF35 (IF35) </t>
    <phoneticPr fontId="2" type="noConversion"/>
  </si>
  <si>
    <t xml:space="preserve"> IF38 (IF38) </t>
    <phoneticPr fontId="2" type="noConversion"/>
  </si>
  <si>
    <t xml:space="preserve"> IF36 (IF36) </t>
    <phoneticPr fontId="2" type="noConversion"/>
  </si>
  <si>
    <t xml:space="preserve"> IF37 (IF37) </t>
    <phoneticPr fontId="2" type="noConversion"/>
  </si>
  <si>
    <t xml:space="preserve"> IF39 (IF39) </t>
    <phoneticPr fontId="2" type="noConversion"/>
  </si>
  <si>
    <t xml:space="preserve"> 元埔線 (IF27) </t>
    <phoneticPr fontId="2" type="noConversion"/>
  </si>
  <si>
    <t xml:space="preserve"> 溪斗線 (IF20) </t>
    <phoneticPr fontId="2" type="noConversion"/>
  </si>
  <si>
    <t xml:space="preserve"> 南州線 (IF28) </t>
    <phoneticPr fontId="2" type="noConversion"/>
  </si>
  <si>
    <t xml:space="preserve"> 溪林線 (IF32) </t>
    <phoneticPr fontId="2" type="noConversion"/>
  </si>
  <si>
    <t xml:space="preserve"> 合興線 (IF29) </t>
    <phoneticPr fontId="2" type="noConversion"/>
  </si>
  <si>
    <t xml:space="preserve"> 溪湖SS_ID </t>
    <phoneticPr fontId="2" type="noConversion"/>
  </si>
  <si>
    <t xml:space="preserve"> 西寮線 (ID20) </t>
    <phoneticPr fontId="2" type="noConversion"/>
  </si>
  <si>
    <t xml:space="preserve"> 湖南線 (ID23) </t>
    <phoneticPr fontId="2" type="noConversion"/>
  </si>
  <si>
    <t xml:space="preserve"> 溪湖線 (ID28) </t>
    <phoneticPr fontId="2" type="noConversion"/>
  </si>
  <si>
    <t xml:space="preserve"> 湳底線 (ID26) </t>
    <phoneticPr fontId="2" type="noConversion"/>
  </si>
  <si>
    <t xml:space="preserve"> 湖北線 (ID31) </t>
    <phoneticPr fontId="2" type="noConversion"/>
  </si>
  <si>
    <t xml:space="preserve"> 湖中線 (ID30) </t>
    <phoneticPr fontId="2" type="noConversion"/>
  </si>
  <si>
    <t xml:space="preserve"> 溪東線 (ID24) </t>
    <phoneticPr fontId="2" type="noConversion"/>
  </si>
  <si>
    <t xml:space="preserve"> 二重線 (ID21) </t>
    <phoneticPr fontId="2" type="noConversion"/>
  </si>
  <si>
    <t xml:space="preserve"> 南新線 (ID29) </t>
    <phoneticPr fontId="2" type="noConversion"/>
  </si>
  <si>
    <t xml:space="preserve"> 東寮線 (ID25) </t>
    <phoneticPr fontId="2" type="noConversion"/>
  </si>
  <si>
    <t xml:space="preserve"> 巫厝線 (ID27) </t>
    <phoneticPr fontId="2" type="noConversion"/>
  </si>
  <si>
    <t xml:space="preserve"> 番婆線 (ID32) </t>
    <phoneticPr fontId="2" type="noConversion"/>
  </si>
  <si>
    <t xml:space="preserve"> 湖西線 (ID22) </t>
    <phoneticPr fontId="2" type="noConversion"/>
  </si>
  <si>
    <t xml:space="preserve"> 彰化DS_IK </t>
    <phoneticPr fontId="2" type="noConversion"/>
  </si>
  <si>
    <t xml:space="preserve"> IK30 (IK30) </t>
    <phoneticPr fontId="2" type="noConversion"/>
  </si>
  <si>
    <t xml:space="preserve"> IK31 (IK31) </t>
    <phoneticPr fontId="2" type="noConversion"/>
  </si>
  <si>
    <t xml:space="preserve"> IK32 (IK32) </t>
    <phoneticPr fontId="2" type="noConversion"/>
  </si>
  <si>
    <t xml:space="preserve"> IK33 (IK33) </t>
    <phoneticPr fontId="2" type="noConversion"/>
  </si>
  <si>
    <t xml:space="preserve"> IK34 (IK34) </t>
    <phoneticPr fontId="2" type="noConversion"/>
  </si>
  <si>
    <t xml:space="preserve"> IK35 (IK35) </t>
    <phoneticPr fontId="2" type="noConversion"/>
  </si>
  <si>
    <t xml:space="preserve"> IK49 (IK49) </t>
    <phoneticPr fontId="2" type="noConversion"/>
  </si>
  <si>
    <t xml:space="preserve"> IK48 (IK48) </t>
    <phoneticPr fontId="2" type="noConversion"/>
  </si>
  <si>
    <t xml:space="preserve"> IK47 (IK47) </t>
    <phoneticPr fontId="2" type="noConversion"/>
  </si>
  <si>
    <t xml:space="preserve"> IK46 (IK46) </t>
    <phoneticPr fontId="2" type="noConversion"/>
  </si>
  <si>
    <t xml:space="preserve"> IK36 (IK36) </t>
    <phoneticPr fontId="2" type="noConversion"/>
  </si>
  <si>
    <t xml:space="preserve"> IK37 (IK37) </t>
    <phoneticPr fontId="2" type="noConversion"/>
  </si>
  <si>
    <t xml:space="preserve"> IK38 (IK38) </t>
    <phoneticPr fontId="2" type="noConversion"/>
  </si>
  <si>
    <t xml:space="preserve"> IK39 (IK39) </t>
    <phoneticPr fontId="2" type="noConversion"/>
  </si>
  <si>
    <t xml:space="preserve"> IK45 (IK45) </t>
    <phoneticPr fontId="2" type="noConversion"/>
  </si>
  <si>
    <t xml:space="preserve"> IK44 (IK44) </t>
    <phoneticPr fontId="2" type="noConversion"/>
  </si>
  <si>
    <t xml:space="preserve"> IK43 (IK43) </t>
    <phoneticPr fontId="2" type="noConversion"/>
  </si>
  <si>
    <t xml:space="preserve"> IK42 (IK42) </t>
    <phoneticPr fontId="2" type="noConversion"/>
  </si>
  <si>
    <t xml:space="preserve"> IK41 (IK41) </t>
    <phoneticPr fontId="2" type="noConversion"/>
  </si>
  <si>
    <t xml:space="preserve"> IK40 (IK40) </t>
    <phoneticPr fontId="2" type="noConversion"/>
  </si>
  <si>
    <t xml:space="preserve"> 彰竹DS_9N </t>
    <phoneticPr fontId="2" type="noConversion"/>
  </si>
  <si>
    <t xml:space="preserve"> 9N20 (9N20) </t>
    <phoneticPr fontId="2" type="noConversion"/>
  </si>
  <si>
    <t xml:space="preserve"> 9N21 (9N21) </t>
    <phoneticPr fontId="2" type="noConversion"/>
  </si>
  <si>
    <t xml:space="preserve"> 9N22 (9N22) </t>
    <phoneticPr fontId="2" type="noConversion"/>
  </si>
  <si>
    <t xml:space="preserve"> 9N23 (9N23) </t>
    <phoneticPr fontId="2" type="noConversion"/>
  </si>
  <si>
    <t xml:space="preserve"> 9N24 (9N24) </t>
    <phoneticPr fontId="2" type="noConversion"/>
  </si>
  <si>
    <t xml:space="preserve"> 9N25 (9N25) </t>
    <phoneticPr fontId="2" type="noConversion"/>
  </si>
  <si>
    <t xml:space="preserve"> 9N26 (9N26) </t>
    <phoneticPr fontId="2" type="noConversion"/>
  </si>
  <si>
    <t xml:space="preserve"> 9N27 (9N27) </t>
    <phoneticPr fontId="2" type="noConversion"/>
  </si>
  <si>
    <t xml:space="preserve"> 9N28 (9N28) </t>
    <phoneticPr fontId="2" type="noConversion"/>
  </si>
  <si>
    <t xml:space="preserve"> 9N29 (9N29) </t>
    <phoneticPr fontId="2" type="noConversion"/>
  </si>
  <si>
    <t xml:space="preserve"> 彰西SS_IH </t>
    <phoneticPr fontId="2" type="noConversion"/>
  </si>
  <si>
    <t xml:space="preserve"> 西鎮線 (IH27) </t>
    <phoneticPr fontId="2" type="noConversion"/>
  </si>
  <si>
    <t xml:space="preserve"> 西美線 (IH21) </t>
    <phoneticPr fontId="2" type="noConversion"/>
  </si>
  <si>
    <t xml:space="preserve"> 西安線 (IH25) </t>
    <phoneticPr fontId="2" type="noConversion"/>
  </si>
  <si>
    <t xml:space="preserve"> 下湳線 (IH24) </t>
    <phoneticPr fontId="2" type="noConversion"/>
  </si>
  <si>
    <t xml:space="preserve"> 西溝線 (IH28) </t>
    <phoneticPr fontId="2" type="noConversion"/>
  </si>
  <si>
    <t xml:space="preserve"> 建和線 (IH33) </t>
    <phoneticPr fontId="2" type="noConversion"/>
  </si>
  <si>
    <t xml:space="preserve"> 中華線 (IH32) </t>
    <phoneticPr fontId="2" type="noConversion"/>
  </si>
  <si>
    <t xml:space="preserve"> 平和線 (IH34) </t>
    <phoneticPr fontId="2" type="noConversion"/>
  </si>
  <si>
    <t xml:space="preserve"> 林森線 (IH31) </t>
    <phoneticPr fontId="2" type="noConversion"/>
  </si>
  <si>
    <t xml:space="preserve"> 崙平線 (IH35) </t>
    <phoneticPr fontId="2" type="noConversion"/>
  </si>
  <si>
    <t xml:space="preserve"> 西南線 (IH29) </t>
    <phoneticPr fontId="2" type="noConversion"/>
  </si>
  <si>
    <t xml:space="preserve"> 頂湳線 (IH23) </t>
    <phoneticPr fontId="2" type="noConversion"/>
  </si>
  <si>
    <t xml:space="preserve"> 源埤線 (IH22) </t>
    <phoneticPr fontId="2" type="noConversion"/>
  </si>
  <si>
    <t xml:space="preserve"> 西華線 (IH26) </t>
    <phoneticPr fontId="2" type="noConversion"/>
  </si>
  <si>
    <t xml:space="preserve"> 後港線 (IH20) </t>
    <phoneticPr fontId="2" type="noConversion"/>
  </si>
  <si>
    <t xml:space="preserve"> 彰東SS_IQ </t>
    <phoneticPr fontId="2" type="noConversion"/>
  </si>
  <si>
    <t xml:space="preserve"> IQ21 (IQ21) </t>
    <phoneticPr fontId="2" type="noConversion"/>
  </si>
  <si>
    <t xml:space="preserve"> IQ22 (IQ22) </t>
    <phoneticPr fontId="2" type="noConversion"/>
  </si>
  <si>
    <t xml:space="preserve"> IQ23 (IQ23) </t>
    <phoneticPr fontId="2" type="noConversion"/>
  </si>
  <si>
    <t xml:space="preserve"> IQ24 (IQ24) </t>
    <phoneticPr fontId="2" type="noConversion"/>
  </si>
  <si>
    <t xml:space="preserve"> IQ25 (IQ25) </t>
    <phoneticPr fontId="2" type="noConversion"/>
  </si>
  <si>
    <t xml:space="preserve"> IQ26 (IQ26) </t>
    <phoneticPr fontId="2" type="noConversion"/>
  </si>
  <si>
    <t xml:space="preserve"> IQ29 (IQ29) </t>
    <phoneticPr fontId="2" type="noConversion"/>
  </si>
  <si>
    <t xml:space="preserve"> IQ30 (IQ30) </t>
    <phoneticPr fontId="2" type="noConversion"/>
  </si>
  <si>
    <t xml:space="preserve"> IQ27 (IQ27) </t>
    <phoneticPr fontId="2" type="noConversion"/>
  </si>
  <si>
    <t xml:space="preserve"> IQ28 (IQ28) </t>
    <phoneticPr fontId="2" type="noConversion"/>
  </si>
  <si>
    <t xml:space="preserve"> IQ31 (IQ31) </t>
    <phoneticPr fontId="2" type="noConversion"/>
  </si>
  <si>
    <t xml:space="preserve"> IQ32 (IQ32) </t>
    <phoneticPr fontId="2" type="noConversion"/>
  </si>
  <si>
    <t xml:space="preserve"> IQ33 (IQ33) </t>
    <phoneticPr fontId="2" type="noConversion"/>
  </si>
  <si>
    <t xml:space="preserve"> IQ34 (IQ34) </t>
    <phoneticPr fontId="2" type="noConversion"/>
  </si>
  <si>
    <t xml:space="preserve"> IQ35 (IQ35) </t>
    <phoneticPr fontId="2" type="noConversion"/>
  </si>
  <si>
    <t xml:space="preserve"> 彰林ES_9M </t>
    <phoneticPr fontId="2" type="noConversion"/>
  </si>
  <si>
    <t xml:space="preserve"> 9M20 (9M20) </t>
    <phoneticPr fontId="2" type="noConversion"/>
  </si>
  <si>
    <t xml:space="preserve"> 9M21 (9M21) </t>
    <phoneticPr fontId="2" type="noConversion"/>
  </si>
  <si>
    <t xml:space="preserve"> 9M22 (9M22) </t>
    <phoneticPr fontId="2" type="noConversion"/>
  </si>
  <si>
    <t xml:space="preserve"> 9M23 (9M23) </t>
    <phoneticPr fontId="2" type="noConversion"/>
  </si>
  <si>
    <t xml:space="preserve"> 9M24 (9M24) </t>
    <phoneticPr fontId="2" type="noConversion"/>
  </si>
  <si>
    <t xml:space="preserve"> 9M25 (9M25) </t>
    <phoneticPr fontId="2" type="noConversion"/>
  </si>
  <si>
    <t xml:space="preserve"> 9M26 (9M26) </t>
    <phoneticPr fontId="2" type="noConversion"/>
  </si>
  <si>
    <t xml:space="preserve"> 9M27 (9M27) </t>
    <phoneticPr fontId="2" type="noConversion"/>
  </si>
  <si>
    <t xml:space="preserve"> 9M28 (9M28) </t>
    <phoneticPr fontId="2" type="noConversion"/>
  </si>
  <si>
    <t xml:space="preserve"> 9M29 (9M29) </t>
    <phoneticPr fontId="2" type="noConversion"/>
  </si>
  <si>
    <t xml:space="preserve"> 9M30 (9M30) </t>
    <phoneticPr fontId="2" type="noConversion"/>
  </si>
  <si>
    <t xml:space="preserve"> 9M31 (9M31) </t>
    <phoneticPr fontId="2" type="noConversion"/>
  </si>
  <si>
    <t xml:space="preserve"> 9M32 (9M32) </t>
    <phoneticPr fontId="2" type="noConversion"/>
  </si>
  <si>
    <t xml:space="preserve"> 9M33 (9M33) </t>
    <phoneticPr fontId="2" type="noConversion"/>
  </si>
  <si>
    <t xml:space="preserve"> 9M34 (9M34) </t>
    <phoneticPr fontId="2" type="noConversion"/>
  </si>
  <si>
    <t xml:space="preserve"> 9M35 (9M35) </t>
    <phoneticPr fontId="2" type="noConversion"/>
  </si>
  <si>
    <t xml:space="preserve"> 9M36 (9M36) </t>
    <phoneticPr fontId="2" type="noConversion"/>
  </si>
  <si>
    <t xml:space="preserve"> 9M37 (9M37) </t>
    <phoneticPr fontId="2" type="noConversion"/>
  </si>
  <si>
    <t xml:space="preserve"> 9M38 (9M38) </t>
    <phoneticPr fontId="2" type="noConversion"/>
  </si>
  <si>
    <t xml:space="preserve"> 9M39 (9M39) </t>
    <phoneticPr fontId="2" type="noConversion"/>
  </si>
  <si>
    <t xml:space="preserve"> 彰南SS_II </t>
    <phoneticPr fontId="2" type="noConversion"/>
  </si>
  <si>
    <t xml:space="preserve"> 縣府線 (II22) </t>
    <phoneticPr fontId="2" type="noConversion"/>
  </si>
  <si>
    <t xml:space="preserve"> 西門線 (II25) </t>
    <phoneticPr fontId="2" type="noConversion"/>
  </si>
  <si>
    <t xml:space="preserve"> 新生線 (II20) </t>
    <phoneticPr fontId="2" type="noConversion"/>
  </si>
  <si>
    <t xml:space="preserve"> 南興線 (II26) </t>
    <phoneticPr fontId="2" type="noConversion"/>
  </si>
  <si>
    <t xml:space="preserve"> 南和線 (II27) </t>
    <phoneticPr fontId="2" type="noConversion"/>
  </si>
  <si>
    <t xml:space="preserve"> 南郭線 (II32) </t>
    <phoneticPr fontId="2" type="noConversion"/>
  </si>
  <si>
    <t xml:space="preserve"> 民族線 (II31) </t>
    <phoneticPr fontId="2" type="noConversion"/>
  </si>
  <si>
    <t xml:space="preserve"> 民權線 (II34) </t>
    <phoneticPr fontId="2" type="noConversion"/>
  </si>
  <si>
    <t xml:space="preserve"> 虎山線 (II30) </t>
    <phoneticPr fontId="2" type="noConversion"/>
  </si>
  <si>
    <t xml:space="preserve"> 大埔線 (II28) </t>
    <phoneticPr fontId="2" type="noConversion"/>
  </si>
  <si>
    <t xml:space="preserve"> 建寶線 (II24) </t>
    <phoneticPr fontId="2" type="noConversion"/>
  </si>
  <si>
    <t xml:space="preserve"> 天祥線 (II33) </t>
    <phoneticPr fontId="2" type="noConversion"/>
  </si>
  <si>
    <t xml:space="preserve"> 南瑤線 (II21) </t>
    <phoneticPr fontId="2" type="noConversion"/>
  </si>
  <si>
    <t xml:space="preserve"> 口庄線 (II29) </t>
    <phoneticPr fontId="2" type="noConversion"/>
  </si>
  <si>
    <t xml:space="preserve"> 田寮線 (II23) </t>
    <phoneticPr fontId="2" type="noConversion"/>
  </si>
  <si>
    <t xml:space="preserve"> 彰新DS_IA </t>
    <phoneticPr fontId="2" type="noConversion"/>
  </si>
  <si>
    <t xml:space="preserve"> 民生線 (IA28) </t>
    <phoneticPr fontId="2" type="noConversion"/>
  </si>
  <si>
    <t xml:space="preserve"> 北部線 (IA37) </t>
    <phoneticPr fontId="2" type="noConversion"/>
  </si>
  <si>
    <t xml:space="preserve"> 磚瑤線 (IA30) </t>
    <phoneticPr fontId="2" type="noConversion"/>
  </si>
  <si>
    <t xml:space="preserve"> 鐵山線 (IA32) </t>
    <phoneticPr fontId="2" type="noConversion"/>
  </si>
  <si>
    <t xml:space="preserve"> 彰茂線 (IA35) </t>
    <phoneticPr fontId="2" type="noConversion"/>
  </si>
  <si>
    <t xml:space="preserve"> 北安線 (IA39) </t>
    <phoneticPr fontId="2" type="noConversion"/>
  </si>
  <si>
    <t xml:space="preserve"> 阿夷線 (IA24) </t>
    <phoneticPr fontId="2" type="noConversion"/>
  </si>
  <si>
    <t xml:space="preserve"> 新庄線 (IA29) </t>
    <phoneticPr fontId="2" type="noConversion"/>
  </si>
  <si>
    <t xml:space="preserve"> 犁盛線 (IA33) </t>
    <phoneticPr fontId="2" type="noConversion"/>
  </si>
  <si>
    <t xml:space="preserve"> 成功線 (IA36) </t>
    <phoneticPr fontId="2" type="noConversion"/>
  </si>
  <si>
    <t xml:space="preserve"> 中山線 (IA23) </t>
    <phoneticPr fontId="2" type="noConversion"/>
  </si>
  <si>
    <t xml:space="preserve"> 泰和線 (IA26) </t>
    <phoneticPr fontId="2" type="noConversion"/>
  </si>
  <si>
    <t xml:space="preserve"> 辭修線 (IA27) </t>
    <phoneticPr fontId="2" type="noConversion"/>
  </si>
  <si>
    <t xml:space="preserve"> 車站線 (IA34) </t>
    <phoneticPr fontId="2" type="noConversion"/>
  </si>
  <si>
    <t xml:space="preserve"> 大成線 (IA22) </t>
    <phoneticPr fontId="2" type="noConversion"/>
  </si>
  <si>
    <t xml:space="preserve"> 北建線 (IA38) </t>
    <phoneticPr fontId="2" type="noConversion"/>
  </si>
  <si>
    <t xml:space="preserve"> 北新線 (IA31) </t>
    <phoneticPr fontId="2" type="noConversion"/>
  </si>
  <si>
    <t xml:space="preserve"> 北廠線 (IA21) </t>
    <phoneticPr fontId="2" type="noConversion"/>
  </si>
  <si>
    <t xml:space="preserve"> 北美線 (IA25) </t>
    <phoneticPr fontId="2" type="noConversion"/>
  </si>
  <si>
    <t xml:space="preserve"> 中圍線 (IA20) </t>
    <phoneticPr fontId="2" type="noConversion"/>
  </si>
  <si>
    <t xml:space="preserve"> 國聖線 (IA40) </t>
    <phoneticPr fontId="2" type="noConversion"/>
  </si>
  <si>
    <t xml:space="preserve"> 忠孝線 (IA41) </t>
    <phoneticPr fontId="2" type="noConversion"/>
  </si>
  <si>
    <t xml:space="preserve"> 建國線 (IA42) </t>
    <phoneticPr fontId="2" type="noConversion"/>
  </si>
  <si>
    <t xml:space="preserve"> 公園線 (IA43) </t>
    <phoneticPr fontId="2" type="noConversion"/>
  </si>
  <si>
    <t xml:space="preserve"> 東頭線 (IA44) </t>
    <phoneticPr fontId="2" type="noConversion"/>
  </si>
  <si>
    <t xml:space="preserve"> 牛稠線 (IA45) </t>
    <phoneticPr fontId="2" type="noConversion"/>
  </si>
  <si>
    <t xml:space="preserve"> 茄苳線 (IA46) </t>
    <phoneticPr fontId="2" type="noConversion"/>
  </si>
  <si>
    <t xml:space="preserve"> 卦山線 (IA47) </t>
    <phoneticPr fontId="2" type="noConversion"/>
  </si>
  <si>
    <t xml:space="preserve"> 保警線 (IA48) </t>
    <phoneticPr fontId="2" type="noConversion"/>
  </si>
  <si>
    <t xml:space="preserve"> 西勢線 (IA49) </t>
    <phoneticPr fontId="2" type="noConversion"/>
  </si>
  <si>
    <t xml:space="preserve"> 彰濱ES_9A </t>
    <phoneticPr fontId="2" type="noConversion"/>
  </si>
  <si>
    <t xml:space="preserve"> 9A70 (9A70) </t>
    <phoneticPr fontId="2" type="noConversion"/>
  </si>
  <si>
    <t xml:space="preserve"> 9A71 (9A71) </t>
    <phoneticPr fontId="2" type="noConversion"/>
  </si>
  <si>
    <t xml:space="preserve"> 9A72 (9A72) </t>
    <phoneticPr fontId="2" type="noConversion"/>
  </si>
  <si>
    <t xml:space="preserve"> 9A73 (9A73) </t>
    <phoneticPr fontId="2" type="noConversion"/>
  </si>
  <si>
    <t xml:space="preserve"> 9A74 (9A74) </t>
    <phoneticPr fontId="2" type="noConversion"/>
  </si>
  <si>
    <t xml:space="preserve"> 9A75 (9A75) </t>
    <phoneticPr fontId="2" type="noConversion"/>
  </si>
  <si>
    <t xml:space="preserve"> 9A76 (9A76) </t>
    <phoneticPr fontId="2" type="noConversion"/>
  </si>
  <si>
    <t xml:space="preserve"> 9A77 (9A77) </t>
    <phoneticPr fontId="2" type="noConversion"/>
  </si>
  <si>
    <t xml:space="preserve"> 9A61 (9A61) </t>
    <phoneticPr fontId="2" type="noConversion"/>
  </si>
  <si>
    <t xml:space="preserve"> 9A62 (9A62) </t>
    <phoneticPr fontId="2" type="noConversion"/>
  </si>
  <si>
    <t xml:space="preserve"> 9A63 (9A63) </t>
    <phoneticPr fontId="2" type="noConversion"/>
  </si>
  <si>
    <t xml:space="preserve"> 9A64 (9A64) </t>
    <phoneticPr fontId="2" type="noConversion"/>
  </si>
  <si>
    <t xml:space="preserve"> 9A65 (9A65) </t>
    <phoneticPr fontId="2" type="noConversion"/>
  </si>
  <si>
    <t xml:space="preserve"> 9A66 (9A66) </t>
    <phoneticPr fontId="2" type="noConversion"/>
  </si>
  <si>
    <t xml:space="preserve"> #4DTR(A) </t>
    <phoneticPr fontId="2" type="noConversion"/>
  </si>
  <si>
    <t xml:space="preserve"> 9A51 (9A51) </t>
    <phoneticPr fontId="2" type="noConversion"/>
  </si>
  <si>
    <t xml:space="preserve"> 9A52 (9A52) </t>
    <phoneticPr fontId="2" type="noConversion"/>
  </si>
  <si>
    <t xml:space="preserve"> 9A53 (9A53) </t>
    <phoneticPr fontId="2" type="noConversion"/>
  </si>
  <si>
    <t xml:space="preserve"> 9A54 (9A54) </t>
    <phoneticPr fontId="2" type="noConversion"/>
  </si>
  <si>
    <t xml:space="preserve"> 9A55 (9A55) </t>
    <phoneticPr fontId="2" type="noConversion"/>
  </si>
  <si>
    <t xml:space="preserve"> 9A56 (9A56) </t>
    <phoneticPr fontId="2" type="noConversion"/>
  </si>
  <si>
    <t xml:space="preserve"> #4DTR(B) </t>
    <phoneticPr fontId="2" type="noConversion"/>
  </si>
  <si>
    <t xml:space="preserve"> 9AE0 (9AE0) </t>
    <phoneticPr fontId="2" type="noConversion"/>
  </si>
  <si>
    <t xml:space="preserve"> 9A68 (9A68) </t>
    <phoneticPr fontId="2" type="noConversion"/>
  </si>
  <si>
    <t xml:space="preserve"> 9A67 (9A67) </t>
    <phoneticPr fontId="2" type="noConversion"/>
  </si>
  <si>
    <t xml:space="preserve"> 9A59 (9A59) </t>
    <phoneticPr fontId="2" type="noConversion"/>
  </si>
  <si>
    <t xml:space="preserve"> 9A58 (9A58) </t>
    <phoneticPr fontId="2" type="noConversion"/>
  </si>
  <si>
    <t xml:space="preserve"> 9A57 (9A57) </t>
    <phoneticPr fontId="2" type="noConversion"/>
  </si>
  <si>
    <t xml:space="preserve"> 漢寶DS_9G </t>
    <phoneticPr fontId="2" type="noConversion"/>
  </si>
  <si>
    <t xml:space="preserve"> 星寶 (9GE0) </t>
    <phoneticPr fontId="2" type="noConversion"/>
  </si>
  <si>
    <t xml:space="preserve"> 北苑 (9GE1) </t>
    <phoneticPr fontId="2" type="noConversion"/>
  </si>
  <si>
    <t xml:space="preserve"> 9GE2 (9GE2) </t>
    <phoneticPr fontId="2" type="noConversion"/>
  </si>
  <si>
    <t xml:space="preserve"> 9GE3 (9GE3) </t>
    <phoneticPr fontId="2" type="noConversion"/>
  </si>
  <si>
    <t xml:space="preserve"> 彰苑 (9GE4) </t>
    <phoneticPr fontId="2" type="noConversion"/>
  </si>
  <si>
    <t xml:space="preserve"> 彰旺 (9GE5) </t>
    <phoneticPr fontId="2" type="noConversion"/>
  </si>
  <si>
    <t xml:space="preserve"> 9GE6 (9GE6) </t>
    <phoneticPr fontId="2" type="noConversion"/>
  </si>
  <si>
    <t xml:space="preserve"> 9GE7 (9GE7) </t>
    <phoneticPr fontId="2" type="noConversion"/>
  </si>
  <si>
    <t xml:space="preserve"> 9G20 (9G20) </t>
    <phoneticPr fontId="2" type="noConversion"/>
  </si>
  <si>
    <t xml:space="preserve"> 9G21 (9G21) </t>
    <phoneticPr fontId="2" type="noConversion"/>
  </si>
  <si>
    <t xml:space="preserve"> 9G22 (9G22) </t>
    <phoneticPr fontId="2" type="noConversion"/>
  </si>
  <si>
    <t xml:space="preserve"> 9G23 (9G23) </t>
    <phoneticPr fontId="2" type="noConversion"/>
  </si>
  <si>
    <t xml:space="preserve"> 9G24 (9G24) </t>
    <phoneticPr fontId="2" type="noConversion"/>
  </si>
  <si>
    <t xml:space="preserve"> 9G25 (9G25) </t>
    <phoneticPr fontId="2" type="noConversion"/>
  </si>
  <si>
    <t xml:space="preserve"> 9G26 (9G26) </t>
    <phoneticPr fontId="2" type="noConversion"/>
  </si>
  <si>
    <t xml:space="preserve"> 9G27 (9G27) </t>
    <phoneticPr fontId="2" type="noConversion"/>
  </si>
  <si>
    <t xml:space="preserve"> 9G28 (9G28) </t>
    <phoneticPr fontId="2" type="noConversion"/>
  </si>
  <si>
    <t xml:space="preserve"> 9G29 (9G29) </t>
    <phoneticPr fontId="2" type="noConversion"/>
  </si>
  <si>
    <t xml:space="preserve"> 立風1 (9GE8) </t>
    <phoneticPr fontId="2" type="noConversion"/>
  </si>
  <si>
    <t xml:space="preserve"> 9G30 (9G30) </t>
    <phoneticPr fontId="2" type="noConversion"/>
  </si>
  <si>
    <t xml:space="preserve"> 9G31 (9G31) </t>
    <phoneticPr fontId="2" type="noConversion"/>
  </si>
  <si>
    <t xml:space="preserve"> 9G32 (9G32) </t>
    <phoneticPr fontId="2" type="noConversion"/>
  </si>
  <si>
    <t xml:space="preserve"> 9G33 (9G33) </t>
    <phoneticPr fontId="2" type="noConversion"/>
  </si>
  <si>
    <t xml:space="preserve"> 9G34 (9G34) </t>
    <phoneticPr fontId="2" type="noConversion"/>
  </si>
  <si>
    <t xml:space="preserve"> 9G35 (9G35) </t>
    <phoneticPr fontId="2" type="noConversion"/>
  </si>
  <si>
    <t xml:space="preserve"> 9G36 (9G36) </t>
    <phoneticPr fontId="2" type="noConversion"/>
  </si>
  <si>
    <t xml:space="preserve"> 9G37 (9G37) </t>
    <phoneticPr fontId="2" type="noConversion"/>
  </si>
  <si>
    <t xml:space="preserve"> 9G38 (9G38) </t>
    <phoneticPr fontId="2" type="noConversion"/>
  </si>
  <si>
    <t xml:space="preserve"> 9G39 (9G39) </t>
    <phoneticPr fontId="2" type="noConversion"/>
  </si>
  <si>
    <t xml:space="preserve"> 立風2 (9GE9) </t>
    <phoneticPr fontId="2" type="noConversion"/>
  </si>
  <si>
    <t xml:space="preserve"> 福工SS_IP </t>
    <phoneticPr fontId="2" type="noConversion"/>
  </si>
  <si>
    <t xml:space="preserve"> 金崙線 (IP29) </t>
    <phoneticPr fontId="2" type="noConversion"/>
  </si>
  <si>
    <t xml:space="preserve"> 福工線 (IP24) </t>
    <phoneticPr fontId="2" type="noConversion"/>
  </si>
  <si>
    <t xml:space="preserve"> 廓仔線 (IP22) </t>
    <phoneticPr fontId="2" type="noConversion"/>
  </si>
  <si>
    <t xml:space="preserve"> 金興線 (IP21) </t>
    <phoneticPr fontId="2" type="noConversion"/>
  </si>
  <si>
    <t xml:space="preserve"> 番社線 (IP20) </t>
    <phoneticPr fontId="2" type="noConversion"/>
  </si>
  <si>
    <t xml:space="preserve"> 福東線 (IP31) </t>
    <phoneticPr fontId="2" type="noConversion"/>
  </si>
  <si>
    <t xml:space="preserve"> 福南線 (IP30) </t>
    <phoneticPr fontId="2" type="noConversion"/>
  </si>
  <si>
    <t xml:space="preserve"> 三汴線 (IP25) </t>
    <phoneticPr fontId="2" type="noConversion"/>
  </si>
  <si>
    <t xml:space="preserve"> 外埔線 (IP27) </t>
    <phoneticPr fontId="2" type="noConversion"/>
  </si>
  <si>
    <t xml:space="preserve"> 南港線 (IP28) </t>
    <phoneticPr fontId="2" type="noConversion"/>
  </si>
  <si>
    <t xml:space="preserve"> 埔崙線 (IP23) </t>
    <phoneticPr fontId="2" type="noConversion"/>
  </si>
  <si>
    <t xml:space="preserve"> 福北線 (IP26) </t>
    <phoneticPr fontId="2" type="noConversion"/>
  </si>
  <si>
    <t xml:space="preserve"> 福村線 (IP32) </t>
    <phoneticPr fontId="2" type="noConversion"/>
  </si>
  <si>
    <t xml:space="preserve"> 福旗線 (IP33) </t>
    <phoneticPr fontId="2" type="noConversion"/>
  </si>
  <si>
    <t xml:space="preserve"> 福溪線 (IP34) </t>
    <phoneticPr fontId="2" type="noConversion"/>
  </si>
  <si>
    <t xml:space="preserve"> 福興DS_9I </t>
    <phoneticPr fontId="2" type="noConversion"/>
  </si>
  <si>
    <t xml:space="preserve"> 9I20 (9I20) </t>
    <phoneticPr fontId="2" type="noConversion"/>
  </si>
  <si>
    <t xml:space="preserve"> 9I21 (9I21) </t>
    <phoneticPr fontId="2" type="noConversion"/>
  </si>
  <si>
    <t xml:space="preserve"> 9I22 (9I22) </t>
    <phoneticPr fontId="2" type="noConversion"/>
  </si>
  <si>
    <t xml:space="preserve"> 9I23 (9I23) </t>
    <phoneticPr fontId="2" type="noConversion"/>
  </si>
  <si>
    <t xml:space="preserve"> 9I24 (9I24) </t>
    <phoneticPr fontId="2" type="noConversion"/>
  </si>
  <si>
    <t xml:space="preserve"> 9I25 (9I25) </t>
    <phoneticPr fontId="2" type="noConversion"/>
  </si>
  <si>
    <t xml:space="preserve"> 9I39 (9I39) </t>
    <phoneticPr fontId="2" type="noConversion"/>
  </si>
  <si>
    <t xml:space="preserve"> 9I38 (9I38) </t>
    <phoneticPr fontId="2" type="noConversion"/>
  </si>
  <si>
    <t xml:space="preserve"> 9I37 (9I37) </t>
    <phoneticPr fontId="2" type="noConversion"/>
  </si>
  <si>
    <t xml:space="preserve"> 9I36 (9I36) </t>
    <phoneticPr fontId="2" type="noConversion"/>
  </si>
  <si>
    <t xml:space="preserve"> 9I26 (9I26) </t>
    <phoneticPr fontId="2" type="noConversion"/>
  </si>
  <si>
    <t xml:space="preserve"> 9I27 (9I27) </t>
    <phoneticPr fontId="2" type="noConversion"/>
  </si>
  <si>
    <t xml:space="preserve"> 9I28 (9I28) </t>
    <phoneticPr fontId="2" type="noConversion"/>
  </si>
  <si>
    <t xml:space="preserve"> 9I29 (9I29) </t>
    <phoneticPr fontId="2" type="noConversion"/>
  </si>
  <si>
    <t xml:space="preserve"> 9I35 (9I35) </t>
    <phoneticPr fontId="2" type="noConversion"/>
  </si>
  <si>
    <t xml:space="preserve"> 9I34 (9I34) </t>
    <phoneticPr fontId="2" type="noConversion"/>
  </si>
  <si>
    <t xml:space="preserve"> 9I33 (9I33) </t>
    <phoneticPr fontId="2" type="noConversion"/>
  </si>
  <si>
    <t xml:space="preserve"> 9I32 (9I32) </t>
    <phoneticPr fontId="2" type="noConversion"/>
  </si>
  <si>
    <t xml:space="preserve"> 9I31 (9I31) </t>
    <phoneticPr fontId="2" type="noConversion"/>
  </si>
  <si>
    <t xml:space="preserve"> 9I30 (9I30) </t>
    <phoneticPr fontId="2" type="noConversion"/>
  </si>
  <si>
    <t xml:space="preserve"> 線西DS_9B </t>
    <phoneticPr fontId="2" type="noConversion"/>
  </si>
  <si>
    <t xml:space="preserve"> 9B51 (9B51) </t>
    <phoneticPr fontId="2" type="noConversion"/>
  </si>
  <si>
    <t xml:space="preserve"> 9B52 (9B52) </t>
    <phoneticPr fontId="2" type="noConversion"/>
  </si>
  <si>
    <t xml:space="preserve"> 9B53 (9B53) </t>
    <phoneticPr fontId="2" type="noConversion"/>
  </si>
  <si>
    <t xml:space="preserve"> 9B54 (9B54) </t>
    <phoneticPr fontId="2" type="noConversion"/>
  </si>
  <si>
    <t xml:space="preserve"> 9B55 (9B55) </t>
    <phoneticPr fontId="2" type="noConversion"/>
  </si>
  <si>
    <t xml:space="preserve"> 9B56 (9B56) </t>
    <phoneticPr fontId="2" type="noConversion"/>
  </si>
  <si>
    <t xml:space="preserve"> 9B57 (9B57) </t>
    <phoneticPr fontId="2" type="noConversion"/>
  </si>
  <si>
    <t xml:space="preserve"> 9B58 (9B58) </t>
    <phoneticPr fontId="2" type="noConversion"/>
  </si>
  <si>
    <t xml:space="preserve"> 9B61 (9B61) </t>
    <phoneticPr fontId="2" type="noConversion"/>
  </si>
  <si>
    <t xml:space="preserve"> 9B62 (9B62) </t>
    <phoneticPr fontId="2" type="noConversion"/>
  </si>
  <si>
    <t xml:space="preserve"> 9B63 (9B63) </t>
    <phoneticPr fontId="2" type="noConversion"/>
  </si>
  <si>
    <t xml:space="preserve"> 9B64 (9B64) </t>
    <phoneticPr fontId="2" type="noConversion"/>
  </si>
  <si>
    <t xml:space="preserve"> 9B65 (9B65) </t>
    <phoneticPr fontId="2" type="noConversion"/>
  </si>
  <si>
    <t xml:space="preserve"> 9B66 (9B66) </t>
    <phoneticPr fontId="2" type="noConversion"/>
  </si>
  <si>
    <t xml:space="preserve"> 9B67 (9B67) </t>
    <phoneticPr fontId="2" type="noConversion"/>
  </si>
  <si>
    <t xml:space="preserve"> 9B68 (9B68)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</si>
</sst>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9" x14ac:knownFonts="1">
    <font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sz val="12"/>
      <color theme="1"/>
      <name val="Calibri"/>
      <family val="2"/>
    </font>
    <font>
      <b/>
      <sz val="14"/>
      <color theme="1"/>
      <name val="標楷體"/>
      <family val="4"/>
      <charset val="136"/>
    </font>
    <font>
      <b/>
      <sz val="14"/>
      <color theme="1"/>
      <name val="Times New Roman"/>
      <family val="1"/>
    </font>
    <font>
      <b/>
      <sz val="12"/>
      <color theme="1"/>
      <name val="標楷體"/>
      <family val="4"/>
      <charset val="136"/>
    </font>
    <font>
      <b/>
      <sz val="12"/>
      <color theme="1"/>
      <name val="Times New Roman"/>
      <family val="1"/>
    </font>
    <font>
      <sz val="14"/>
      <color theme="1"/>
      <name val="標楷體"/>
      <family val="4"/>
      <charset val="136"/>
    </font>
    <font>
      <u/>
      <sz val="12"/>
      <color theme="10"/>
      <name val="標楷體"/>
      <family val="4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sz val="16"/>
      <color theme="1"/>
      <name val="標楷體"/>
      <family val="4"/>
      <charset val="136"/>
    </font>
    <font>
      <b/>
      <sz val="14"/>
      <color theme="1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b/>
      <sz val="12"/>
      <color rgb="FF3D3D3D"/>
      <name val="新細明體"/>
      <family val="1"/>
      <charset val="136"/>
      <scheme val="minor"/>
    </font>
    <font>
      <b/>
      <sz val="18"/>
      <color rgb="FF0070C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0" borderId="1" xfId="0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 wrapText="1"/>
    </xf>
    <xf numFmtId="0" fontId="0" fillId="0" borderId="0" xfId="0" applyBorder="1">
      <alignment vertical="center"/>
    </xf>
    <xf numFmtId="0" fontId="4" fillId="0" borderId="0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2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3" fillId="0" borderId="1" xfId="1" applyBorder="1" applyAlignment="1">
      <alignment horizontal="left" vertical="center" wrapText="1"/>
    </xf>
    <xf numFmtId="0" fontId="3" fillId="0" borderId="1" xfId="1" applyBorder="1">
      <alignment vertical="center"/>
    </xf>
    <xf numFmtId="14" fontId="8" fillId="0" borderId="1" xfId="0" applyNumberFormat="1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" fillId="0" borderId="1" xfId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3" fillId="0" borderId="0" xfId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5" xfId="0" applyFill="1" applyBorder="1">
      <alignment vertical="center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56" fontId="0" fillId="0" borderId="0" xfId="0" applyNumberFormat="1">
      <alignment vertical="center"/>
    </xf>
    <xf numFmtId="0" fontId="0" fillId="0" borderId="0" xfId="0" quotePrefix="1">
      <alignment vertical="center"/>
    </xf>
    <xf numFmtId="14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5" fillId="0" borderId="0" xfId="0" applyFont="1" applyAlignment="1">
      <alignment horizontal="left" vertical="top" wrapText="1"/>
    </xf>
    <xf numFmtId="14" fontId="0" fillId="2" borderId="0" xfId="0" applyNumberFormat="1" applyFill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3" borderId="0" xfId="0" applyFill="1" applyProtection="1">
      <alignment vertical="center"/>
      <protection locked="0"/>
    </xf>
    <xf numFmtId="176" fontId="0" fillId="3" borderId="0" xfId="0" applyNumberFormat="1" applyFill="1" applyProtection="1">
      <alignment vertical="center"/>
      <protection locked="0"/>
    </xf>
    <xf numFmtId="0" fontId="0" fillId="3" borderId="0" xfId="0" applyFill="1">
      <alignment vertical="center"/>
    </xf>
    <xf numFmtId="0" fontId="10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8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6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3" fillId="0" borderId="0" xfId="1" applyAlignment="1">
      <alignment horizontal="center" vertical="top" wrapText="1"/>
    </xf>
    <xf numFmtId="0" fontId="15" fillId="0" borderId="0" xfId="0" applyFont="1" applyAlignment="1">
      <alignment horizontal="center" vertical="top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0</xdr:row>
          <xdr:rowOff>171450</xdr:rowOff>
        </xdr:from>
        <xdr:to>
          <xdr:col>9</xdr:col>
          <xdr:colOff>419100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1381125</xdr:colOff>
          <xdr:row>12</xdr:row>
          <xdr:rowOff>228600</xdr:rowOff>
        </xdr:from>
        <xdr:to>
          <xdr:col>4</xdr:col>
          <xdr:colOff>2438400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2743200</xdr:colOff>
          <xdr:row>7</xdr:row>
          <xdr:rowOff>1162050</xdr:rowOff>
        </xdr:from>
        <xdr:to>
          <xdr:col>4</xdr:col>
          <xdr:colOff>3533775</xdr:colOff>
          <xdr:row>7</xdr:row>
          <xdr:rowOff>1543050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2828925</xdr:colOff>
          <xdr:row>3</xdr:row>
          <xdr:rowOff>95250</xdr:rowOff>
        </xdr:from>
        <xdr:to>
          <xdr:col>4</xdr:col>
          <xdr:colOff>3867150</xdr:colOff>
          <xdr:row>5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超連結修正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3409950</xdr:colOff>
          <xdr:row>17</xdr:row>
          <xdr:rowOff>38100</xdr:rowOff>
        </xdr:from>
        <xdr:to>
          <xdr:col>4</xdr:col>
          <xdr:colOff>3914775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4067175</xdr:colOff>
          <xdr:row>13</xdr:row>
          <xdr:rowOff>247650</xdr:rowOff>
        </xdr:from>
        <xdr:to>
          <xdr:col>5</xdr:col>
          <xdr:colOff>57150</xdr:colOff>
          <xdr:row>15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3409950</xdr:colOff>
          <xdr:row>18</xdr:row>
          <xdr:rowOff>38100</xdr:rowOff>
        </xdr:from>
        <xdr:to>
          <xdr:col>4</xdr:col>
          <xdr:colOff>3914775</xdr:colOff>
          <xdr:row>19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3429000</xdr:colOff>
          <xdr:row>19</xdr:row>
          <xdr:rowOff>38100</xdr:rowOff>
        </xdr:from>
        <xdr:to>
          <xdr:col>4</xdr:col>
          <xdr:colOff>3933825</xdr:colOff>
          <xdr:row>20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FTP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213360</xdr:colOff>
      <xdr:row>0</xdr:row>
      <xdr:rowOff>45720</xdr:rowOff>
    </xdr:from>
    <xdr:to>
      <xdr:col>14</xdr:col>
      <xdr:colOff>45720</xdr:colOff>
      <xdr:row>2</xdr:row>
      <xdr:rowOff>137160</xdr:rowOff>
    </xdr:to>
    <xdr:sp macro="" textlink="">
      <xdr:nvSpPr>
        <xdr:cNvPr id="2" name="流程圖: 程序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63900" y="45720"/>
          <a:ext cx="2270760" cy="59436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rgbClr val="7030A0"/>
              </a:solidFill>
            </a:rPr>
            <a:t>目前僅能連續</a:t>
          </a:r>
          <a:r>
            <a:rPr lang="en-US" altLang="zh-TW" sz="1100">
              <a:solidFill>
                <a:srgbClr val="7030A0"/>
              </a:solidFill>
            </a:rPr>
            <a:t>2</a:t>
          </a:r>
          <a:r>
            <a:rPr lang="zh-TW" altLang="en-US" sz="1100">
              <a:solidFill>
                <a:srgbClr val="7030A0"/>
              </a:solidFill>
            </a:rPr>
            <a:t>天，超過</a:t>
          </a:r>
          <a:r>
            <a:rPr lang="en-US" altLang="zh-TW" sz="1100">
              <a:solidFill>
                <a:srgbClr val="7030A0"/>
              </a:solidFill>
            </a:rPr>
            <a:t>2</a:t>
          </a:r>
          <a:r>
            <a:rPr lang="zh-TW" altLang="en-US" sz="1100">
              <a:solidFill>
                <a:srgbClr val="7030A0"/>
              </a:solidFill>
            </a:rPr>
            <a:t>天，分開查詢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126</xdr:row>
      <xdr:rowOff>0</xdr:rowOff>
    </xdr:from>
    <xdr:to>
      <xdr:col>15</xdr:col>
      <xdr:colOff>297180</xdr:colOff>
      <xdr:row>151</xdr:row>
      <xdr:rowOff>160020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717500"/>
          <a:ext cx="9441180" cy="5303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tp://10.210.35.206/UPLOAD/&#34389;&#38263;&#23460;/&#38651;&#21209;&#30563;&#23566;/110&#24180;&#25505;&#36092;&#26696;&#23526;&#38555;&#24037;&#20316;&#36914;&#24230;&#34920;(&#19978;&#20659;&#21312;)" TargetMode="External"/><Relationship Id="rId18" Type="http://schemas.openxmlformats.org/officeDocument/2006/relationships/hyperlink" Target="file:///E:\01-&#32218;&#36335;&#20027;&#36774;\20v-&#24037;&#23433;&#30456;&#38364;\02-&#33287;&#25215;&#25900;&#21830;&#27298;&#35342;&#24037;&#23433;&#38450;&#28797;&#24231;&#35527;&#26371;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file:///E:\01-&#32218;&#36335;&#20027;&#36774;\02v-&#21508;&#26376;&#12289;&#23395;&#12289;&#24180;&#22577;&#34920;\&#26376;&#22577;&#34920;\01-2v&#22823;&#38917;&#24037;&#31243;&#21450;M52&#38928;&#31639;&#36914;&#24230;&#34920;" TargetMode="External"/><Relationship Id="rId21" Type="http://schemas.openxmlformats.org/officeDocument/2006/relationships/hyperlink" Target="file:///E:\01-&#32218;&#36335;&#20027;&#36774;\06v-&#30002;&#24335;&#24037;&#20316;&#21934;&#21450;&#35373;&#35336;&#26041;&#26696;&#32232;&#21015;&#20107;&#23452;\02&#32173;&#35703;&#35373;&#35336;&#26041;&#26696;-9&#26376;(&#21021;&#32232;&#24180;&#21021;&#36774;)" TargetMode="External"/><Relationship Id="rId34" Type="http://schemas.openxmlformats.org/officeDocument/2006/relationships/ctrlProp" Target="../ctrlProps/ctrlProp6.xml"/><Relationship Id="rId7" Type="http://schemas.openxmlformats.org/officeDocument/2006/relationships/hyperlink" Target="file:///E:\01-&#32218;&#36335;&#20027;&#36774;\02v-&#21508;&#26376;&#12289;&#23395;&#12289;&#24180;&#22577;&#34920;\&#26376;&#22577;&#34920;\07v%20&#19979;&#24180;&#24230;&#25505;&#36092;&#26696;&#36914;&#24230;&#34920;(&#38651;&#30563;&#27599;&#26376;&#26371;&#35201;&#36914;&#24230;)" TargetMode="External"/><Relationship Id="rId12" Type="http://schemas.openxmlformats.org/officeDocument/2006/relationships/hyperlink" Target="file:///E:\01-&#32218;&#36335;&#20027;&#36774;\28v-&#24037;&#21697;&#23567;&#32068;" TargetMode="External"/><Relationship Id="rId17" Type="http://schemas.openxmlformats.org/officeDocument/2006/relationships/hyperlink" Target="02v-&#21508;&#26376;&#12289;&#23395;&#12289;&#24180;&#22577;&#34920;\&#26376;&#22577;&#34920;\07v%20&#19979;&#24180;&#24230;&#25505;&#36092;&#26696;&#36914;&#24230;&#34920;(&#38651;&#30563;&#27599;&#26376;&#26371;&#35201;&#36914;&#24230;)" TargetMode="External"/><Relationship Id="rId25" Type="http://schemas.openxmlformats.org/officeDocument/2006/relationships/hyperlink" Target="file:///E:\01-&#32218;&#36335;&#20027;&#36774;\28v-&#24037;&#21697;&#23567;&#32068;" TargetMode="External"/><Relationship Id="rId33" Type="http://schemas.openxmlformats.org/officeDocument/2006/relationships/ctrlProp" Target="../ctrlProps/ctrlProp5.xml"/><Relationship Id="rId2" Type="http://schemas.openxmlformats.org/officeDocument/2006/relationships/hyperlink" Target="file:///E:\01-&#32218;&#36335;&#20027;&#36774;\02v-&#21508;&#26376;&#12289;&#23395;&#12289;&#24180;&#22577;&#34920;\&#26376;&#22577;&#34920;\01-3v&#24180;&#24230;&#32173;&#35703;&#24615;&#24037;&#20316;&#23653;&#32004;&#36914;&#24230;&#31649;&#25511;&#34920;(5&#26085;&#21069;&#19978;&#20659;&#37197;&#38651;&#34389;)" TargetMode="External"/><Relationship Id="rId16" Type="http://schemas.openxmlformats.org/officeDocument/2006/relationships/hyperlink" Target="file:///E:\01-&#32218;&#36335;&#20027;&#36774;\02v-&#21508;&#26376;&#12289;&#23395;&#12289;&#24180;&#22577;&#34920;\&#24180;&#22577;&#34920;\07-&#19981;&#35336;&#32318;&#25928;&#38750;&#21487;&#25511;&#36027;&#29992;&#23526;&#32318;&#22635;&#22577;" TargetMode="External"/><Relationship Id="rId20" Type="http://schemas.openxmlformats.org/officeDocument/2006/relationships/hyperlink" Target="http://10.26.0.149/d07704/newpage/" TargetMode="External"/><Relationship Id="rId29" Type="http://schemas.openxmlformats.org/officeDocument/2006/relationships/ctrlProp" Target="../ctrlProps/ctrlProp1.xml"/><Relationship Id="rId1" Type="http://schemas.openxmlformats.org/officeDocument/2006/relationships/hyperlink" Target="file:///E:\01-&#32218;&#36335;&#20027;&#36774;\02v-&#21508;&#26376;&#12289;&#23395;&#12289;&#24180;&#22577;&#34920;\&#36913;&#22577;\2020-04-01%20&#37197;&#38651;&#34389;&#28858;&#24375;&#21270;&#25215;&#25900;&#21830;&#20551;&#26085;&#26045;&#24037;&#31649;&#29702;&#65292;&#35531;&#26412;&#34389;&#27599;&#36913;&#30436;&#40670;&#21508;&#37096;&#38272;&#25215;&#25900;&#21830;&#20551;&#26085;&#26045;&#24037;&#24773;&#27841;&#65292;&#35531;&#26597;&#29031;" TargetMode="External"/><Relationship Id="rId6" Type="http://schemas.openxmlformats.org/officeDocument/2006/relationships/hyperlink" Target="file:///\\10.210.35.209\FS\&#32173;&#35703;&#32068;\&#32218;&#36335;&#35506;\(18)&#32173;&#21531;\0-&#32005;&#22806;&#32218;110&#24180;&#32218;&#36335;&#35506;&#24409;&#25972;(&#27599;&#26376;&#26356;&#26032;)&#22577;&#34920;" TargetMode="External"/><Relationship Id="rId11" Type="http://schemas.openxmlformats.org/officeDocument/2006/relationships/hyperlink" Target="file:///E:\01-&#32218;&#36335;&#20027;&#36774;\02v-&#21508;&#26376;&#12289;&#23395;&#12289;&#24180;&#22577;&#34920;\&#26376;&#22577;&#34920;\08%20-%20&#21508;&#38917;&#24037;&#31243;&#12289;&#36001;&#29289;&#21450;&#21214;&#21209;&#25505;&#36092;&#23526;&#38555;&#24037;&#20316;&#36914;&#24230;&#34920;-&#26989;&#21209;&#30563;&#23566;" TargetMode="External"/><Relationship Id="rId24" Type="http://schemas.openxmlformats.org/officeDocument/2006/relationships/hyperlink" Target="file:///E:\01-&#32218;&#36335;&#20027;&#36774;\28v-&#24037;&#21697;&#23567;&#32068;" TargetMode="External"/><Relationship Id="rId32" Type="http://schemas.openxmlformats.org/officeDocument/2006/relationships/ctrlProp" Target="../ctrlProps/ctrlProp4.xml"/><Relationship Id="rId5" Type="http://schemas.openxmlformats.org/officeDocument/2006/relationships/hyperlink" Target="file:///E:\01-&#32218;&#36335;&#20027;&#36774;\02v-&#21508;&#26376;&#12289;&#23395;&#12289;&#24180;&#22577;&#34920;\&#26376;&#22577;&#34920;\03v.&#32005;&#22806;&#32218;&#37327;&#28204;" TargetMode="External"/><Relationship Id="rId15" Type="http://schemas.openxmlformats.org/officeDocument/2006/relationships/hyperlink" Target="file:///E:\01-&#32218;&#36335;&#20027;&#36774;\51v-&#37325;&#35201;&#24037;&#20316;(&#26410;&#20358;)&#20107;&#20214;&#31807;" TargetMode="External"/><Relationship Id="rId23" Type="http://schemas.openxmlformats.org/officeDocument/2006/relationships/hyperlink" Target="file:///E:\01-&#32218;&#36335;&#20027;&#36774;\28v-&#24037;&#21697;&#23567;&#32068;" TargetMode="External"/><Relationship Id="rId28" Type="http://schemas.openxmlformats.org/officeDocument/2006/relationships/vmlDrawing" Target="../drawings/vmlDrawing1.vml"/><Relationship Id="rId36" Type="http://schemas.openxmlformats.org/officeDocument/2006/relationships/ctrlProp" Target="../ctrlProps/ctrlProp8.xml"/><Relationship Id="rId10" Type="http://schemas.openxmlformats.org/officeDocument/2006/relationships/hyperlink" Target="file:///E:\01-&#32218;&#36335;&#20027;&#36774;\01v-&#36039;&#26412;&#25903;&#20986;-&#32173;&#35703;&#38928;&#31639;M52\06v-&#20998;&#38626;&#26371;&#35336;&#25910;&#25903;&#21516;&#26399;&#27604;&#36611;&#20998;&#26512;&#34920;" TargetMode="External"/><Relationship Id="rId19" Type="http://schemas.openxmlformats.org/officeDocument/2006/relationships/hyperlink" Target="02v-&#21508;&#26376;&#12289;&#23395;&#12289;&#24180;&#22577;&#34920;\&#26376;&#22577;&#34920;\10-&#32173;&#35703;&#24037;&#20316;&#22635;&#22577;&#24037;&#20316;&#22580;&#25152;&#36000;&#36012;&#20154;+&#32887;&#23433;&#20154;&#21729;" TargetMode="External"/><Relationship Id="rId31" Type="http://schemas.openxmlformats.org/officeDocument/2006/relationships/ctrlProp" Target="../ctrlProps/ctrlProp3.xml"/><Relationship Id="rId4" Type="http://schemas.openxmlformats.org/officeDocument/2006/relationships/hyperlink" Target="file:///E:\01-&#32218;&#36335;&#20027;&#36774;\02v-&#21508;&#26376;&#12289;&#23395;&#12289;&#24180;&#22577;&#34920;\&#26376;&#22577;&#34920;\01-1v.&#22823;&#38917;&#32173;&#35703;&#24037;&#31243;&#38928;&#31639;&#23526;&#32318;&#27604;&#36611;&#34920;" TargetMode="External"/><Relationship Id="rId9" Type="http://schemas.openxmlformats.org/officeDocument/2006/relationships/hyperlink" Target="file:///E:\01-&#32218;&#36335;&#20027;&#36774;\02v-&#21508;&#26376;&#12289;&#23395;&#12289;&#24180;&#22577;&#34920;\&#26376;&#22577;&#34920;\02.&#20998;&#32026;&#27298;&#26680;-&#32173;&#35703;&#32068;(&#21547;&#32218;&#36335;&#35506;)-&#24180;&#35336;&#30059;&#33287;&#22519;&#34892;&#22577;&#21578;&#34920;" TargetMode="External"/><Relationship Id="rId14" Type="http://schemas.openxmlformats.org/officeDocument/2006/relationships/hyperlink" Target="file:///E:\01-&#32218;&#36335;&#20027;&#36774;\02v-&#21508;&#26376;&#12289;&#23395;&#12289;&#24180;&#22577;&#34920;\&#26376;&#22577;&#34920;\2-1.&#21508;&#32068;&#24037;&#20316;&#26376;&#22577;(&#21547;&#32068;&#21209;&#26371;&#35696;)(&#27599;&#26376;6&#26085;&#21069;)" TargetMode="External"/><Relationship Id="rId22" Type="http://schemas.openxmlformats.org/officeDocument/2006/relationships/hyperlink" Target="file:///E:\01-&#32218;&#36335;&#20027;&#36774;\02v-&#21508;&#26376;&#12289;&#23395;&#12289;&#24180;&#22577;&#34920;\&#36913;&#22577;\2020-04-01%20&#37197;&#38651;&#34389;&#28858;&#24375;&#21270;&#25215;&#25900;&#21830;&#20551;&#26085;&#26045;&#24037;&#31649;&#29702;&#65292;&#35531;&#26412;&#34389;&#27599;&#36913;&#30436;&#40670;&#21508;&#37096;&#38272;&#25215;&#25900;&#21830;&#20551;&#26085;&#26045;&#24037;&#24773;&#27841;&#65292;&#35531;&#26597;&#29031;" TargetMode="External"/><Relationship Id="rId27" Type="http://schemas.openxmlformats.org/officeDocument/2006/relationships/drawing" Target="../drawings/drawing1.xml"/><Relationship Id="rId30" Type="http://schemas.openxmlformats.org/officeDocument/2006/relationships/ctrlProp" Target="../ctrlProps/ctrlProp2.xml"/><Relationship Id="rId35" Type="http://schemas.openxmlformats.org/officeDocument/2006/relationships/ctrlProp" Target="../ctrlProps/ctrlProp7.xml"/><Relationship Id="rId8" Type="http://schemas.openxmlformats.org/officeDocument/2006/relationships/hyperlink" Target="file:///E:\01-&#32218;&#36335;&#20027;&#36774;\02v-&#21508;&#26376;&#12289;&#23395;&#12289;&#24180;&#22577;&#34920;\&#26376;&#22577;&#34920;\04.&#24432;&#21270;&#21312;&#34389;(&#21547;&#25215;&#25900;&#21830;)&#26119;&#31354;&#36554;&#20043;&#27599;&#26376;&#21450;&#24180;&#24230;&#27298;&#26597;&#31649;&#21046;&#34920;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www.twblogs.net/a/5ca5b36bbd9eee59d332e2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53323-3D97-4D1E-A1B5-9EA56C76783D}">
  <sheetPr codeName="工作表1"/>
  <dimension ref="A1:H29"/>
  <sheetViews>
    <sheetView topLeftCell="C1" workbookViewId="0">
      <selection activeCell="H8" sqref="H8"/>
    </sheetView>
  </sheetViews>
  <sheetFormatPr defaultRowHeight="16.5" x14ac:dyDescent="0.25"/>
  <cols>
    <col min="1" max="1" width="5.75" customWidth="1"/>
    <col min="2" max="2" width="68" bestFit="1" customWidth="1"/>
    <col min="3" max="3" width="18.5" customWidth="1"/>
    <col min="4" max="4" width="23.25" style="1" customWidth="1"/>
    <col min="5" max="5" width="65.375" style="1" customWidth="1"/>
    <col min="6" max="6" width="8" customWidth="1"/>
    <col min="7" max="7" width="11" customWidth="1"/>
    <col min="8" max="8" width="12.125" customWidth="1"/>
  </cols>
  <sheetData>
    <row r="1" spans="1:8" ht="19.5" x14ac:dyDescent="0.25">
      <c r="A1" s="9"/>
      <c r="B1" s="9" t="s">
        <v>0</v>
      </c>
      <c r="C1" s="9"/>
      <c r="D1" s="10" t="s">
        <v>23</v>
      </c>
      <c r="E1" s="10" t="s">
        <v>24</v>
      </c>
      <c r="G1" s="51" t="s">
        <v>27</v>
      </c>
      <c r="H1" s="51"/>
    </row>
    <row r="2" spans="1:8" ht="19.5" x14ac:dyDescent="0.25">
      <c r="A2" s="10">
        <v>1</v>
      </c>
      <c r="B2" s="21" t="s">
        <v>1</v>
      </c>
      <c r="C2" s="9"/>
      <c r="D2" s="10" t="s">
        <v>28</v>
      </c>
      <c r="E2" s="10" t="s">
        <v>49</v>
      </c>
      <c r="G2" s="15">
        <v>1111029</v>
      </c>
      <c r="H2" s="15">
        <v>1111030</v>
      </c>
    </row>
    <row r="3" spans="1:8" ht="19.5" x14ac:dyDescent="0.25">
      <c r="A3" s="11">
        <v>2</v>
      </c>
      <c r="B3" s="21"/>
      <c r="C3" s="9"/>
      <c r="D3" s="10"/>
      <c r="E3" s="10"/>
    </row>
    <row r="4" spans="1:8" x14ac:dyDescent="0.25">
      <c r="B4" s="31"/>
    </row>
    <row r="5" spans="1:8" x14ac:dyDescent="0.25">
      <c r="B5" s="31"/>
    </row>
    <row r="6" spans="1:8" x14ac:dyDescent="0.25">
      <c r="B6" s="31"/>
    </row>
    <row r="7" spans="1:8" ht="19.5" x14ac:dyDescent="0.25">
      <c r="A7" s="9"/>
      <c r="B7" s="21" t="s">
        <v>29</v>
      </c>
      <c r="C7" s="9"/>
      <c r="D7" s="11" t="s">
        <v>23</v>
      </c>
      <c r="E7" s="11" t="s">
        <v>24</v>
      </c>
    </row>
    <row r="8" spans="1:8" ht="118.15" customHeight="1" x14ac:dyDescent="0.25">
      <c r="A8" s="11">
        <v>1</v>
      </c>
      <c r="B8" s="21" t="s">
        <v>77</v>
      </c>
      <c r="C8" s="12" t="s">
        <v>68</v>
      </c>
      <c r="D8" s="24" t="s">
        <v>30</v>
      </c>
      <c r="E8" s="20" t="s">
        <v>48</v>
      </c>
    </row>
    <row r="9" spans="1:8" ht="19.5" x14ac:dyDescent="0.25">
      <c r="A9" s="11">
        <v>2</v>
      </c>
      <c r="B9" s="21" t="s">
        <v>31</v>
      </c>
      <c r="C9" s="12"/>
      <c r="D9" s="13"/>
      <c r="E9" s="13"/>
    </row>
    <row r="10" spans="1:8" ht="19.5" x14ac:dyDescent="0.25">
      <c r="A10" s="11">
        <v>3</v>
      </c>
      <c r="B10" s="21" t="s">
        <v>32</v>
      </c>
      <c r="C10" s="12"/>
      <c r="D10" s="13"/>
      <c r="E10" s="13" t="s">
        <v>58</v>
      </c>
    </row>
    <row r="11" spans="1:8" ht="19.5" x14ac:dyDescent="0.25">
      <c r="A11" s="11">
        <v>4</v>
      </c>
      <c r="B11" s="21" t="s">
        <v>35</v>
      </c>
      <c r="C11" s="12"/>
      <c r="D11" s="13"/>
      <c r="E11" s="14" t="s">
        <v>33</v>
      </c>
    </row>
    <row r="12" spans="1:8" ht="19.5" x14ac:dyDescent="0.25">
      <c r="A12" s="17">
        <v>5</v>
      </c>
      <c r="B12" s="21" t="s">
        <v>34</v>
      </c>
      <c r="C12" s="12"/>
      <c r="D12" s="13" t="s">
        <v>41</v>
      </c>
      <c r="E12" s="13" t="s">
        <v>57</v>
      </c>
    </row>
    <row r="13" spans="1:8" ht="33" x14ac:dyDescent="0.25">
      <c r="A13" s="17">
        <v>6</v>
      </c>
      <c r="B13" s="21" t="s">
        <v>40</v>
      </c>
      <c r="C13" s="12"/>
      <c r="D13" s="13" t="s">
        <v>41</v>
      </c>
      <c r="E13" s="20" t="s">
        <v>42</v>
      </c>
    </row>
    <row r="14" spans="1:8" ht="19.5" x14ac:dyDescent="0.25">
      <c r="A14" s="17">
        <v>7</v>
      </c>
      <c r="B14" s="21" t="s">
        <v>36</v>
      </c>
      <c r="C14" s="12"/>
      <c r="D14" s="13"/>
      <c r="E14" s="13" t="s">
        <v>38</v>
      </c>
    </row>
    <row r="15" spans="1:8" ht="19.5" x14ac:dyDescent="0.25">
      <c r="A15" s="17">
        <v>8</v>
      </c>
      <c r="B15" s="21" t="s">
        <v>37</v>
      </c>
      <c r="C15" s="12"/>
      <c r="D15" s="13"/>
      <c r="E15" s="13" t="s">
        <v>59</v>
      </c>
    </row>
    <row r="16" spans="1:8" ht="19.5" x14ac:dyDescent="0.25">
      <c r="A16" s="19">
        <v>9</v>
      </c>
      <c r="B16" s="21" t="s">
        <v>43</v>
      </c>
      <c r="C16" s="12"/>
      <c r="D16" s="13" t="s">
        <v>41</v>
      </c>
      <c r="E16" s="13" t="s">
        <v>44</v>
      </c>
    </row>
    <row r="17" spans="1:5" ht="19.5" x14ac:dyDescent="0.25">
      <c r="A17" s="19">
        <v>10</v>
      </c>
      <c r="B17" s="21" t="s">
        <v>50</v>
      </c>
      <c r="C17" s="12"/>
      <c r="D17" s="18"/>
      <c r="E17" s="13" t="s">
        <v>51</v>
      </c>
    </row>
    <row r="18" spans="1:5" ht="19.5" x14ac:dyDescent="0.25">
      <c r="A18" s="19">
        <v>11</v>
      </c>
      <c r="B18" s="21" t="s">
        <v>55</v>
      </c>
      <c r="C18" s="12"/>
      <c r="D18" s="18"/>
      <c r="E18" s="13" t="s">
        <v>56</v>
      </c>
    </row>
    <row r="19" spans="1:5" ht="19.5" x14ac:dyDescent="0.25">
      <c r="A19" s="19">
        <v>12</v>
      </c>
      <c r="B19" s="21" t="s">
        <v>63</v>
      </c>
      <c r="C19" s="12"/>
      <c r="D19" s="13" t="s">
        <v>41</v>
      </c>
      <c r="E19" s="13" t="s">
        <v>64</v>
      </c>
    </row>
    <row r="20" spans="1:5" ht="19.5" x14ac:dyDescent="0.25">
      <c r="A20" s="19">
        <v>13</v>
      </c>
      <c r="B20" s="21" t="s">
        <v>74</v>
      </c>
      <c r="C20" s="12"/>
      <c r="D20" s="13" t="s">
        <v>75</v>
      </c>
      <c r="E20" s="13" t="s">
        <v>76</v>
      </c>
    </row>
    <row r="22" spans="1:5" ht="19.5" x14ac:dyDescent="0.25">
      <c r="A22" s="28"/>
      <c r="B22" s="28" t="s">
        <v>45</v>
      </c>
      <c r="C22" s="28"/>
      <c r="D22" s="27" t="s">
        <v>23</v>
      </c>
      <c r="E22" s="27" t="s">
        <v>24</v>
      </c>
    </row>
    <row r="23" spans="1:5" x14ac:dyDescent="0.25">
      <c r="A23" s="28">
        <v>1</v>
      </c>
      <c r="B23" s="21" t="s">
        <v>46</v>
      </c>
      <c r="C23" s="28"/>
      <c r="D23" s="13"/>
      <c r="E23" s="13" t="s">
        <v>47</v>
      </c>
    </row>
    <row r="24" spans="1:5" x14ac:dyDescent="0.25">
      <c r="B24" s="31" t="s">
        <v>81</v>
      </c>
    </row>
    <row r="25" spans="1:5" x14ac:dyDescent="0.25">
      <c r="B25" s="31" t="s">
        <v>81</v>
      </c>
    </row>
    <row r="26" spans="1:5" x14ac:dyDescent="0.25">
      <c r="B26" s="31" t="s">
        <v>60</v>
      </c>
    </row>
    <row r="27" spans="1:5" x14ac:dyDescent="0.25">
      <c r="A27" s="12">
        <v>1</v>
      </c>
      <c r="B27" s="21" t="s">
        <v>61</v>
      </c>
      <c r="C27" s="12"/>
      <c r="D27" s="18"/>
      <c r="E27" s="18"/>
    </row>
    <row r="28" spans="1:5" x14ac:dyDescent="0.25">
      <c r="A28" s="12">
        <v>2</v>
      </c>
      <c r="B28" s="21" t="s">
        <v>65</v>
      </c>
      <c r="C28" s="12"/>
      <c r="D28" s="18" t="s">
        <v>67</v>
      </c>
      <c r="E28" s="18" t="s">
        <v>66</v>
      </c>
    </row>
    <row r="29" spans="1:5" ht="66" x14ac:dyDescent="0.25">
      <c r="A29">
        <v>3</v>
      </c>
      <c r="B29" s="21" t="s">
        <v>78</v>
      </c>
      <c r="C29" s="12"/>
      <c r="D29" s="18" t="s">
        <v>79</v>
      </c>
      <c r="E29" s="26" t="s">
        <v>80</v>
      </c>
    </row>
  </sheetData>
  <mergeCells count="1">
    <mergeCell ref="G1:H1"/>
  </mergeCells>
  <phoneticPr fontId="2" type="noConversion"/>
  <hyperlinks>
    <hyperlink ref="B2" r:id="rId1" display="E:\01-線路主辦\02v-各月、季、年報表\週報\2020-04-01 配電處為強化承攬商假日施工管理，請本處每週盤點各部門承攬商假日施工情況，請查照" xr:uid="{8D980B33-E029-45A7-A226-D502CA8F6B67}"/>
    <hyperlink ref="B8" r:id="rId2" display="E:\01-線路主辦\02v-各月、季、年報表\月報表\01-3v年度維護性工作履約進度管控表(5日前上傳配電處)" xr:uid="{F12F323B-8D64-4C4B-936B-EEF42F85D595}"/>
    <hyperlink ref="B9" r:id="rId3" display="E:\01-線路主辦\02v-各月、季、年報表\月報表\01-2v大項工程及M52預算進度表" xr:uid="{3C8BA0E2-5E36-4285-A0F6-387D403D85BD}"/>
    <hyperlink ref="B10" r:id="rId4" display="E:\01-線路主辦\02v-各月、季、年報表\月報表\01-1v.大項維護工程預算實績比較表" xr:uid="{DFD3697D-C9B9-42A8-8C88-F2D49944BFAC}"/>
    <hyperlink ref="B11" r:id="rId5" display="E:\01-線路主辦\02v-各月、季、年報表\月報表\03v.紅外線量測" xr:uid="{87D60398-54C8-409B-872F-AD18FB99DA02}"/>
    <hyperlink ref="E11" r:id="rId6" xr:uid="{46D19DF4-A8D8-4ECC-89E6-7764E3768F97}"/>
    <hyperlink ref="B12" r:id="rId7" display="E:\01-線路主辦\02v-各月、季、年報表\月報表\07v 下年度採購案進度表(電督每月會要進度)" xr:uid="{435CC7CA-39F0-4771-8F37-7FACA6D1F7D6}"/>
    <hyperlink ref="B14" r:id="rId8" display="E:\01-線路主辦\02v-各月、季、年報表\月報表\04.彰化區處(含承攬商)昇空車之每月及年度檢查管制表" xr:uid="{A62EC369-52F0-451F-9556-3897BD4ADB98}"/>
    <hyperlink ref="B15" r:id="rId9" display="E:\01-線路主辦\02v-各月、季、年報表\月報表\02.分級檢核-維護組(含線路課)-年計畫與執行報告表" xr:uid="{FA640F54-979E-40F6-8F55-F6D35F86FC92}"/>
    <hyperlink ref="B16" r:id="rId10" display="E:\01-線路主辦\01v-資本支出-維護預算M52\06v-分離會計收支同期比較分析表" xr:uid="{6EE8D21F-F551-459F-92D4-8801484D5B42}"/>
    <hyperlink ref="B13" r:id="rId11" display="E:\01-線路主辦\02v-各月、季、年報表\月報表\08 - 各項工程、財物及勞務採購實際工作進度表-業務督導" xr:uid="{D2C2C892-A389-4024-98B8-B7313E8D441A}"/>
    <hyperlink ref="B23" r:id="rId12" display="E:\01-線路主辦\28v-工品小組" xr:uid="{3097D9E5-9713-4C2C-A55A-19870921402E}"/>
    <hyperlink ref="E13" r:id="rId13" xr:uid="{BF431886-AE9D-4C4D-BCF2-C1E381D82198}"/>
    <hyperlink ref="B17" r:id="rId14" display="E:\01-線路主辦\02v-各月、季、年報表\月報表\2-1.各組工作月報(含組務會議)(每月6日前)" xr:uid="{4F4B5266-BCD4-4F8F-A564-8E551CE580DE}"/>
    <hyperlink ref="B18" r:id="rId15" display="E:\01-線路主辦\51v-重要工作(未來)事件簿" xr:uid="{694A5081-7C9D-4DEB-A3E7-D411EC24FB5A}"/>
    <hyperlink ref="B27" r:id="rId16" display="E:\01-線路主辦\02v-各月、季、年報表\年報表\07-不計績效非可控費用實績填報" xr:uid="{82D5FC0A-2FDD-41D6-B86A-BE8348D41D75}"/>
    <hyperlink ref="B19" r:id="rId17" xr:uid="{EE20573A-8CF7-4FD6-A485-5A784657767C}"/>
    <hyperlink ref="B28" r:id="rId18" display="E:\01-線路主辦\20v-工安相關\02-與承攬商檢討工安防災座談會" xr:uid="{FE36601B-1BC6-48DD-86B9-D20C8B075B76}"/>
    <hyperlink ref="B20" r:id="rId19" xr:uid="{FC1FA3FC-8523-4951-9520-280908ED482A}"/>
    <hyperlink ref="E29" r:id="rId20" display="http://10.26.0.149/d07704/newpage/" xr:uid="{9CCE5C1E-7DE1-482E-83A3-16C4E1A9E59C}"/>
    <hyperlink ref="B29" r:id="rId21" display="E:\01-線路主辦\06v-甲式工作單及設計方案編列事宜\02維護設計方案-9月(初編年初辦)" xr:uid="{D73DBA02-4AE6-4071-B7C8-E860ECD87C47}"/>
    <hyperlink ref="B7" r:id="rId22" display="E:\01-線路主辦\02v-各月、季、年報表\週報\2020-04-01 配電處為強化承攬商假日施工管理，請本處每週盤點各部門承攬商假日施工情況，請查照" xr:uid="{B599AAA8-03DE-4668-A5B4-37D970E31503}"/>
    <hyperlink ref="B24" r:id="rId23" xr:uid="{13F0CD34-3FA0-4052-9D00-4828EFE06081}"/>
    <hyperlink ref="B25" r:id="rId24" xr:uid="{4624667E-1CDD-4C15-A79D-A79D45AAF72E}"/>
    <hyperlink ref="B26" r:id="rId25" display="E:\01-線路主辦\28v-工品小組" xr:uid="{5E3EEA2B-4A6E-413D-B60C-E93EA7BE1157}"/>
  </hyperlinks>
  <pageMargins left="0.7" right="0.7" top="0.75" bottom="0.75" header="0.3" footer="0.3"/>
  <pageSetup paperSize="9" orientation="portrait" r:id="rId26"/>
  <drawing r:id="rId27"/>
  <legacyDrawing r:id="rId2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9" name="Button 1">
              <controlPr defaultSize="0" print="0" autoFill="0" autoPict="0" macro="[0]!填寫假日報准施工紀錄">
                <anchor moveWithCells="1" sizeWithCells="1">
                  <from>
                    <xdr:col>8</xdr:col>
                    <xdr:colOff>400050</xdr:colOff>
                    <xdr:row>0</xdr:row>
                    <xdr:rowOff>171450</xdr:rowOff>
                  </from>
                  <to>
                    <xdr:col>9</xdr:col>
                    <xdr:colOff>419100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0" name="Button 2">
              <controlPr defaultSize="0" print="0" autoFill="0" autoPict="0" macro="[0]!電督ftp採購">
                <anchor moveWithCells="1" sizeWithCells="1">
                  <from>
                    <xdr:col>4</xdr:col>
                    <xdr:colOff>1381125</xdr:colOff>
                    <xdr:row>12</xdr:row>
                    <xdr:rowOff>228600</xdr:rowOff>
                  </from>
                  <to>
                    <xdr:col>4</xdr:col>
                    <xdr:colOff>2438400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31" name="Button 3">
              <controlPr defaultSize="0" print="0" autoFill="0" autoPict="0" macro="[0]!年度維護性工作履約進度管控表">
                <anchor moveWithCells="1" sizeWithCells="1">
                  <from>
                    <xdr:col>4</xdr:col>
                    <xdr:colOff>2743200</xdr:colOff>
                    <xdr:row>7</xdr:row>
                    <xdr:rowOff>1162050</xdr:rowOff>
                  </from>
                  <to>
                    <xdr:col>4</xdr:col>
                    <xdr:colOff>3533775</xdr:colOff>
                    <xdr:row>7</xdr:row>
                    <xdr:rowOff>1543050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32" name="Button 4">
              <controlPr defaultSize="0" print="0" autoFill="0" autoPict="0" macro="[0]!超連結_address及修正">
                <anchor moveWithCells="1" sizeWithCells="1">
                  <from>
                    <xdr:col>4</xdr:col>
                    <xdr:colOff>2828925</xdr:colOff>
                    <xdr:row>3</xdr:row>
                    <xdr:rowOff>95250</xdr:rowOff>
                  </from>
                  <to>
                    <xdr:col>4</xdr:col>
                    <xdr:colOff>3867150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33" name="Button 5">
              <controlPr defaultSize="0" print="0" autoFill="0" autoPict="0" macro="[0]!電督ftp">
                <anchor moveWithCells="1" sizeWithCells="1">
                  <from>
                    <xdr:col>4</xdr:col>
                    <xdr:colOff>3409950</xdr:colOff>
                    <xdr:row>17</xdr:row>
                    <xdr:rowOff>38100</xdr:rowOff>
                  </from>
                  <to>
                    <xdr:col>4</xdr:col>
                    <xdr:colOff>3914775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34" name="Button 6">
              <controlPr defaultSize="0" print="0" autoFill="0" autoPict="0" macro="[0]!業督ftp">
                <anchor moveWithCells="1" sizeWithCells="1">
                  <from>
                    <xdr:col>4</xdr:col>
                    <xdr:colOff>4067175</xdr:colOff>
                    <xdr:row>13</xdr:row>
                    <xdr:rowOff>247650</xdr:rowOff>
                  </from>
                  <to>
                    <xdr:col>5</xdr:col>
                    <xdr:colOff>57150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35" name="Button 7">
              <controlPr defaultSize="0" print="0" autoFill="0" autoPict="0" macro="[0]!電督ftp">
                <anchor moveWithCells="1" sizeWithCells="1">
                  <from>
                    <xdr:col>4</xdr:col>
                    <xdr:colOff>3409950</xdr:colOff>
                    <xdr:row>18</xdr:row>
                    <xdr:rowOff>38100</xdr:rowOff>
                  </from>
                  <to>
                    <xdr:col>4</xdr:col>
                    <xdr:colOff>3914775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36" name="Button 8">
              <controlPr defaultSize="0" print="0" autoFill="0" autoPict="0" macro="[0]!負責人與職安人員名單">
                <anchor moveWithCells="1" sizeWithCells="1">
                  <from>
                    <xdr:col>4</xdr:col>
                    <xdr:colOff>3429000</xdr:colOff>
                    <xdr:row>19</xdr:row>
                    <xdr:rowOff>38100</xdr:rowOff>
                  </from>
                  <to>
                    <xdr:col>4</xdr:col>
                    <xdr:colOff>3933825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3C863-C5DF-4532-A9F5-BC2337399381}">
  <sheetPr codeName="工作表4"/>
  <dimension ref="A1:K19"/>
  <sheetViews>
    <sheetView view="pageBreakPreview" zoomScale="85" zoomScaleNormal="100" zoomScaleSheetLayoutView="85" workbookViewId="0">
      <selection activeCell="F3" sqref="F3"/>
    </sheetView>
  </sheetViews>
  <sheetFormatPr defaultRowHeight="16.5" x14ac:dyDescent="0.25"/>
  <cols>
    <col min="1" max="1" width="4.5" customWidth="1"/>
    <col min="2" max="2" width="13.75" customWidth="1"/>
    <col min="3" max="3" width="17.625" customWidth="1"/>
    <col min="4" max="4" width="18.5" customWidth="1"/>
    <col min="5" max="5" width="28.875" customWidth="1"/>
    <col min="6" max="6" width="20.625" customWidth="1"/>
    <col min="7" max="7" width="13.875" customWidth="1"/>
    <col min="8" max="8" width="5" customWidth="1"/>
    <col min="9" max="9" width="38.625" customWidth="1"/>
  </cols>
  <sheetData>
    <row r="1" spans="1:11" ht="28.15" customHeight="1" x14ac:dyDescent="0.25">
      <c r="A1" s="57" t="s">
        <v>19</v>
      </c>
      <c r="B1" s="58"/>
      <c r="C1" s="58"/>
      <c r="D1" s="58"/>
      <c r="E1" s="58"/>
      <c r="F1" s="58"/>
      <c r="G1" s="58"/>
      <c r="H1" s="58"/>
      <c r="I1" s="58"/>
      <c r="J1" s="4"/>
      <c r="K1" s="4"/>
    </row>
    <row r="2" spans="1:11" ht="18" customHeight="1" x14ac:dyDescent="0.25">
      <c r="A2" s="59" t="str">
        <f ca="1">"填報日期：" &amp; (YEAR(NOW())-1911) &amp; "年" &amp;  MONTH(NOW()) &amp; "月" &amp; DAY(NOW()) &amp;"日"</f>
        <v>填報日期：113年7月11日</v>
      </c>
      <c r="B2" s="59"/>
      <c r="C2" s="59"/>
      <c r="D2" s="59"/>
      <c r="E2" s="59"/>
      <c r="F2" s="59"/>
      <c r="G2" s="59"/>
      <c r="H2" s="59"/>
      <c r="I2" s="60"/>
    </row>
    <row r="3" spans="1:11" ht="33" x14ac:dyDescent="0.25">
      <c r="A3" s="5" t="s">
        <v>18</v>
      </c>
      <c r="B3" s="35" t="s">
        <v>7</v>
      </c>
      <c r="C3" s="35" t="s">
        <v>8</v>
      </c>
      <c r="D3" s="35" t="s">
        <v>9</v>
      </c>
      <c r="E3" s="35" t="s">
        <v>10</v>
      </c>
      <c r="F3" s="34" t="s">
        <v>22</v>
      </c>
      <c r="G3" s="54" t="s">
        <v>17</v>
      </c>
      <c r="H3" s="61"/>
      <c r="I3" s="5" t="s">
        <v>16</v>
      </c>
    </row>
    <row r="4" spans="1:11" ht="24" customHeight="1" x14ac:dyDescent="0.25">
      <c r="A4" s="5">
        <v>1</v>
      </c>
      <c r="B4" s="5" t="s">
        <v>11</v>
      </c>
      <c r="C4" s="22">
        <v>44667</v>
      </c>
      <c r="D4" s="5">
        <v>32</v>
      </c>
      <c r="E4" s="5">
        <v>10</v>
      </c>
      <c r="F4" s="36"/>
      <c r="G4" s="62"/>
      <c r="H4" s="63"/>
      <c r="I4" s="35">
        <v>0</v>
      </c>
    </row>
    <row r="5" spans="1:11" ht="24" customHeight="1" x14ac:dyDescent="0.25">
      <c r="A5" s="5">
        <v>2</v>
      </c>
      <c r="B5" s="5" t="s">
        <v>11</v>
      </c>
      <c r="C5" s="22">
        <v>44668</v>
      </c>
      <c r="D5" s="5">
        <v>1</v>
      </c>
      <c r="E5" s="5">
        <v>0</v>
      </c>
      <c r="F5" s="36"/>
      <c r="G5" s="36"/>
      <c r="H5" s="37"/>
      <c r="I5" s="35"/>
    </row>
    <row r="6" spans="1:11" ht="7.9" customHeight="1" x14ac:dyDescent="0.25">
      <c r="A6" s="3"/>
      <c r="B6" s="3"/>
      <c r="C6" s="3"/>
      <c r="D6" s="3"/>
      <c r="E6" s="3"/>
      <c r="F6" s="6"/>
      <c r="G6" s="6"/>
      <c r="H6" s="6"/>
      <c r="I6" s="7"/>
    </row>
    <row r="7" spans="1:11" x14ac:dyDescent="0.25">
      <c r="A7" s="8" t="s">
        <v>2</v>
      </c>
      <c r="B7" s="7"/>
      <c r="C7" s="7"/>
      <c r="D7" s="7"/>
      <c r="E7" s="7"/>
      <c r="F7" s="7"/>
      <c r="G7" s="7"/>
      <c r="H7" s="7"/>
      <c r="I7" s="7"/>
    </row>
    <row r="8" spans="1:11" x14ac:dyDescent="0.25">
      <c r="A8" s="8" t="s">
        <v>3</v>
      </c>
      <c r="B8" s="7"/>
      <c r="C8" s="7"/>
      <c r="D8" s="7"/>
      <c r="E8" s="7"/>
      <c r="F8" s="7"/>
      <c r="G8" s="7"/>
      <c r="H8" s="7"/>
      <c r="I8" s="7"/>
    </row>
    <row r="9" spans="1:11" x14ac:dyDescent="0.25">
      <c r="A9" s="8" t="s">
        <v>4</v>
      </c>
      <c r="B9" s="7"/>
      <c r="C9" s="7"/>
      <c r="D9" s="7"/>
      <c r="E9" s="7"/>
      <c r="F9" s="7"/>
      <c r="G9" s="7"/>
      <c r="H9" s="7"/>
      <c r="I9" s="7"/>
    </row>
    <row r="10" spans="1:11" x14ac:dyDescent="0.25">
      <c r="A10" s="8" t="s">
        <v>5</v>
      </c>
      <c r="B10" s="7"/>
      <c r="C10" s="7"/>
      <c r="D10" s="7"/>
      <c r="E10" s="7"/>
      <c r="F10" s="7"/>
      <c r="G10" s="7"/>
      <c r="H10" s="7"/>
      <c r="I10" s="7"/>
    </row>
    <row r="11" spans="1:11" x14ac:dyDescent="0.25">
      <c r="A11" s="8" t="s">
        <v>6</v>
      </c>
      <c r="B11" s="7"/>
      <c r="C11" s="7"/>
      <c r="D11" s="7"/>
      <c r="E11" s="7"/>
      <c r="F11" s="7"/>
      <c r="G11" s="7"/>
      <c r="H11" s="7"/>
      <c r="I11" s="7"/>
    </row>
    <row r="12" spans="1:11" ht="25.15" customHeight="1" x14ac:dyDescent="0.25">
      <c r="A12" s="64" t="s">
        <v>12</v>
      </c>
      <c r="B12" s="65"/>
      <c r="C12" s="65"/>
      <c r="D12" s="65"/>
      <c r="E12" s="65"/>
      <c r="F12" s="65"/>
      <c r="G12" s="65"/>
      <c r="H12" s="65"/>
      <c r="I12" s="65"/>
    </row>
    <row r="13" spans="1:11" ht="46.15" customHeight="1" x14ac:dyDescent="0.25">
      <c r="A13" s="5" t="s">
        <v>21</v>
      </c>
      <c r="B13" s="35" t="s">
        <v>7</v>
      </c>
      <c r="C13" s="35" t="s">
        <v>8</v>
      </c>
      <c r="D13" s="52" t="s">
        <v>13</v>
      </c>
      <c r="E13" s="53"/>
      <c r="F13" s="54" t="s">
        <v>20</v>
      </c>
      <c r="G13" s="55"/>
      <c r="H13" s="56" t="s">
        <v>14</v>
      </c>
      <c r="I13" s="56"/>
    </row>
    <row r="14" spans="1:11" ht="56.45" customHeight="1" x14ac:dyDescent="0.25">
      <c r="A14" s="5">
        <v>1</v>
      </c>
      <c r="B14" s="5" t="s">
        <v>97</v>
      </c>
      <c r="C14" s="23" t="s">
        <v>98</v>
      </c>
      <c r="D14" s="62" t="s">
        <v>99</v>
      </c>
      <c r="E14" s="66"/>
      <c r="F14" s="62" t="s">
        <v>100</v>
      </c>
      <c r="G14" s="67"/>
      <c r="H14" s="68" t="s">
        <v>70</v>
      </c>
      <c r="I14" s="69"/>
    </row>
    <row r="15" spans="1:11" ht="56.45" customHeight="1" x14ac:dyDescent="0.25">
      <c r="A15" s="5">
        <v>2</v>
      </c>
      <c r="B15" s="5" t="s">
        <v>97</v>
      </c>
      <c r="C15" s="23" t="s">
        <v>98</v>
      </c>
      <c r="D15" s="62" t="s">
        <v>101</v>
      </c>
      <c r="E15" s="66"/>
      <c r="F15" s="62" t="s">
        <v>102</v>
      </c>
      <c r="G15" s="67"/>
      <c r="H15" s="68" t="s">
        <v>70</v>
      </c>
      <c r="I15" s="69"/>
    </row>
    <row r="16" spans="1:11" ht="56.45" customHeight="1" x14ac:dyDescent="0.25">
      <c r="A16" s="5">
        <v>3</v>
      </c>
      <c r="B16" s="5" t="s">
        <v>95</v>
      </c>
      <c r="C16" s="23" t="s">
        <v>98</v>
      </c>
      <c r="D16" s="62" t="s">
        <v>103</v>
      </c>
      <c r="E16" s="66"/>
      <c r="F16" s="62" t="s">
        <v>96</v>
      </c>
      <c r="G16" s="67"/>
      <c r="H16" s="68" t="s">
        <v>70</v>
      </c>
      <c r="I16" s="69"/>
    </row>
    <row r="17" spans="1:9" ht="56.45" customHeight="1" x14ac:dyDescent="0.25">
      <c r="A17" s="5">
        <v>4</v>
      </c>
      <c r="B17" s="5"/>
      <c r="C17" s="23"/>
      <c r="D17" s="62"/>
      <c r="E17" s="66"/>
      <c r="F17" s="62"/>
      <c r="G17" s="67"/>
      <c r="H17" s="68"/>
      <c r="I17" s="69"/>
    </row>
    <row r="18" spans="1:9" ht="64.900000000000006" customHeight="1" x14ac:dyDescent="0.25">
      <c r="A18" s="5">
        <v>5</v>
      </c>
      <c r="B18" s="5"/>
      <c r="C18" s="23"/>
      <c r="D18" s="62"/>
      <c r="E18" s="66"/>
      <c r="F18" s="62"/>
      <c r="G18" s="66"/>
      <c r="H18" s="68"/>
      <c r="I18" s="69"/>
    </row>
    <row r="19" spans="1:9" ht="40.9" customHeight="1" x14ac:dyDescent="0.25">
      <c r="A19" s="2" t="s">
        <v>15</v>
      </c>
    </row>
  </sheetData>
  <mergeCells count="23">
    <mergeCell ref="D18:E18"/>
    <mergeCell ref="F18:G18"/>
    <mergeCell ref="H18:I18"/>
    <mergeCell ref="D16:E16"/>
    <mergeCell ref="F16:G16"/>
    <mergeCell ref="H16:I16"/>
    <mergeCell ref="D17:E17"/>
    <mergeCell ref="F17:G17"/>
    <mergeCell ref="H17:I17"/>
    <mergeCell ref="D14:E14"/>
    <mergeCell ref="F14:G14"/>
    <mergeCell ref="H14:I14"/>
    <mergeCell ref="D15:E15"/>
    <mergeCell ref="F15:G15"/>
    <mergeCell ref="H15:I15"/>
    <mergeCell ref="D13:E13"/>
    <mergeCell ref="F13:G13"/>
    <mergeCell ref="H13:I13"/>
    <mergeCell ref="A1:I1"/>
    <mergeCell ref="A2:I2"/>
    <mergeCell ref="G3:H3"/>
    <mergeCell ref="G4:H4"/>
    <mergeCell ref="A12:I12"/>
  </mergeCells>
  <phoneticPr fontId="2" type="noConversion"/>
  <pageMargins left="0.11811023622047245" right="0.11811023622047245" top="0.35433070866141736" bottom="0.15748031496062992" header="0.31496062992125984" footer="0.31496062992125984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4001-5B40-49B1-9F49-212FD546AFBF}">
  <sheetPr codeName="工作表3">
    <tabColor rgb="FF00B0F0"/>
  </sheetPr>
  <dimension ref="A1:Y11"/>
  <sheetViews>
    <sheetView workbookViewId="0">
      <selection activeCell="B2" sqref="B2"/>
    </sheetView>
  </sheetViews>
  <sheetFormatPr defaultRowHeight="16.5" x14ac:dyDescent="0.25"/>
  <cols>
    <col min="1" max="1" width="29.625" bestFit="1" customWidth="1"/>
    <col min="3" max="3" width="43.25" bestFit="1" customWidth="1"/>
    <col min="4" max="4" width="51.625" bestFit="1" customWidth="1"/>
    <col min="5" max="5" width="42.125" customWidth="1"/>
    <col min="7" max="7" width="15.5" bestFit="1" customWidth="1"/>
    <col min="24" max="24" width="60.75" bestFit="1" customWidth="1"/>
  </cols>
  <sheetData>
    <row r="1" spans="1:25" x14ac:dyDescent="0.25">
      <c r="A1" t="s">
        <v>25</v>
      </c>
      <c r="B1" s="39">
        <v>457984</v>
      </c>
      <c r="G1" t="s">
        <v>69</v>
      </c>
      <c r="X1" t="s">
        <v>105</v>
      </c>
      <c r="Y1" t="s">
        <v>105</v>
      </c>
    </row>
    <row r="2" spans="1:25" x14ac:dyDescent="0.25">
      <c r="A2" t="s">
        <v>26</v>
      </c>
      <c r="B2" s="38" t="s">
        <v>114</v>
      </c>
      <c r="X2" t="s">
        <v>106</v>
      </c>
      <c r="Y2" t="s">
        <v>106</v>
      </c>
    </row>
    <row r="3" spans="1:25" x14ac:dyDescent="0.25">
      <c r="X3" t="s">
        <v>107</v>
      </c>
      <c r="Y3" t="s">
        <v>107</v>
      </c>
    </row>
    <row r="4" spans="1:25" x14ac:dyDescent="0.25">
      <c r="X4" t="s">
        <v>108</v>
      </c>
      <c r="Y4" t="s">
        <v>108</v>
      </c>
    </row>
    <row r="5" spans="1:25" ht="33" x14ac:dyDescent="0.25">
      <c r="A5" s="5" t="s">
        <v>82</v>
      </c>
      <c r="B5" s="25" t="s">
        <v>7</v>
      </c>
      <c r="C5" s="25" t="s">
        <v>71</v>
      </c>
      <c r="D5" s="5" t="s">
        <v>20</v>
      </c>
      <c r="E5" s="25" t="s">
        <v>72</v>
      </c>
      <c r="X5" t="s">
        <v>109</v>
      </c>
      <c r="Y5" t="s">
        <v>109</v>
      </c>
    </row>
    <row r="6" spans="1:25" ht="49.5" x14ac:dyDescent="0.25">
      <c r="A6" s="12" t="s">
        <v>73</v>
      </c>
      <c r="B6" s="12"/>
      <c r="C6" s="29" t="s">
        <v>54</v>
      </c>
      <c r="D6" s="29" t="s">
        <v>86</v>
      </c>
      <c r="E6" s="16" t="s">
        <v>70</v>
      </c>
      <c r="X6" t="s">
        <v>111</v>
      </c>
      <c r="Y6" t="s">
        <v>111</v>
      </c>
    </row>
    <row r="7" spans="1:25" ht="49.5" x14ac:dyDescent="0.25">
      <c r="A7" s="12" t="s">
        <v>84</v>
      </c>
      <c r="B7" s="12"/>
      <c r="C7" s="29" t="s">
        <v>87</v>
      </c>
      <c r="D7" s="29" t="s">
        <v>83</v>
      </c>
      <c r="E7" s="16" t="s">
        <v>70</v>
      </c>
      <c r="X7" t="s">
        <v>112</v>
      </c>
      <c r="Y7" t="s">
        <v>112</v>
      </c>
    </row>
    <row r="8" spans="1:25" ht="49.5" x14ac:dyDescent="0.25">
      <c r="A8" s="12" t="s">
        <v>91</v>
      </c>
      <c r="B8" s="12"/>
      <c r="C8" s="29" t="s">
        <v>88</v>
      </c>
      <c r="D8" s="29" t="s">
        <v>89</v>
      </c>
      <c r="E8" s="16" t="s">
        <v>70</v>
      </c>
      <c r="X8" t="s">
        <v>113</v>
      </c>
      <c r="Y8" t="s">
        <v>113</v>
      </c>
    </row>
    <row r="9" spans="1:25" ht="49.5" x14ac:dyDescent="0.25">
      <c r="A9" s="32" t="s">
        <v>92</v>
      </c>
      <c r="B9" s="12"/>
      <c r="C9" s="32" t="s">
        <v>62</v>
      </c>
      <c r="D9" s="29" t="s">
        <v>90</v>
      </c>
      <c r="E9" s="16" t="s">
        <v>70</v>
      </c>
      <c r="X9" t="s">
        <v>115</v>
      </c>
      <c r="Y9" t="s">
        <v>115</v>
      </c>
    </row>
    <row r="10" spans="1:25" ht="49.5" x14ac:dyDescent="0.25">
      <c r="A10" s="33" t="s">
        <v>85</v>
      </c>
      <c r="C10" s="30" t="s">
        <v>52</v>
      </c>
      <c r="D10" s="30" t="s">
        <v>39</v>
      </c>
      <c r="E10" s="16" t="s">
        <v>70</v>
      </c>
      <c r="Y10" t="s">
        <v>116</v>
      </c>
    </row>
    <row r="11" spans="1:25" ht="49.5" x14ac:dyDescent="0.25">
      <c r="A11" t="s">
        <v>93</v>
      </c>
      <c r="C11" s="16" t="s">
        <v>94</v>
      </c>
      <c r="D11" s="30" t="s">
        <v>53</v>
      </c>
      <c r="E11" s="16" t="s">
        <v>70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173CA-609A-477B-BDAB-F74C49C8CC33}">
  <sheetPr codeName="工作表5"/>
  <dimension ref="A1:P129"/>
  <sheetViews>
    <sheetView workbookViewId="0">
      <selection activeCell="I10" sqref="I10"/>
    </sheetView>
  </sheetViews>
  <sheetFormatPr defaultRowHeight="16.5" x14ac:dyDescent="0.25"/>
  <sheetData>
    <row r="1" spans="1:16" ht="16.149999999999999" customHeight="1" x14ac:dyDescent="0.25">
      <c r="A1" s="70" t="s">
        <v>179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</row>
    <row r="2" spans="1:16" ht="16.149999999999999" customHeight="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</row>
    <row r="3" spans="1:16" ht="16.149999999999999" customHeight="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</row>
    <row r="4" spans="1:16" ht="112.15" customHeight="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</row>
    <row r="5" spans="1:16" ht="16.149999999999999" customHeight="1" x14ac:dyDescent="0.25">
      <c r="A5" s="72" t="s">
        <v>178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44"/>
      <c r="P5" s="44"/>
    </row>
    <row r="7" spans="1:16" x14ac:dyDescent="0.25">
      <c r="A7" t="s">
        <v>117</v>
      </c>
    </row>
    <row r="9" spans="1:16" x14ac:dyDescent="0.25">
      <c r="A9" t="s">
        <v>118</v>
      </c>
    </row>
    <row r="11" spans="1:16" x14ac:dyDescent="0.25">
      <c r="A11" t="s">
        <v>119</v>
      </c>
    </row>
    <row r="13" spans="1:16" x14ac:dyDescent="0.25">
      <c r="A13" t="s">
        <v>120</v>
      </c>
    </row>
    <row r="15" spans="1:16" x14ac:dyDescent="0.25">
      <c r="A15" t="s">
        <v>121</v>
      </c>
    </row>
    <row r="17" spans="1:1" x14ac:dyDescent="0.25">
      <c r="A17" t="s">
        <v>122</v>
      </c>
    </row>
    <row r="19" spans="1:1" x14ac:dyDescent="0.25">
      <c r="A19" t="s">
        <v>123</v>
      </c>
    </row>
    <row r="21" spans="1:1" x14ac:dyDescent="0.25">
      <c r="A21" t="s">
        <v>124</v>
      </c>
    </row>
    <row r="23" spans="1:1" x14ac:dyDescent="0.25">
      <c r="A23" t="s">
        <v>125</v>
      </c>
    </row>
    <row r="25" spans="1:1" x14ac:dyDescent="0.25">
      <c r="A25" t="s">
        <v>126</v>
      </c>
    </row>
    <row r="27" spans="1:1" x14ac:dyDescent="0.25">
      <c r="A27" t="s">
        <v>127</v>
      </c>
    </row>
    <row r="29" spans="1:1" x14ac:dyDescent="0.25">
      <c r="A29" t="s">
        <v>128</v>
      </c>
    </row>
    <row r="31" spans="1:1" x14ac:dyDescent="0.25">
      <c r="A31" s="41" t="s">
        <v>129</v>
      </c>
    </row>
    <row r="32" spans="1:1" x14ac:dyDescent="0.25">
      <c r="A32" s="42"/>
    </row>
    <row r="33" spans="1:1" x14ac:dyDescent="0.25">
      <c r="A33" s="42" t="s">
        <v>130</v>
      </c>
    </row>
    <row r="34" spans="1:1" x14ac:dyDescent="0.25">
      <c r="A34" s="42"/>
    </row>
    <row r="35" spans="1:1" x14ac:dyDescent="0.25">
      <c r="A35" s="42" t="s">
        <v>131</v>
      </c>
    </row>
    <row r="36" spans="1:1" x14ac:dyDescent="0.25">
      <c r="A36" s="42"/>
    </row>
    <row r="37" spans="1:1" x14ac:dyDescent="0.25">
      <c r="A37" s="42" t="s">
        <v>132</v>
      </c>
    </row>
    <row r="38" spans="1:1" x14ac:dyDescent="0.25">
      <c r="A38" s="42"/>
    </row>
    <row r="39" spans="1:1" x14ac:dyDescent="0.25">
      <c r="A39" s="42" t="s">
        <v>133</v>
      </c>
    </row>
    <row r="40" spans="1:1" x14ac:dyDescent="0.25">
      <c r="A40" s="42"/>
    </row>
    <row r="41" spans="1:1" x14ac:dyDescent="0.25">
      <c r="A41" s="42" t="s">
        <v>134</v>
      </c>
    </row>
    <row r="42" spans="1:1" x14ac:dyDescent="0.25">
      <c r="A42" s="42"/>
    </row>
    <row r="43" spans="1:1" x14ac:dyDescent="0.25">
      <c r="A43" s="42" t="s">
        <v>135</v>
      </c>
    </row>
    <row r="44" spans="1:1" x14ac:dyDescent="0.25">
      <c r="A44" s="42"/>
    </row>
    <row r="45" spans="1:1" x14ac:dyDescent="0.25">
      <c r="A45" s="42" t="s">
        <v>136</v>
      </c>
    </row>
    <row r="46" spans="1:1" x14ac:dyDescent="0.25">
      <c r="A46" s="42"/>
    </row>
    <row r="47" spans="1:1" x14ac:dyDescent="0.25">
      <c r="A47" s="42" t="s">
        <v>137</v>
      </c>
    </row>
    <row r="48" spans="1:1" x14ac:dyDescent="0.25">
      <c r="A48" s="42"/>
    </row>
    <row r="49" spans="1:1" x14ac:dyDescent="0.25">
      <c r="A49" s="42" t="s">
        <v>138</v>
      </c>
    </row>
    <row r="50" spans="1:1" x14ac:dyDescent="0.25">
      <c r="A50" s="42"/>
    </row>
    <row r="51" spans="1:1" x14ac:dyDescent="0.25">
      <c r="A51" s="42" t="s">
        <v>139</v>
      </c>
    </row>
    <row r="52" spans="1:1" x14ac:dyDescent="0.25">
      <c r="A52" s="42"/>
    </row>
    <row r="53" spans="1:1" x14ac:dyDescent="0.25">
      <c r="A53" s="43" t="s">
        <v>140</v>
      </c>
    </row>
    <row r="54" spans="1:1" x14ac:dyDescent="0.25">
      <c r="A54" s="43" t="s">
        <v>141</v>
      </c>
    </row>
    <row r="55" spans="1:1" x14ac:dyDescent="0.25">
      <c r="A55" s="43" t="s">
        <v>142</v>
      </c>
    </row>
    <row r="56" spans="1:1" x14ac:dyDescent="0.25">
      <c r="A56" s="43" t="s">
        <v>143</v>
      </c>
    </row>
    <row r="57" spans="1:1" x14ac:dyDescent="0.25">
      <c r="A57" s="43" t="s">
        <v>144</v>
      </c>
    </row>
    <row r="58" spans="1:1" x14ac:dyDescent="0.25">
      <c r="A58" s="43" t="s">
        <v>145</v>
      </c>
    </row>
    <row r="59" spans="1:1" x14ac:dyDescent="0.25">
      <c r="A59" s="43" t="s">
        <v>146</v>
      </c>
    </row>
    <row r="60" spans="1:1" x14ac:dyDescent="0.25">
      <c r="A60" s="43" t="s">
        <v>147</v>
      </c>
    </row>
    <row r="61" spans="1:1" x14ac:dyDescent="0.25">
      <c r="A61" s="43" t="s">
        <v>148</v>
      </c>
    </row>
    <row r="62" spans="1:1" x14ac:dyDescent="0.25">
      <c r="A62" s="43" t="s">
        <v>149</v>
      </c>
    </row>
    <row r="63" spans="1:1" x14ac:dyDescent="0.25">
      <c r="A63" s="43" t="s">
        <v>150</v>
      </c>
    </row>
    <row r="65" spans="1:1" x14ac:dyDescent="0.25">
      <c r="A65" t="s">
        <v>151</v>
      </c>
    </row>
    <row r="67" spans="1:1" x14ac:dyDescent="0.25">
      <c r="A67" t="s">
        <v>152</v>
      </c>
    </row>
    <row r="69" spans="1:1" x14ac:dyDescent="0.25">
      <c r="A69" t="s">
        <v>153</v>
      </c>
    </row>
    <row r="71" spans="1:1" x14ac:dyDescent="0.25">
      <c r="A71" t="s">
        <v>154</v>
      </c>
    </row>
    <row r="73" spans="1:1" x14ac:dyDescent="0.25">
      <c r="A73" t="s">
        <v>155</v>
      </c>
    </row>
    <row r="75" spans="1:1" x14ac:dyDescent="0.25">
      <c r="A75" s="41" t="s">
        <v>156</v>
      </c>
    </row>
    <row r="76" spans="1:1" x14ac:dyDescent="0.25">
      <c r="A76" s="42"/>
    </row>
    <row r="77" spans="1:1" x14ac:dyDescent="0.25">
      <c r="A77" s="42" t="s">
        <v>157</v>
      </c>
    </row>
    <row r="78" spans="1:1" x14ac:dyDescent="0.25">
      <c r="A78" s="42"/>
    </row>
    <row r="79" spans="1:1" x14ac:dyDescent="0.25">
      <c r="A79" s="42" t="s">
        <v>133</v>
      </c>
    </row>
    <row r="80" spans="1:1" x14ac:dyDescent="0.25">
      <c r="A80" s="42"/>
    </row>
    <row r="81" spans="1:1" x14ac:dyDescent="0.25">
      <c r="A81" s="42" t="s">
        <v>158</v>
      </c>
    </row>
    <row r="82" spans="1:1" x14ac:dyDescent="0.25">
      <c r="A82" s="42"/>
    </row>
    <row r="83" spans="1:1" x14ac:dyDescent="0.25">
      <c r="A83" s="42" t="s">
        <v>159</v>
      </c>
    </row>
    <row r="84" spans="1:1" x14ac:dyDescent="0.25">
      <c r="A84" s="42"/>
    </row>
    <row r="85" spans="1:1" x14ac:dyDescent="0.25">
      <c r="A85" s="42" t="s">
        <v>160</v>
      </c>
    </row>
    <row r="86" spans="1:1" x14ac:dyDescent="0.25">
      <c r="A86" s="42"/>
    </row>
    <row r="87" spans="1:1" x14ac:dyDescent="0.25">
      <c r="A87" s="42" t="s">
        <v>161</v>
      </c>
    </row>
    <row r="88" spans="1:1" x14ac:dyDescent="0.25">
      <c r="A88" s="42"/>
    </row>
    <row r="89" spans="1:1" x14ac:dyDescent="0.25">
      <c r="A89" s="42" t="s">
        <v>162</v>
      </c>
    </row>
    <row r="90" spans="1:1" x14ac:dyDescent="0.25">
      <c r="A90" s="42"/>
    </row>
    <row r="91" spans="1:1" x14ac:dyDescent="0.25">
      <c r="A91" s="42" t="s">
        <v>163</v>
      </c>
    </row>
    <row r="92" spans="1:1" x14ac:dyDescent="0.25">
      <c r="A92" s="42"/>
    </row>
    <row r="93" spans="1:1" x14ac:dyDescent="0.25">
      <c r="A93" s="42" t="s">
        <v>164</v>
      </c>
    </row>
    <row r="94" spans="1:1" x14ac:dyDescent="0.25">
      <c r="A94" s="42"/>
    </row>
    <row r="95" spans="1:1" x14ac:dyDescent="0.25">
      <c r="A95" s="42" t="s">
        <v>165</v>
      </c>
    </row>
    <row r="96" spans="1:1" x14ac:dyDescent="0.25">
      <c r="A96" s="42"/>
    </row>
    <row r="97" spans="1:1" x14ac:dyDescent="0.25">
      <c r="A97" s="42" t="s">
        <v>166</v>
      </c>
    </row>
    <row r="98" spans="1:1" x14ac:dyDescent="0.25">
      <c r="A98" s="42"/>
    </row>
    <row r="99" spans="1:1" x14ac:dyDescent="0.25">
      <c r="A99" s="42" t="s">
        <v>167</v>
      </c>
    </row>
    <row r="100" spans="1:1" x14ac:dyDescent="0.25">
      <c r="A100" s="42"/>
    </row>
    <row r="101" spans="1:1" x14ac:dyDescent="0.25">
      <c r="A101" s="42" t="s">
        <v>168</v>
      </c>
    </row>
    <row r="102" spans="1:1" x14ac:dyDescent="0.25">
      <c r="A102" s="42"/>
    </row>
    <row r="103" spans="1:1" x14ac:dyDescent="0.25">
      <c r="A103" s="42" t="s">
        <v>169</v>
      </c>
    </row>
    <row r="104" spans="1:1" x14ac:dyDescent="0.25">
      <c r="A104" s="42"/>
    </row>
    <row r="105" spans="1:1" x14ac:dyDescent="0.25">
      <c r="A105" s="42" t="s">
        <v>170</v>
      </c>
    </row>
    <row r="106" spans="1:1" x14ac:dyDescent="0.25">
      <c r="A106" s="42"/>
    </row>
    <row r="107" spans="1:1" x14ac:dyDescent="0.25">
      <c r="A107" s="42" t="s">
        <v>171</v>
      </c>
    </row>
    <row r="108" spans="1:1" x14ac:dyDescent="0.25">
      <c r="A108" s="42"/>
    </row>
    <row r="109" spans="1:1" x14ac:dyDescent="0.25">
      <c r="A109" s="42" t="s">
        <v>172</v>
      </c>
    </row>
    <row r="110" spans="1:1" x14ac:dyDescent="0.25">
      <c r="A110" s="42"/>
    </row>
    <row r="111" spans="1:1" x14ac:dyDescent="0.25">
      <c r="A111" s="42" t="s">
        <v>173</v>
      </c>
    </row>
    <row r="112" spans="1:1" x14ac:dyDescent="0.25">
      <c r="A112" s="42"/>
    </row>
    <row r="113" spans="1:1" x14ac:dyDescent="0.25">
      <c r="A113" s="42" t="s">
        <v>174</v>
      </c>
    </row>
    <row r="114" spans="1:1" x14ac:dyDescent="0.25">
      <c r="A114" s="42"/>
    </row>
    <row r="115" spans="1:1" x14ac:dyDescent="0.25">
      <c r="A115" s="42" t="s">
        <v>175</v>
      </c>
    </row>
    <row r="116" spans="1:1" x14ac:dyDescent="0.25">
      <c r="A116" s="42"/>
    </row>
    <row r="117" spans="1:1" x14ac:dyDescent="0.25">
      <c r="A117" s="42" t="s">
        <v>174</v>
      </c>
    </row>
    <row r="118" spans="1:1" x14ac:dyDescent="0.25">
      <c r="A118" s="42"/>
    </row>
    <row r="119" spans="1:1" x14ac:dyDescent="0.25">
      <c r="A119" s="42" t="s">
        <v>176</v>
      </c>
    </row>
    <row r="120" spans="1:1" x14ac:dyDescent="0.25">
      <c r="A120" s="42"/>
    </row>
    <row r="121" spans="1:1" x14ac:dyDescent="0.25">
      <c r="A121" s="42" t="s">
        <v>174</v>
      </c>
    </row>
    <row r="122" spans="1:1" x14ac:dyDescent="0.25">
      <c r="A122" s="42"/>
    </row>
    <row r="123" spans="1:1" x14ac:dyDescent="0.25">
      <c r="A123" s="42" t="s">
        <v>177</v>
      </c>
    </row>
    <row r="124" spans="1:1" x14ac:dyDescent="0.25">
      <c r="A124" s="42"/>
    </row>
    <row r="125" spans="1:1" x14ac:dyDescent="0.25">
      <c r="A125" s="42" t="s">
        <v>150</v>
      </c>
    </row>
    <row r="129" spans="1:1" x14ac:dyDescent="0.25">
      <c r="A129" s="41"/>
    </row>
  </sheetData>
  <mergeCells count="2">
    <mergeCell ref="A1:P4"/>
    <mergeCell ref="A5:N5"/>
  </mergeCells>
  <phoneticPr fontId="2" type="noConversion"/>
  <hyperlinks>
    <hyperlink ref="A5" r:id="rId1" xr:uid="{15895183-ADDF-4141-AB99-93606C94CD10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A9D5-035B-4B69-8F5F-A2DD6D504AE9}">
  <sheetPr codeName="工作表2"/>
  <dimension ref="A1:B2"/>
  <sheetViews>
    <sheetView workbookViewId="0">
      <selection activeCell="D6" sqref="D6"/>
    </sheetView>
  </sheetViews>
  <sheetFormatPr defaultRowHeight="16.5" x14ac:dyDescent="0.25"/>
  <cols>
    <col min="1" max="1" width="9.625" bestFit="1" customWidth="1"/>
    <col min="2" max="2" width="38.25" bestFit="1" customWidth="1"/>
  </cols>
  <sheetData>
    <row r="1" spans="1:2" x14ac:dyDescent="0.25">
      <c r="A1" s="40">
        <v>44689</v>
      </c>
      <c r="B1" t="s">
        <v>104</v>
      </c>
    </row>
    <row r="2" spans="1:2" x14ac:dyDescent="0.25">
      <c r="A2" s="40">
        <v>44738</v>
      </c>
      <c r="B2" t="s">
        <v>110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B25D5-7468-4427-9C0A-AACA03C54D42}">
  <sheetPr codeName="工作表18"/>
  <dimension ref="A1:R852"/>
  <sheetViews>
    <sheetView tabSelected="1" topLeftCell="A52" workbookViewId="0">
      <selection activeCell="F60" sqref="F60"/>
    </sheetView>
  </sheetViews>
  <sheetFormatPr defaultRowHeight="16.5" x14ac:dyDescent="0.25"/>
  <cols>
    <col min="1" max="1" width="12.25" bestFit="1" customWidth="1"/>
    <col min="2" max="2" width="13.625" bestFit="1" customWidth="1"/>
    <col min="3" max="3" width="16.5" bestFit="1" customWidth="1"/>
    <col min="10" max="10" width="8.875" style="50"/>
    <col min="14" max="14" width="10.375" bestFit="1" customWidth="1"/>
  </cols>
  <sheetData>
    <row r="1" spans="1:18" ht="33" x14ac:dyDescent="0.25">
      <c r="A1" s="45">
        <v>44855</v>
      </c>
      <c r="B1" s="46" t="s">
        <v>180</v>
      </c>
      <c r="C1" s="47" t="s">
        <v>181</v>
      </c>
      <c r="D1" s="46" t="s">
        <v>182</v>
      </c>
      <c r="E1" s="46" t="s">
        <v>183</v>
      </c>
      <c r="F1" s="46" t="s">
        <v>184</v>
      </c>
      <c r="G1" s="46" t="s">
        <v>185</v>
      </c>
      <c r="H1" s="46" t="s">
        <v>186</v>
      </c>
      <c r="I1" s="46"/>
      <c r="J1" s="48"/>
      <c r="P1" t="s">
        <v>187</v>
      </c>
      <c r="Q1" t="s">
        <v>188</v>
      </c>
      <c r="R1" t="s">
        <v>189</v>
      </c>
    </row>
    <row r="2" spans="1:18" x14ac:dyDescent="0.25">
      <c r="B2" s="46" t="s">
        <v>190</v>
      </c>
      <c r="C2" s="46" t="s">
        <v>191</v>
      </c>
      <c r="D2" s="46" t="s">
        <v>190</v>
      </c>
      <c r="E2" s="46" t="s">
        <v>191</v>
      </c>
      <c r="F2" s="46" t="s">
        <v>190</v>
      </c>
      <c r="G2" s="46" t="s">
        <v>191</v>
      </c>
      <c r="H2" s="46" t="s">
        <v>190</v>
      </c>
      <c r="I2" s="46" t="s">
        <v>191</v>
      </c>
      <c r="J2" s="48"/>
      <c r="P2" t="s">
        <v>192</v>
      </c>
      <c r="Q2" t="s">
        <v>192</v>
      </c>
      <c r="R2">
        <v>0</v>
      </c>
    </row>
    <row r="3" spans="1:18" ht="19.899999999999999" customHeight="1" x14ac:dyDescent="0.25">
      <c r="A3" t="str">
        <f>IF(COUNTIF(C3,"*TR*")&gt;0,SUBSTITUTE(RIGHT(B3,3) &amp; C3," ",""),MID(C3,FIND("(",C3)+1,4))</f>
        <v>IW#1MTR</v>
      </c>
      <c r="B3" s="46" t="s">
        <v>193</v>
      </c>
      <c r="C3" s="46" t="s">
        <v>194</v>
      </c>
      <c r="D3" s="46">
        <v>247</v>
      </c>
      <c r="E3" s="46" t="s">
        <v>195</v>
      </c>
      <c r="F3" s="46">
        <v>238</v>
      </c>
      <c r="G3" s="46" t="s">
        <v>195</v>
      </c>
      <c r="H3" s="46">
        <v>242</v>
      </c>
      <c r="I3" s="46" t="s">
        <v>195</v>
      </c>
      <c r="J3" s="48">
        <v>247</v>
      </c>
      <c r="K3" t="s">
        <v>196</v>
      </c>
      <c r="L3" t="s">
        <v>196</v>
      </c>
      <c r="P3" t="s">
        <v>192</v>
      </c>
      <c r="Q3" t="s">
        <v>192</v>
      </c>
      <c r="R3">
        <v>0</v>
      </c>
    </row>
    <row r="4" spans="1:18" ht="19.899999999999999" customHeight="1" x14ac:dyDescent="0.25">
      <c r="A4" t="str">
        <f t="shared" ref="A4:A67" si="0">IF(COUNTIF(C4,"*TR*")&gt;0,SUBSTITUTE(RIGHT(B4,3) &amp; C4," ",""),MID(C4,FIND("(",C4)+1,4))</f>
        <v>IW22</v>
      </c>
      <c r="B4" s="46" t="s">
        <v>193</v>
      </c>
      <c r="C4" s="46" t="s">
        <v>197</v>
      </c>
      <c r="D4" s="46">
        <v>71</v>
      </c>
      <c r="E4" s="46" t="s">
        <v>195</v>
      </c>
      <c r="F4" s="46">
        <v>85</v>
      </c>
      <c r="G4" s="46" t="s">
        <v>198</v>
      </c>
      <c r="H4" s="46">
        <v>84</v>
      </c>
      <c r="I4" s="46" t="s">
        <v>199</v>
      </c>
      <c r="J4" s="48">
        <v>85</v>
      </c>
      <c r="K4">
        <v>30</v>
      </c>
      <c r="L4" t="s">
        <v>200</v>
      </c>
      <c r="P4" t="s">
        <v>192</v>
      </c>
      <c r="Q4" t="s">
        <v>192</v>
      </c>
      <c r="R4">
        <v>0</v>
      </c>
    </row>
    <row r="5" spans="1:18" ht="19.899999999999999" customHeight="1" x14ac:dyDescent="0.25">
      <c r="A5" t="str">
        <f t="shared" si="0"/>
        <v>IW26</v>
      </c>
      <c r="B5" s="46" t="s">
        <v>193</v>
      </c>
      <c r="C5" s="46" t="s">
        <v>201</v>
      </c>
      <c r="D5" s="46">
        <v>16</v>
      </c>
      <c r="E5" s="46" t="s">
        <v>198</v>
      </c>
      <c r="F5" s="46">
        <v>9</v>
      </c>
      <c r="G5" s="46" t="s">
        <v>199</v>
      </c>
      <c r="H5" s="46">
        <v>12</v>
      </c>
      <c r="I5" s="46" t="s">
        <v>198</v>
      </c>
      <c r="J5" s="48">
        <v>16</v>
      </c>
      <c r="K5">
        <v>12</v>
      </c>
      <c r="L5" t="s">
        <v>202</v>
      </c>
      <c r="P5" t="s">
        <v>192</v>
      </c>
      <c r="Q5" t="s">
        <v>192</v>
      </c>
      <c r="R5">
        <v>0</v>
      </c>
    </row>
    <row r="6" spans="1:18" ht="19.899999999999999" customHeight="1" x14ac:dyDescent="0.25">
      <c r="A6" t="str">
        <f t="shared" si="0"/>
        <v>IW25</v>
      </c>
      <c r="B6" s="46" t="s">
        <v>193</v>
      </c>
      <c r="C6" s="46" t="s">
        <v>203</v>
      </c>
      <c r="D6" s="46">
        <v>45</v>
      </c>
      <c r="E6" s="46" t="s">
        <v>200</v>
      </c>
      <c r="F6" s="46">
        <v>36</v>
      </c>
      <c r="G6" s="46" t="s">
        <v>200</v>
      </c>
      <c r="H6" s="46">
        <v>48</v>
      </c>
      <c r="I6" s="46" t="s">
        <v>202</v>
      </c>
      <c r="J6" s="48">
        <v>48</v>
      </c>
      <c r="K6">
        <v>38</v>
      </c>
      <c r="L6" t="s">
        <v>204</v>
      </c>
      <c r="P6">
        <v>3</v>
      </c>
      <c r="Q6">
        <v>1</v>
      </c>
      <c r="R6">
        <v>4</v>
      </c>
    </row>
    <row r="7" spans="1:18" ht="19.899999999999999" customHeight="1" x14ac:dyDescent="0.25">
      <c r="A7" t="str">
        <f t="shared" si="0"/>
        <v>IW24</v>
      </c>
      <c r="B7" s="46" t="s">
        <v>193</v>
      </c>
      <c r="C7" s="46" t="s">
        <v>205</v>
      </c>
      <c r="D7" s="46">
        <v>15</v>
      </c>
      <c r="E7" s="46" t="s">
        <v>195</v>
      </c>
      <c r="F7" s="46">
        <v>13</v>
      </c>
      <c r="G7" s="46" t="s">
        <v>195</v>
      </c>
      <c r="H7" s="46">
        <v>7</v>
      </c>
      <c r="I7" s="46" t="s">
        <v>206</v>
      </c>
      <c r="J7" s="48">
        <v>15</v>
      </c>
      <c r="K7">
        <v>10</v>
      </c>
      <c r="L7" t="s">
        <v>195</v>
      </c>
      <c r="P7">
        <v>3</v>
      </c>
      <c r="Q7">
        <v>7</v>
      </c>
      <c r="R7">
        <v>10</v>
      </c>
    </row>
    <row r="8" spans="1:18" ht="19.899999999999999" customHeight="1" x14ac:dyDescent="0.25">
      <c r="A8" t="str">
        <f t="shared" si="0"/>
        <v>IW29</v>
      </c>
      <c r="B8" s="46" t="s">
        <v>193</v>
      </c>
      <c r="C8" s="46" t="s">
        <v>207</v>
      </c>
      <c r="D8" s="46">
        <v>120</v>
      </c>
      <c r="E8" s="46" t="s">
        <v>208</v>
      </c>
      <c r="F8" s="46">
        <v>123</v>
      </c>
      <c r="G8" s="46" t="s">
        <v>208</v>
      </c>
      <c r="H8" s="46">
        <v>112</v>
      </c>
      <c r="I8" s="46" t="s">
        <v>208</v>
      </c>
      <c r="J8" s="48">
        <v>123</v>
      </c>
      <c r="K8">
        <v>18</v>
      </c>
      <c r="L8" t="s">
        <v>198</v>
      </c>
      <c r="P8">
        <v>2</v>
      </c>
      <c r="Q8">
        <v>6</v>
      </c>
      <c r="R8">
        <v>8</v>
      </c>
    </row>
    <row r="9" spans="1:18" ht="19.899999999999999" customHeight="1" x14ac:dyDescent="0.25">
      <c r="A9" t="str">
        <f t="shared" si="0"/>
        <v>IW#2MTR</v>
      </c>
      <c r="B9" s="46" t="s">
        <v>193</v>
      </c>
      <c r="C9" s="46" t="s">
        <v>209</v>
      </c>
      <c r="D9" s="46">
        <v>510</v>
      </c>
      <c r="E9" s="46" t="s">
        <v>195</v>
      </c>
      <c r="F9" s="46">
        <v>471</v>
      </c>
      <c r="G9" s="46" t="s">
        <v>195</v>
      </c>
      <c r="H9" s="46">
        <v>463</v>
      </c>
      <c r="I9" s="46" t="s">
        <v>195</v>
      </c>
      <c r="J9" s="48">
        <v>510</v>
      </c>
      <c r="K9" t="s">
        <v>196</v>
      </c>
      <c r="L9" t="s">
        <v>196</v>
      </c>
      <c r="P9" t="s">
        <v>192</v>
      </c>
      <c r="Q9" t="s">
        <v>192</v>
      </c>
      <c r="R9">
        <v>0</v>
      </c>
    </row>
    <row r="10" spans="1:18" ht="19.899999999999999" customHeight="1" x14ac:dyDescent="0.25">
      <c r="A10" t="str">
        <f t="shared" si="0"/>
        <v>IW30</v>
      </c>
      <c r="B10" s="46" t="s">
        <v>193</v>
      </c>
      <c r="C10" s="46" t="s">
        <v>210</v>
      </c>
      <c r="D10" s="46">
        <v>50</v>
      </c>
      <c r="E10" s="46" t="s">
        <v>195</v>
      </c>
      <c r="F10" s="46">
        <v>38</v>
      </c>
      <c r="G10" s="46" t="s">
        <v>195</v>
      </c>
      <c r="H10" s="46">
        <v>64</v>
      </c>
      <c r="I10" s="46" t="s">
        <v>198</v>
      </c>
      <c r="J10" s="48">
        <v>64</v>
      </c>
      <c r="K10">
        <v>27</v>
      </c>
      <c r="L10" t="s">
        <v>198</v>
      </c>
      <c r="P10" t="s">
        <v>192</v>
      </c>
      <c r="Q10" t="s">
        <v>192</v>
      </c>
      <c r="R10">
        <v>0</v>
      </c>
    </row>
    <row r="11" spans="1:18" ht="19.899999999999999" customHeight="1" x14ac:dyDescent="0.25">
      <c r="A11" t="str">
        <f t="shared" si="0"/>
        <v>IW34</v>
      </c>
      <c r="B11" s="46" t="s">
        <v>193</v>
      </c>
      <c r="C11" s="46" t="s">
        <v>211</v>
      </c>
      <c r="D11" s="46">
        <v>197</v>
      </c>
      <c r="E11" s="46" t="s">
        <v>195</v>
      </c>
      <c r="F11" s="46">
        <v>203</v>
      </c>
      <c r="G11" s="46" t="s">
        <v>195</v>
      </c>
      <c r="H11" s="46">
        <v>165</v>
      </c>
      <c r="I11" s="46" t="s">
        <v>195</v>
      </c>
      <c r="J11" s="48">
        <v>203</v>
      </c>
      <c r="K11">
        <v>47</v>
      </c>
      <c r="L11" t="s">
        <v>195</v>
      </c>
      <c r="P11" t="s">
        <v>192</v>
      </c>
      <c r="Q11" t="s">
        <v>192</v>
      </c>
      <c r="R11">
        <v>0</v>
      </c>
    </row>
    <row r="12" spans="1:18" ht="19.899999999999999" customHeight="1" x14ac:dyDescent="0.25">
      <c r="A12" t="str">
        <f t="shared" si="0"/>
        <v>IW31</v>
      </c>
      <c r="B12" s="46" t="s">
        <v>193</v>
      </c>
      <c r="C12" s="46" t="s">
        <v>212</v>
      </c>
      <c r="D12" s="46">
        <v>66</v>
      </c>
      <c r="E12" s="46" t="s">
        <v>198</v>
      </c>
      <c r="F12" s="46">
        <v>41</v>
      </c>
      <c r="G12" s="46" t="s">
        <v>206</v>
      </c>
      <c r="H12" s="46">
        <v>40</v>
      </c>
      <c r="I12" s="46" t="s">
        <v>213</v>
      </c>
      <c r="J12" s="48">
        <v>66</v>
      </c>
      <c r="K12">
        <v>36</v>
      </c>
      <c r="L12" t="s">
        <v>198</v>
      </c>
      <c r="P12">
        <v>2</v>
      </c>
      <c r="Q12">
        <v>4</v>
      </c>
      <c r="R12">
        <v>6</v>
      </c>
    </row>
    <row r="13" spans="1:18" ht="19.899999999999999" customHeight="1" x14ac:dyDescent="0.25">
      <c r="A13" t="str">
        <f t="shared" si="0"/>
        <v>IW33</v>
      </c>
      <c r="B13" s="46" t="s">
        <v>193</v>
      </c>
      <c r="C13" s="46" t="s">
        <v>214</v>
      </c>
      <c r="D13" s="46">
        <v>139</v>
      </c>
      <c r="E13" s="46" t="s">
        <v>206</v>
      </c>
      <c r="F13" s="46">
        <v>143</v>
      </c>
      <c r="G13" s="46" t="s">
        <v>206</v>
      </c>
      <c r="H13" s="46">
        <v>144</v>
      </c>
      <c r="I13" s="46" t="s">
        <v>195</v>
      </c>
      <c r="J13" s="48">
        <v>144</v>
      </c>
      <c r="K13">
        <v>0</v>
      </c>
      <c r="L13" t="s">
        <v>215</v>
      </c>
      <c r="N13" t="e">
        <f>FIND("TR",C13)&gt;0</f>
        <v>#VALUE!</v>
      </c>
      <c r="P13">
        <v>1</v>
      </c>
      <c r="Q13">
        <v>1</v>
      </c>
      <c r="R13">
        <v>2</v>
      </c>
    </row>
    <row r="14" spans="1:18" ht="19.899999999999999" customHeight="1" x14ac:dyDescent="0.25">
      <c r="A14" t="str">
        <f t="shared" si="0"/>
        <v>IW32</v>
      </c>
      <c r="B14" s="46" t="s">
        <v>193</v>
      </c>
      <c r="C14" s="46" t="s">
        <v>216</v>
      </c>
      <c r="D14" s="46">
        <v>72</v>
      </c>
      <c r="E14" s="46" t="s">
        <v>195</v>
      </c>
      <c r="F14" s="46">
        <v>53</v>
      </c>
      <c r="G14" s="46" t="s">
        <v>195</v>
      </c>
      <c r="H14" s="46">
        <v>66</v>
      </c>
      <c r="I14" s="46" t="s">
        <v>195</v>
      </c>
      <c r="J14" s="48">
        <v>72</v>
      </c>
      <c r="K14">
        <v>30</v>
      </c>
      <c r="L14" t="s">
        <v>198</v>
      </c>
      <c r="P14">
        <v>28</v>
      </c>
      <c r="Q14">
        <v>6</v>
      </c>
      <c r="R14">
        <v>34</v>
      </c>
    </row>
    <row r="15" spans="1:18" ht="19.899999999999999" customHeight="1" x14ac:dyDescent="0.25">
      <c r="A15" t="str">
        <f t="shared" si="0"/>
        <v>IW#3MTR</v>
      </c>
      <c r="B15" s="46" t="s">
        <v>193</v>
      </c>
      <c r="C15" s="46" t="s">
        <v>217</v>
      </c>
      <c r="D15" s="46">
        <v>306</v>
      </c>
      <c r="E15" s="46" t="s">
        <v>218</v>
      </c>
      <c r="F15" s="46">
        <v>300</v>
      </c>
      <c r="G15" s="46" t="s">
        <v>218</v>
      </c>
      <c r="H15" s="46">
        <v>279</v>
      </c>
      <c r="I15" s="46" t="s">
        <v>202</v>
      </c>
      <c r="J15" s="48">
        <v>306</v>
      </c>
      <c r="K15" t="s">
        <v>196</v>
      </c>
      <c r="L15" t="s">
        <v>196</v>
      </c>
      <c r="N15">
        <f>COUNTIFS(C15,"*TR*")</f>
        <v>1</v>
      </c>
      <c r="P15">
        <v>0</v>
      </c>
      <c r="Q15">
        <v>1</v>
      </c>
      <c r="R15">
        <v>1</v>
      </c>
    </row>
    <row r="16" spans="1:18" ht="19.899999999999999" customHeight="1" x14ac:dyDescent="0.25">
      <c r="A16" t="str">
        <f t="shared" si="0"/>
        <v>IW21</v>
      </c>
      <c r="B16" s="46" t="s">
        <v>193</v>
      </c>
      <c r="C16" s="46" t="s">
        <v>219</v>
      </c>
      <c r="D16" s="46">
        <v>31</v>
      </c>
      <c r="E16" s="46" t="s">
        <v>198</v>
      </c>
      <c r="F16" s="46">
        <v>35</v>
      </c>
      <c r="G16" s="46" t="s">
        <v>198</v>
      </c>
      <c r="H16" s="46">
        <v>30</v>
      </c>
      <c r="I16" s="46" t="s">
        <v>198</v>
      </c>
      <c r="J16" s="48">
        <v>35</v>
      </c>
      <c r="K16">
        <v>11</v>
      </c>
      <c r="L16" t="s">
        <v>220</v>
      </c>
      <c r="P16">
        <v>9</v>
      </c>
      <c r="Q16">
        <v>5</v>
      </c>
      <c r="R16">
        <v>14</v>
      </c>
    </row>
    <row r="17" spans="1:18" ht="19.899999999999999" customHeight="1" x14ac:dyDescent="0.25">
      <c r="A17" t="str">
        <f t="shared" si="0"/>
        <v>IW20</v>
      </c>
      <c r="B17" s="46" t="s">
        <v>193</v>
      </c>
      <c r="C17" s="46" t="s">
        <v>221</v>
      </c>
      <c r="D17" s="46">
        <v>90</v>
      </c>
      <c r="E17" s="46" t="s">
        <v>206</v>
      </c>
      <c r="F17" s="46">
        <v>90</v>
      </c>
      <c r="G17" s="46" t="s">
        <v>198</v>
      </c>
      <c r="H17" s="46">
        <v>71</v>
      </c>
      <c r="I17" s="46" t="s">
        <v>206</v>
      </c>
      <c r="J17" s="48">
        <v>90</v>
      </c>
      <c r="K17">
        <v>31</v>
      </c>
      <c r="L17" t="s">
        <v>222</v>
      </c>
      <c r="P17">
        <v>8</v>
      </c>
      <c r="Q17">
        <v>2</v>
      </c>
      <c r="R17">
        <v>10</v>
      </c>
    </row>
    <row r="18" spans="1:18" ht="19.899999999999999" customHeight="1" x14ac:dyDescent="0.25">
      <c r="A18" t="str">
        <f t="shared" si="0"/>
        <v>IW27</v>
      </c>
      <c r="B18" s="46" t="s">
        <v>193</v>
      </c>
      <c r="C18" s="46" t="s">
        <v>223</v>
      </c>
      <c r="D18" s="46">
        <v>186</v>
      </c>
      <c r="E18" s="46" t="s">
        <v>218</v>
      </c>
      <c r="F18" s="46">
        <v>208</v>
      </c>
      <c r="G18" s="46" t="s">
        <v>218</v>
      </c>
      <c r="H18" s="46">
        <v>204</v>
      </c>
      <c r="I18" s="46" t="s">
        <v>218</v>
      </c>
      <c r="J18" s="48">
        <v>208</v>
      </c>
      <c r="K18">
        <v>26</v>
      </c>
      <c r="L18" t="s">
        <v>224</v>
      </c>
      <c r="P18">
        <v>31</v>
      </c>
      <c r="Q18">
        <v>5</v>
      </c>
      <c r="R18">
        <v>36</v>
      </c>
    </row>
    <row r="19" spans="1:18" ht="19.899999999999999" customHeight="1" x14ac:dyDescent="0.25">
      <c r="A19" t="str">
        <f t="shared" si="0"/>
        <v>IW23</v>
      </c>
      <c r="B19" s="46" t="s">
        <v>193</v>
      </c>
      <c r="C19" s="46" t="s">
        <v>225</v>
      </c>
      <c r="D19" s="46">
        <v>20</v>
      </c>
      <c r="E19" s="46" t="s">
        <v>195</v>
      </c>
      <c r="F19" s="46">
        <v>18</v>
      </c>
      <c r="G19" s="46" t="s">
        <v>199</v>
      </c>
      <c r="H19" s="46">
        <v>6</v>
      </c>
      <c r="I19" s="46" t="s">
        <v>202</v>
      </c>
      <c r="J19" s="48">
        <v>20</v>
      </c>
      <c r="K19">
        <v>23</v>
      </c>
      <c r="L19" t="s">
        <v>199</v>
      </c>
      <c r="P19">
        <v>1</v>
      </c>
      <c r="Q19">
        <v>2</v>
      </c>
      <c r="R19">
        <v>3</v>
      </c>
    </row>
    <row r="20" spans="1:18" ht="19.899999999999999" customHeight="1" x14ac:dyDescent="0.25">
      <c r="A20" t="str">
        <f t="shared" si="0"/>
        <v>IW28</v>
      </c>
      <c r="B20" s="46" t="s">
        <v>193</v>
      </c>
      <c r="C20" s="46" t="s">
        <v>226</v>
      </c>
      <c r="D20" s="46">
        <v>66</v>
      </c>
      <c r="E20" s="46" t="s">
        <v>227</v>
      </c>
      <c r="F20" s="46">
        <v>43</v>
      </c>
      <c r="G20" s="46" t="s">
        <v>199</v>
      </c>
      <c r="H20" s="46">
        <v>54</v>
      </c>
      <c r="I20" s="46" t="s">
        <v>227</v>
      </c>
      <c r="J20" s="48">
        <v>66</v>
      </c>
      <c r="K20">
        <v>45</v>
      </c>
      <c r="L20" t="s">
        <v>213</v>
      </c>
      <c r="P20" t="s">
        <v>192</v>
      </c>
      <c r="Q20" t="s">
        <v>192</v>
      </c>
      <c r="R20">
        <v>0</v>
      </c>
    </row>
    <row r="21" spans="1:18" ht="19.899999999999999" customHeight="1" x14ac:dyDescent="0.25">
      <c r="A21" t="str">
        <f t="shared" si="0"/>
        <v>IE#1MTR</v>
      </c>
      <c r="B21" s="46" t="s">
        <v>228</v>
      </c>
      <c r="C21" s="46" t="s">
        <v>194</v>
      </c>
      <c r="D21" s="46">
        <v>452</v>
      </c>
      <c r="E21" s="46" t="s">
        <v>195</v>
      </c>
      <c r="F21" s="46">
        <v>419</v>
      </c>
      <c r="G21" s="46" t="s">
        <v>195</v>
      </c>
      <c r="H21" s="46">
        <v>434</v>
      </c>
      <c r="I21" s="46" t="s">
        <v>195</v>
      </c>
      <c r="J21" s="48">
        <v>452</v>
      </c>
      <c r="K21" t="s">
        <v>196</v>
      </c>
      <c r="L21" t="s">
        <v>196</v>
      </c>
      <c r="P21" t="s">
        <v>192</v>
      </c>
      <c r="Q21" t="s">
        <v>192</v>
      </c>
      <c r="R21">
        <v>0</v>
      </c>
    </row>
    <row r="22" spans="1:18" ht="19.899999999999999" customHeight="1" x14ac:dyDescent="0.25">
      <c r="A22" t="str">
        <f t="shared" si="0"/>
        <v>IE25</v>
      </c>
      <c r="B22" s="46" t="s">
        <v>228</v>
      </c>
      <c r="C22" s="46" t="s">
        <v>229</v>
      </c>
      <c r="D22" s="46">
        <v>72</v>
      </c>
      <c r="E22" s="46" t="s">
        <v>195</v>
      </c>
      <c r="F22" s="46">
        <v>73</v>
      </c>
      <c r="G22" s="46" t="s">
        <v>202</v>
      </c>
      <c r="H22" s="46">
        <v>76</v>
      </c>
      <c r="I22" s="46" t="s">
        <v>195</v>
      </c>
      <c r="J22" s="48">
        <v>76</v>
      </c>
      <c r="K22">
        <v>18</v>
      </c>
      <c r="L22" t="s">
        <v>199</v>
      </c>
      <c r="P22">
        <v>9</v>
      </c>
      <c r="Q22">
        <v>10</v>
      </c>
      <c r="R22">
        <v>19</v>
      </c>
    </row>
    <row r="23" spans="1:18" ht="19.899999999999999" customHeight="1" x14ac:dyDescent="0.25">
      <c r="A23" t="str">
        <f t="shared" si="0"/>
        <v>IE24</v>
      </c>
      <c r="B23" s="46" t="s">
        <v>228</v>
      </c>
      <c r="C23" s="46" t="s">
        <v>230</v>
      </c>
      <c r="D23" s="46">
        <v>31</v>
      </c>
      <c r="E23" s="46" t="s">
        <v>231</v>
      </c>
      <c r="F23" s="46">
        <v>43</v>
      </c>
      <c r="G23" s="46" t="s">
        <v>222</v>
      </c>
      <c r="H23" s="46">
        <v>33</v>
      </c>
      <c r="I23" s="46" t="s">
        <v>222</v>
      </c>
      <c r="J23" s="48">
        <v>43</v>
      </c>
      <c r="K23">
        <v>19</v>
      </c>
      <c r="L23" t="s">
        <v>227</v>
      </c>
      <c r="P23">
        <v>52</v>
      </c>
      <c r="Q23">
        <v>12</v>
      </c>
      <c r="R23">
        <v>64</v>
      </c>
    </row>
    <row r="24" spans="1:18" ht="19.899999999999999" customHeight="1" x14ac:dyDescent="0.25">
      <c r="A24" t="str">
        <f t="shared" si="0"/>
        <v>IE21</v>
      </c>
      <c r="B24" s="46" t="s">
        <v>228</v>
      </c>
      <c r="C24" s="46" t="s">
        <v>232</v>
      </c>
      <c r="D24" s="46">
        <v>111</v>
      </c>
      <c r="E24" s="46" t="s">
        <v>231</v>
      </c>
      <c r="F24" s="46">
        <v>108</v>
      </c>
      <c r="G24" s="46" t="s">
        <v>222</v>
      </c>
      <c r="H24" s="46">
        <v>93</v>
      </c>
      <c r="I24" s="46" t="s">
        <v>231</v>
      </c>
      <c r="J24" s="48">
        <v>111</v>
      </c>
      <c r="K24">
        <v>37</v>
      </c>
      <c r="L24" t="s">
        <v>227</v>
      </c>
      <c r="P24">
        <v>15</v>
      </c>
      <c r="Q24">
        <v>9</v>
      </c>
      <c r="R24">
        <v>24</v>
      </c>
    </row>
    <row r="25" spans="1:18" ht="19.899999999999999" customHeight="1" x14ac:dyDescent="0.25">
      <c r="A25" t="str">
        <f t="shared" si="0"/>
        <v>IE27</v>
      </c>
      <c r="B25" s="46" t="s">
        <v>228</v>
      </c>
      <c r="C25" s="46" t="s">
        <v>233</v>
      </c>
      <c r="D25" s="46">
        <v>205</v>
      </c>
      <c r="E25" s="46" t="s">
        <v>195</v>
      </c>
      <c r="F25" s="46">
        <v>201</v>
      </c>
      <c r="G25" s="46" t="s">
        <v>195</v>
      </c>
      <c r="H25" s="46">
        <v>183</v>
      </c>
      <c r="I25" s="46" t="s">
        <v>195</v>
      </c>
      <c r="J25" s="48">
        <v>205</v>
      </c>
      <c r="K25">
        <v>39</v>
      </c>
      <c r="L25" t="s">
        <v>227</v>
      </c>
      <c r="P25">
        <v>15</v>
      </c>
      <c r="Q25">
        <v>5</v>
      </c>
      <c r="R25">
        <v>20</v>
      </c>
    </row>
    <row r="26" spans="1:18" ht="19.899999999999999" customHeight="1" x14ac:dyDescent="0.25">
      <c r="A26" t="str">
        <f t="shared" si="0"/>
        <v>IE22</v>
      </c>
      <c r="B26" s="46" t="s">
        <v>228</v>
      </c>
      <c r="C26" s="46" t="s">
        <v>234</v>
      </c>
      <c r="D26" s="46">
        <v>126</v>
      </c>
      <c r="E26" s="46" t="s">
        <v>195</v>
      </c>
      <c r="F26" s="46">
        <v>106</v>
      </c>
      <c r="G26" s="46" t="s">
        <v>235</v>
      </c>
      <c r="H26" s="46">
        <v>120</v>
      </c>
      <c r="I26" s="46" t="s">
        <v>206</v>
      </c>
      <c r="J26" s="48">
        <v>126</v>
      </c>
      <c r="K26">
        <v>47</v>
      </c>
      <c r="L26" t="s">
        <v>206</v>
      </c>
      <c r="P26">
        <v>8</v>
      </c>
      <c r="Q26">
        <v>11</v>
      </c>
      <c r="R26">
        <v>19</v>
      </c>
    </row>
    <row r="27" spans="1:18" ht="19.899999999999999" customHeight="1" x14ac:dyDescent="0.25">
      <c r="A27" t="str">
        <f t="shared" si="0"/>
        <v>IE#2MTR</v>
      </c>
      <c r="B27" s="46" t="s">
        <v>228</v>
      </c>
      <c r="C27" s="46" t="s">
        <v>209</v>
      </c>
      <c r="D27" s="46">
        <v>617</v>
      </c>
      <c r="E27" s="46" t="s">
        <v>195</v>
      </c>
      <c r="F27" s="46">
        <v>638</v>
      </c>
      <c r="G27" s="46" t="s">
        <v>195</v>
      </c>
      <c r="H27" s="46">
        <v>761</v>
      </c>
      <c r="I27" s="46" t="s">
        <v>195</v>
      </c>
      <c r="J27" s="48">
        <v>761</v>
      </c>
      <c r="K27" t="s">
        <v>196</v>
      </c>
      <c r="L27" t="s">
        <v>196</v>
      </c>
      <c r="P27">
        <v>8</v>
      </c>
      <c r="Q27">
        <v>4</v>
      </c>
      <c r="R27">
        <v>12</v>
      </c>
    </row>
    <row r="28" spans="1:18" ht="19.899999999999999" customHeight="1" x14ac:dyDescent="0.25">
      <c r="A28" t="str">
        <f t="shared" si="0"/>
        <v>IE23</v>
      </c>
      <c r="B28" s="46" t="s">
        <v>228</v>
      </c>
      <c r="C28" s="46" t="s">
        <v>236</v>
      </c>
      <c r="D28" s="46">
        <v>68</v>
      </c>
      <c r="E28" s="46" t="s">
        <v>195</v>
      </c>
      <c r="F28" s="46">
        <v>68</v>
      </c>
      <c r="G28" s="46" t="s">
        <v>235</v>
      </c>
      <c r="H28" s="46">
        <v>104</v>
      </c>
      <c r="I28" s="46" t="s">
        <v>195</v>
      </c>
      <c r="J28" s="48">
        <v>104</v>
      </c>
      <c r="K28">
        <v>53</v>
      </c>
      <c r="L28" t="s">
        <v>195</v>
      </c>
      <c r="P28">
        <v>24</v>
      </c>
      <c r="Q28">
        <v>15</v>
      </c>
      <c r="R28">
        <v>39</v>
      </c>
    </row>
    <row r="29" spans="1:18" ht="19.899999999999999" customHeight="1" x14ac:dyDescent="0.25">
      <c r="A29" t="str">
        <f t="shared" si="0"/>
        <v>IE28</v>
      </c>
      <c r="B29" s="46" t="s">
        <v>228</v>
      </c>
      <c r="C29" s="46" t="s">
        <v>237</v>
      </c>
      <c r="D29" s="46">
        <v>67</v>
      </c>
      <c r="E29" s="46" t="s">
        <v>195</v>
      </c>
      <c r="F29" s="46">
        <v>70</v>
      </c>
      <c r="G29" s="46" t="s">
        <v>206</v>
      </c>
      <c r="H29" s="46">
        <v>109</v>
      </c>
      <c r="I29" s="46" t="s">
        <v>195</v>
      </c>
      <c r="J29" s="48">
        <v>109</v>
      </c>
      <c r="K29">
        <v>48</v>
      </c>
      <c r="L29" t="s">
        <v>238</v>
      </c>
      <c r="P29">
        <v>6</v>
      </c>
      <c r="Q29">
        <v>4</v>
      </c>
      <c r="R29">
        <v>10</v>
      </c>
    </row>
    <row r="30" spans="1:18" ht="19.899999999999999" customHeight="1" x14ac:dyDescent="0.25">
      <c r="A30" t="str">
        <f t="shared" si="0"/>
        <v>IE20</v>
      </c>
      <c r="B30" s="46" t="s">
        <v>228</v>
      </c>
      <c r="C30" s="46" t="s">
        <v>239</v>
      </c>
      <c r="D30" s="46">
        <v>115</v>
      </c>
      <c r="E30" s="46" t="s">
        <v>195</v>
      </c>
      <c r="F30" s="46">
        <v>111</v>
      </c>
      <c r="G30" s="46" t="s">
        <v>195</v>
      </c>
      <c r="H30" s="46">
        <v>127</v>
      </c>
      <c r="I30" s="46" t="s">
        <v>195</v>
      </c>
      <c r="J30" s="48">
        <v>127</v>
      </c>
      <c r="K30">
        <v>29</v>
      </c>
      <c r="L30" t="s">
        <v>235</v>
      </c>
      <c r="P30">
        <v>29</v>
      </c>
      <c r="Q30">
        <v>15</v>
      </c>
      <c r="R30">
        <v>44</v>
      </c>
    </row>
    <row r="31" spans="1:18" ht="19.899999999999999" customHeight="1" x14ac:dyDescent="0.25">
      <c r="A31" t="str">
        <f t="shared" si="0"/>
        <v>IE26</v>
      </c>
      <c r="B31" s="46" t="s">
        <v>228</v>
      </c>
      <c r="C31" s="46" t="s">
        <v>240</v>
      </c>
      <c r="D31" s="46">
        <v>139</v>
      </c>
      <c r="E31" s="46" t="s">
        <v>206</v>
      </c>
      <c r="F31" s="46">
        <v>174</v>
      </c>
      <c r="G31" s="46" t="s">
        <v>195</v>
      </c>
      <c r="H31" s="46">
        <v>182</v>
      </c>
      <c r="I31" s="46" t="s">
        <v>206</v>
      </c>
      <c r="J31" s="48">
        <v>182</v>
      </c>
      <c r="K31">
        <v>45</v>
      </c>
      <c r="L31" t="s">
        <v>195</v>
      </c>
      <c r="P31" t="s">
        <v>192</v>
      </c>
      <c r="Q31" t="s">
        <v>192</v>
      </c>
      <c r="R31">
        <v>0</v>
      </c>
    </row>
    <row r="32" spans="1:18" ht="19.899999999999999" customHeight="1" x14ac:dyDescent="0.25">
      <c r="A32" t="str">
        <f t="shared" si="0"/>
        <v>IE29</v>
      </c>
      <c r="B32" s="46" t="s">
        <v>228</v>
      </c>
      <c r="C32" s="46" t="s">
        <v>241</v>
      </c>
      <c r="D32" s="46">
        <v>228</v>
      </c>
      <c r="E32" s="46" t="s">
        <v>195</v>
      </c>
      <c r="F32" s="46">
        <v>230</v>
      </c>
      <c r="G32" s="46" t="s">
        <v>195</v>
      </c>
      <c r="H32" s="46">
        <v>246</v>
      </c>
      <c r="I32" s="46" t="s">
        <v>195</v>
      </c>
      <c r="J32" s="48">
        <v>246</v>
      </c>
      <c r="K32">
        <v>64</v>
      </c>
      <c r="L32" t="s">
        <v>199</v>
      </c>
      <c r="P32">
        <v>863</v>
      </c>
      <c r="Q32">
        <v>2</v>
      </c>
      <c r="R32">
        <v>865</v>
      </c>
    </row>
    <row r="33" spans="1:18" ht="19.899999999999999" customHeight="1" x14ac:dyDescent="0.25">
      <c r="A33" t="str">
        <f t="shared" si="0"/>
        <v>IM#1MTR</v>
      </c>
      <c r="B33" s="46" t="s">
        <v>242</v>
      </c>
      <c r="C33" s="46" t="s">
        <v>194</v>
      </c>
      <c r="D33" s="46">
        <v>346</v>
      </c>
      <c r="E33" s="46" t="s">
        <v>199</v>
      </c>
      <c r="F33" s="46">
        <v>389</v>
      </c>
      <c r="G33" s="46" t="s">
        <v>199</v>
      </c>
      <c r="H33" s="46">
        <v>354</v>
      </c>
      <c r="I33" s="46" t="s">
        <v>199</v>
      </c>
      <c r="J33" s="48">
        <v>389</v>
      </c>
      <c r="K33" t="s">
        <v>196</v>
      </c>
      <c r="L33" t="s">
        <v>196</v>
      </c>
      <c r="P33" t="s">
        <v>192</v>
      </c>
      <c r="Q33" t="s">
        <v>192</v>
      </c>
      <c r="R33">
        <v>0</v>
      </c>
    </row>
    <row r="34" spans="1:18" ht="19.899999999999999" customHeight="1" x14ac:dyDescent="0.25">
      <c r="A34" t="str">
        <f t="shared" si="0"/>
        <v>IM30</v>
      </c>
      <c r="B34" s="46" t="s">
        <v>242</v>
      </c>
      <c r="C34" s="46" t="s">
        <v>243</v>
      </c>
      <c r="D34" s="46">
        <v>47</v>
      </c>
      <c r="E34" s="46" t="s">
        <v>206</v>
      </c>
      <c r="F34" s="46">
        <v>64</v>
      </c>
      <c r="G34" s="46" t="s">
        <v>206</v>
      </c>
      <c r="H34" s="46">
        <v>88</v>
      </c>
      <c r="I34" s="46" t="s">
        <v>195</v>
      </c>
      <c r="J34" s="48">
        <v>88</v>
      </c>
      <c r="K34">
        <v>49</v>
      </c>
      <c r="L34" t="s">
        <v>195</v>
      </c>
      <c r="P34">
        <v>3718</v>
      </c>
      <c r="Q34">
        <v>1</v>
      </c>
      <c r="R34">
        <v>3719</v>
      </c>
    </row>
    <row r="35" spans="1:18" ht="19.899999999999999" customHeight="1" x14ac:dyDescent="0.25">
      <c r="A35" t="str">
        <f t="shared" si="0"/>
        <v>IM29</v>
      </c>
      <c r="B35" s="46" t="s">
        <v>242</v>
      </c>
      <c r="C35" s="46" t="s">
        <v>244</v>
      </c>
      <c r="D35" s="46">
        <v>30</v>
      </c>
      <c r="E35" s="46" t="s">
        <v>206</v>
      </c>
      <c r="F35" s="46">
        <v>42</v>
      </c>
      <c r="G35" s="46" t="s">
        <v>206</v>
      </c>
      <c r="H35" s="46">
        <v>52</v>
      </c>
      <c r="I35" s="46" t="s">
        <v>235</v>
      </c>
      <c r="J35" s="48">
        <v>52</v>
      </c>
      <c r="K35">
        <v>27</v>
      </c>
      <c r="L35" t="s">
        <v>235</v>
      </c>
      <c r="P35">
        <v>3804</v>
      </c>
      <c r="Q35">
        <v>2</v>
      </c>
      <c r="R35">
        <v>3806</v>
      </c>
    </row>
    <row r="36" spans="1:18" ht="19.899999999999999" customHeight="1" x14ac:dyDescent="0.25">
      <c r="A36" t="str">
        <f t="shared" si="0"/>
        <v>IM26</v>
      </c>
      <c r="B36" s="46" t="s">
        <v>242</v>
      </c>
      <c r="C36" s="46" t="s">
        <v>245</v>
      </c>
      <c r="D36" s="46">
        <v>81</v>
      </c>
      <c r="E36" s="46" t="s">
        <v>204</v>
      </c>
      <c r="F36" s="46">
        <v>89</v>
      </c>
      <c r="G36" s="46" t="s">
        <v>227</v>
      </c>
      <c r="H36" s="46">
        <v>75</v>
      </c>
      <c r="I36" s="46" t="s">
        <v>227</v>
      </c>
      <c r="J36" s="48">
        <v>89</v>
      </c>
      <c r="K36">
        <v>40</v>
      </c>
      <c r="L36" t="s">
        <v>231</v>
      </c>
      <c r="P36">
        <v>1954</v>
      </c>
      <c r="Q36">
        <v>3</v>
      </c>
      <c r="R36">
        <v>1957</v>
      </c>
    </row>
    <row r="37" spans="1:18" ht="19.899999999999999" customHeight="1" x14ac:dyDescent="0.25">
      <c r="A37" t="str">
        <f t="shared" si="0"/>
        <v>IM22</v>
      </c>
      <c r="B37" s="46" t="s">
        <v>242</v>
      </c>
      <c r="C37" s="46" t="s">
        <v>246</v>
      </c>
      <c r="D37" s="46">
        <v>173</v>
      </c>
      <c r="E37" s="46" t="s">
        <v>199</v>
      </c>
      <c r="F37" s="46">
        <v>197</v>
      </c>
      <c r="G37" s="46" t="s">
        <v>199</v>
      </c>
      <c r="H37" s="46">
        <v>161</v>
      </c>
      <c r="I37" s="46" t="s">
        <v>199</v>
      </c>
      <c r="J37" s="48">
        <v>197</v>
      </c>
      <c r="K37">
        <v>52</v>
      </c>
      <c r="L37" t="s">
        <v>222</v>
      </c>
      <c r="P37">
        <v>140</v>
      </c>
      <c r="Q37" t="s">
        <v>192</v>
      </c>
      <c r="R37">
        <v>140</v>
      </c>
    </row>
    <row r="38" spans="1:18" ht="19.899999999999999" customHeight="1" x14ac:dyDescent="0.25">
      <c r="A38" t="str">
        <f t="shared" si="0"/>
        <v>IM20</v>
      </c>
      <c r="B38" s="46" t="s">
        <v>242</v>
      </c>
      <c r="C38" s="46" t="s">
        <v>247</v>
      </c>
      <c r="D38" s="46">
        <v>31</v>
      </c>
      <c r="E38" s="46" t="s">
        <v>199</v>
      </c>
      <c r="F38" s="46">
        <v>28</v>
      </c>
      <c r="G38" s="46" t="s">
        <v>199</v>
      </c>
      <c r="H38" s="46">
        <v>25</v>
      </c>
      <c r="I38" s="46" t="s">
        <v>199</v>
      </c>
      <c r="J38" s="48">
        <v>31</v>
      </c>
      <c r="K38">
        <v>19</v>
      </c>
      <c r="L38" t="s">
        <v>235</v>
      </c>
      <c r="P38">
        <v>3750</v>
      </c>
      <c r="Q38">
        <v>2</v>
      </c>
      <c r="R38">
        <v>3752</v>
      </c>
    </row>
    <row r="39" spans="1:18" ht="19.899999999999999" customHeight="1" x14ac:dyDescent="0.25">
      <c r="A39" t="str">
        <f t="shared" si="0"/>
        <v>IM#2MTR</v>
      </c>
      <c r="B39" s="46" t="s">
        <v>242</v>
      </c>
      <c r="C39" s="46" t="s">
        <v>209</v>
      </c>
      <c r="D39" s="46">
        <v>353</v>
      </c>
      <c r="E39" s="46" t="s">
        <v>195</v>
      </c>
      <c r="F39" s="46">
        <v>376</v>
      </c>
      <c r="G39" s="46" t="s">
        <v>199</v>
      </c>
      <c r="H39" s="46">
        <v>314</v>
      </c>
      <c r="I39" s="46" t="s">
        <v>199</v>
      </c>
      <c r="J39" s="48">
        <v>376</v>
      </c>
      <c r="K39" t="s">
        <v>196</v>
      </c>
      <c r="L39" t="s">
        <v>196</v>
      </c>
      <c r="P39">
        <v>829</v>
      </c>
      <c r="Q39">
        <v>8</v>
      </c>
      <c r="R39">
        <v>837</v>
      </c>
    </row>
    <row r="40" spans="1:18" ht="19.899999999999999" customHeight="1" x14ac:dyDescent="0.25">
      <c r="A40" t="str">
        <f t="shared" si="0"/>
        <v>IM28</v>
      </c>
      <c r="B40" s="46" t="s">
        <v>242</v>
      </c>
      <c r="C40" s="46" t="s">
        <v>248</v>
      </c>
      <c r="D40" s="46">
        <v>57</v>
      </c>
      <c r="E40" s="46" t="s">
        <v>206</v>
      </c>
      <c r="F40" s="46">
        <v>75</v>
      </c>
      <c r="G40" s="46" t="s">
        <v>227</v>
      </c>
      <c r="H40" s="46">
        <v>80</v>
      </c>
      <c r="I40" s="46" t="s">
        <v>200</v>
      </c>
      <c r="J40" s="48">
        <v>80</v>
      </c>
      <c r="K40">
        <v>49</v>
      </c>
      <c r="L40" t="s">
        <v>200</v>
      </c>
      <c r="P40">
        <v>3108</v>
      </c>
      <c r="Q40">
        <v>1</v>
      </c>
      <c r="R40">
        <v>3109</v>
      </c>
    </row>
    <row r="41" spans="1:18" ht="19.899999999999999" customHeight="1" x14ac:dyDescent="0.25">
      <c r="A41" t="str">
        <f t="shared" si="0"/>
        <v>IM27</v>
      </c>
      <c r="B41" s="46" t="s">
        <v>242</v>
      </c>
      <c r="C41" s="46" t="s">
        <v>249</v>
      </c>
      <c r="D41" s="46">
        <v>73</v>
      </c>
      <c r="E41" s="46" t="s">
        <v>195</v>
      </c>
      <c r="F41" s="46">
        <v>74</v>
      </c>
      <c r="G41" s="46" t="s">
        <v>195</v>
      </c>
      <c r="H41" s="46">
        <v>67</v>
      </c>
      <c r="I41" s="46" t="s">
        <v>206</v>
      </c>
      <c r="J41" s="48">
        <v>74</v>
      </c>
      <c r="K41">
        <v>30</v>
      </c>
      <c r="L41" t="s">
        <v>200</v>
      </c>
      <c r="P41">
        <v>3041</v>
      </c>
      <c r="Q41">
        <v>5</v>
      </c>
      <c r="R41">
        <v>3046</v>
      </c>
    </row>
    <row r="42" spans="1:18" ht="19.899999999999999" customHeight="1" x14ac:dyDescent="0.25">
      <c r="A42" t="str">
        <f t="shared" si="0"/>
        <v>IM25</v>
      </c>
      <c r="B42" s="46" t="s">
        <v>242</v>
      </c>
      <c r="C42" s="46" t="s">
        <v>250</v>
      </c>
      <c r="D42" s="46">
        <v>223</v>
      </c>
      <c r="E42" s="46" t="s">
        <v>195</v>
      </c>
      <c r="F42" s="46">
        <v>198</v>
      </c>
      <c r="G42" s="46" t="s">
        <v>199</v>
      </c>
      <c r="H42" s="46">
        <v>183</v>
      </c>
      <c r="I42" s="46" t="s">
        <v>199</v>
      </c>
      <c r="J42" s="48">
        <v>223</v>
      </c>
      <c r="K42">
        <v>66</v>
      </c>
      <c r="L42" t="s">
        <v>235</v>
      </c>
      <c r="P42">
        <v>1498</v>
      </c>
      <c r="Q42">
        <v>1</v>
      </c>
      <c r="R42">
        <v>1499</v>
      </c>
    </row>
    <row r="43" spans="1:18" ht="19.899999999999999" customHeight="1" x14ac:dyDescent="0.25">
      <c r="A43" t="str">
        <f t="shared" si="0"/>
        <v>IM24</v>
      </c>
      <c r="B43" s="46" t="s">
        <v>242</v>
      </c>
      <c r="C43" s="46" t="s">
        <v>251</v>
      </c>
      <c r="D43" s="46">
        <v>0</v>
      </c>
      <c r="E43" s="46" t="s">
        <v>215</v>
      </c>
      <c r="F43" s="46">
        <v>0</v>
      </c>
      <c r="G43" s="46" t="s">
        <v>215</v>
      </c>
      <c r="H43" s="46">
        <v>0</v>
      </c>
      <c r="I43" s="46" t="s">
        <v>215</v>
      </c>
      <c r="J43" s="48">
        <v>0</v>
      </c>
      <c r="K43">
        <v>0</v>
      </c>
      <c r="L43" t="s">
        <v>215</v>
      </c>
      <c r="P43">
        <v>2423</v>
      </c>
      <c r="Q43" t="s">
        <v>192</v>
      </c>
      <c r="R43">
        <v>2423</v>
      </c>
    </row>
    <row r="44" spans="1:18" ht="19.899999999999999" customHeight="1" x14ac:dyDescent="0.25">
      <c r="A44" t="str">
        <f t="shared" si="0"/>
        <v>IM23</v>
      </c>
      <c r="B44" s="46" t="s">
        <v>242</v>
      </c>
      <c r="C44" s="46" t="s">
        <v>252</v>
      </c>
      <c r="D44" s="46">
        <v>15</v>
      </c>
      <c r="E44" s="46" t="s">
        <v>195</v>
      </c>
      <c r="F44" s="46">
        <v>48</v>
      </c>
      <c r="G44" s="46" t="s">
        <v>213</v>
      </c>
      <c r="H44" s="46">
        <v>31</v>
      </c>
      <c r="I44" s="46" t="s">
        <v>213</v>
      </c>
      <c r="J44" s="48">
        <v>48</v>
      </c>
      <c r="K44">
        <v>53</v>
      </c>
      <c r="L44" t="s">
        <v>213</v>
      </c>
      <c r="P44">
        <v>2780</v>
      </c>
      <c r="Q44">
        <v>1</v>
      </c>
      <c r="R44">
        <v>2781</v>
      </c>
    </row>
    <row r="45" spans="1:18" ht="19.899999999999999" customHeight="1" x14ac:dyDescent="0.25">
      <c r="A45" t="str">
        <f t="shared" si="0"/>
        <v>IM#3MTR</v>
      </c>
      <c r="B45" s="46" t="s">
        <v>242</v>
      </c>
      <c r="C45" s="46" t="s">
        <v>217</v>
      </c>
      <c r="D45" s="46" t="s">
        <v>196</v>
      </c>
      <c r="E45" s="46" t="s">
        <v>196</v>
      </c>
      <c r="F45" s="46" t="s">
        <v>196</v>
      </c>
      <c r="G45" s="46" t="s">
        <v>196</v>
      </c>
      <c r="H45" s="46" t="s">
        <v>196</v>
      </c>
      <c r="I45" s="46" t="s">
        <v>196</v>
      </c>
      <c r="J45" s="48" t="s">
        <v>196</v>
      </c>
      <c r="K45" t="s">
        <v>196</v>
      </c>
      <c r="L45" t="s">
        <v>196</v>
      </c>
      <c r="P45">
        <v>1157</v>
      </c>
      <c r="Q45" t="s">
        <v>192</v>
      </c>
      <c r="R45">
        <v>1157</v>
      </c>
    </row>
    <row r="46" spans="1:18" ht="19.899999999999999" customHeight="1" x14ac:dyDescent="0.25">
      <c r="A46" t="str">
        <f t="shared" si="0"/>
        <v>IM21</v>
      </c>
      <c r="B46" s="46" t="s">
        <v>242</v>
      </c>
      <c r="C46" s="46" t="s">
        <v>253</v>
      </c>
      <c r="D46" s="46">
        <v>0</v>
      </c>
      <c r="E46" s="46" t="s">
        <v>215</v>
      </c>
      <c r="F46" s="46">
        <v>0</v>
      </c>
      <c r="G46" s="46" t="s">
        <v>215</v>
      </c>
      <c r="H46" s="46">
        <v>0</v>
      </c>
      <c r="I46" s="46" t="s">
        <v>215</v>
      </c>
      <c r="J46" s="48">
        <v>0</v>
      </c>
      <c r="K46">
        <v>0</v>
      </c>
      <c r="L46" t="s">
        <v>215</v>
      </c>
      <c r="P46">
        <v>1395</v>
      </c>
      <c r="Q46">
        <v>6</v>
      </c>
      <c r="R46">
        <v>1401</v>
      </c>
    </row>
    <row r="47" spans="1:18" ht="19.899999999999999" customHeight="1" x14ac:dyDescent="0.25">
      <c r="A47" t="str">
        <f t="shared" si="0"/>
        <v>IN#1MTR</v>
      </c>
      <c r="B47" s="46" t="s">
        <v>254</v>
      </c>
      <c r="C47" s="46" t="s">
        <v>194</v>
      </c>
      <c r="D47" s="46">
        <v>601</v>
      </c>
      <c r="E47" s="46" t="s">
        <v>227</v>
      </c>
      <c r="F47" s="46">
        <v>596</v>
      </c>
      <c r="G47" s="46" t="s">
        <v>227</v>
      </c>
      <c r="H47" s="46">
        <v>637</v>
      </c>
      <c r="I47" s="46" t="s">
        <v>227</v>
      </c>
      <c r="J47" s="48">
        <v>637</v>
      </c>
      <c r="K47" t="s">
        <v>196</v>
      </c>
      <c r="L47" t="s">
        <v>196</v>
      </c>
      <c r="P47">
        <v>335</v>
      </c>
      <c r="Q47">
        <v>3</v>
      </c>
      <c r="R47">
        <v>338</v>
      </c>
    </row>
    <row r="48" spans="1:18" ht="19.899999999999999" customHeight="1" x14ac:dyDescent="0.25">
      <c r="A48" t="str">
        <f t="shared" si="0"/>
        <v>IN28</v>
      </c>
      <c r="B48" s="46" t="s">
        <v>254</v>
      </c>
      <c r="C48" s="46" t="s">
        <v>255</v>
      </c>
      <c r="D48" s="46">
        <v>285</v>
      </c>
      <c r="E48" s="46" t="s">
        <v>200</v>
      </c>
      <c r="F48" s="46">
        <v>293</v>
      </c>
      <c r="G48" s="46" t="s">
        <v>199</v>
      </c>
      <c r="H48" s="46">
        <v>305</v>
      </c>
      <c r="I48" s="46" t="s">
        <v>200</v>
      </c>
      <c r="J48" s="48">
        <v>305</v>
      </c>
      <c r="K48">
        <v>48</v>
      </c>
      <c r="L48" t="s">
        <v>235</v>
      </c>
      <c r="P48">
        <v>2530</v>
      </c>
      <c r="Q48" t="s">
        <v>192</v>
      </c>
      <c r="R48">
        <v>2530</v>
      </c>
    </row>
    <row r="49" spans="1:18" ht="19.899999999999999" customHeight="1" x14ac:dyDescent="0.25">
      <c r="A49" t="str">
        <f t="shared" si="0"/>
        <v>IN24</v>
      </c>
      <c r="B49" s="46" t="s">
        <v>254</v>
      </c>
      <c r="C49" s="46" t="s">
        <v>256</v>
      </c>
      <c r="D49" s="46">
        <v>145</v>
      </c>
      <c r="E49" s="46" t="s">
        <v>224</v>
      </c>
      <c r="F49" s="46">
        <v>146</v>
      </c>
      <c r="G49" s="46" t="s">
        <v>224</v>
      </c>
      <c r="H49" s="46">
        <v>149</v>
      </c>
      <c r="I49" s="46" t="s">
        <v>224</v>
      </c>
      <c r="J49" s="48">
        <v>149</v>
      </c>
      <c r="K49">
        <v>3</v>
      </c>
      <c r="L49" t="s">
        <v>235</v>
      </c>
      <c r="P49">
        <v>1800</v>
      </c>
      <c r="Q49">
        <v>4</v>
      </c>
      <c r="R49">
        <v>1804</v>
      </c>
    </row>
    <row r="50" spans="1:18" ht="19.899999999999999" customHeight="1" x14ac:dyDescent="0.25">
      <c r="A50" t="str">
        <f t="shared" si="0"/>
        <v>IN20</v>
      </c>
      <c r="B50" s="46" t="s">
        <v>254</v>
      </c>
      <c r="C50" s="46" t="s">
        <v>257</v>
      </c>
      <c r="D50" s="46">
        <v>0</v>
      </c>
      <c r="E50" s="46" t="s">
        <v>215</v>
      </c>
      <c r="F50" s="46">
        <v>0</v>
      </c>
      <c r="G50" s="46" t="s">
        <v>215</v>
      </c>
      <c r="H50" s="46">
        <v>0</v>
      </c>
      <c r="I50" s="46" t="s">
        <v>215</v>
      </c>
      <c r="J50" s="48">
        <v>0</v>
      </c>
      <c r="K50">
        <v>0</v>
      </c>
      <c r="L50" t="s">
        <v>215</v>
      </c>
      <c r="P50">
        <v>2826</v>
      </c>
      <c r="Q50">
        <v>5</v>
      </c>
      <c r="R50">
        <v>2831</v>
      </c>
    </row>
    <row r="51" spans="1:18" ht="19.899999999999999" customHeight="1" x14ac:dyDescent="0.25">
      <c r="A51" t="str">
        <f t="shared" si="0"/>
        <v>IN31</v>
      </c>
      <c r="B51" s="46" t="s">
        <v>254</v>
      </c>
      <c r="C51" s="46" t="s">
        <v>258</v>
      </c>
      <c r="D51" s="46">
        <v>116</v>
      </c>
      <c r="E51" s="46" t="s">
        <v>199</v>
      </c>
      <c r="F51" s="46">
        <v>128</v>
      </c>
      <c r="G51" s="46" t="s">
        <v>195</v>
      </c>
      <c r="H51" s="46">
        <v>132</v>
      </c>
      <c r="I51" s="46" t="s">
        <v>199</v>
      </c>
      <c r="J51" s="48">
        <v>132</v>
      </c>
      <c r="K51">
        <v>36</v>
      </c>
      <c r="L51" t="s">
        <v>206</v>
      </c>
      <c r="P51">
        <v>4262</v>
      </c>
      <c r="Q51">
        <v>1</v>
      </c>
      <c r="R51">
        <v>4263</v>
      </c>
    </row>
    <row r="52" spans="1:18" ht="19.899999999999999" customHeight="1" x14ac:dyDescent="0.25">
      <c r="A52" t="str">
        <f t="shared" si="0"/>
        <v>IN29</v>
      </c>
      <c r="B52" s="46" t="s">
        <v>254</v>
      </c>
      <c r="C52" s="46" t="s">
        <v>259</v>
      </c>
      <c r="D52" s="46">
        <v>186</v>
      </c>
      <c r="E52" s="46" t="s">
        <v>200</v>
      </c>
      <c r="F52" s="46">
        <v>183</v>
      </c>
      <c r="G52" s="46" t="s">
        <v>200</v>
      </c>
      <c r="H52" s="46">
        <v>182</v>
      </c>
      <c r="I52" s="46" t="s">
        <v>200</v>
      </c>
      <c r="J52" s="48">
        <v>186</v>
      </c>
      <c r="K52">
        <v>19</v>
      </c>
      <c r="L52" t="s">
        <v>199</v>
      </c>
      <c r="P52">
        <v>2447</v>
      </c>
      <c r="Q52">
        <v>6</v>
      </c>
      <c r="R52">
        <v>2453</v>
      </c>
    </row>
    <row r="53" spans="1:18" ht="19.899999999999999" customHeight="1" x14ac:dyDescent="0.25">
      <c r="A53" t="str">
        <f t="shared" si="0"/>
        <v>IN#2MTR</v>
      </c>
      <c r="B53" s="46" t="s">
        <v>254</v>
      </c>
      <c r="C53" s="46" t="s">
        <v>209</v>
      </c>
      <c r="D53" s="46">
        <v>508</v>
      </c>
      <c r="E53" s="46" t="s">
        <v>204</v>
      </c>
      <c r="F53" s="46">
        <v>444</v>
      </c>
      <c r="G53" s="46" t="s">
        <v>204</v>
      </c>
      <c r="H53" s="46">
        <v>504</v>
      </c>
      <c r="I53" s="46" t="s">
        <v>204</v>
      </c>
      <c r="J53" s="48">
        <v>508</v>
      </c>
      <c r="K53" t="s">
        <v>196</v>
      </c>
      <c r="L53" t="s">
        <v>196</v>
      </c>
      <c r="P53">
        <v>2825</v>
      </c>
      <c r="Q53">
        <v>4</v>
      </c>
      <c r="R53">
        <v>2829</v>
      </c>
    </row>
    <row r="54" spans="1:18" ht="19.899999999999999" customHeight="1" x14ac:dyDescent="0.25">
      <c r="A54" t="str">
        <f t="shared" si="0"/>
        <v>IN22</v>
      </c>
      <c r="B54" s="46" t="s">
        <v>254</v>
      </c>
      <c r="C54" s="46" t="s">
        <v>260</v>
      </c>
      <c r="D54" s="46">
        <v>145</v>
      </c>
      <c r="E54" s="46" t="s">
        <v>195</v>
      </c>
      <c r="F54" s="46">
        <v>152</v>
      </c>
      <c r="G54" s="46" t="s">
        <v>202</v>
      </c>
      <c r="H54" s="46">
        <v>166</v>
      </c>
      <c r="I54" s="46" t="s">
        <v>195</v>
      </c>
      <c r="J54" s="48">
        <v>166</v>
      </c>
      <c r="K54">
        <v>50</v>
      </c>
      <c r="L54" t="s">
        <v>235</v>
      </c>
      <c r="P54" t="s">
        <v>192</v>
      </c>
      <c r="Q54" t="s">
        <v>192</v>
      </c>
      <c r="R54">
        <v>0</v>
      </c>
    </row>
    <row r="55" spans="1:18" ht="19.899999999999999" customHeight="1" x14ac:dyDescent="0.25">
      <c r="A55" t="str">
        <f t="shared" si="0"/>
        <v>IN26</v>
      </c>
      <c r="B55" s="46" t="s">
        <v>254</v>
      </c>
      <c r="C55" s="46" t="s">
        <v>261</v>
      </c>
      <c r="D55" s="46">
        <v>168</v>
      </c>
      <c r="E55" s="46" t="s">
        <v>199</v>
      </c>
      <c r="F55" s="46">
        <v>163</v>
      </c>
      <c r="G55" s="46" t="s">
        <v>199</v>
      </c>
      <c r="H55" s="46">
        <v>175</v>
      </c>
      <c r="I55" s="46" t="s">
        <v>199</v>
      </c>
      <c r="J55" s="48">
        <v>175</v>
      </c>
      <c r="K55">
        <v>30</v>
      </c>
      <c r="L55" t="s">
        <v>227</v>
      </c>
      <c r="P55">
        <v>2182</v>
      </c>
      <c r="Q55">
        <v>6</v>
      </c>
      <c r="R55">
        <v>2188</v>
      </c>
    </row>
    <row r="56" spans="1:18" ht="19.899999999999999" customHeight="1" x14ac:dyDescent="0.25">
      <c r="A56" t="str">
        <f t="shared" si="0"/>
        <v>IN23</v>
      </c>
      <c r="B56" s="46" t="s">
        <v>254</v>
      </c>
      <c r="C56" s="46" t="s">
        <v>262</v>
      </c>
      <c r="D56" s="46">
        <v>82</v>
      </c>
      <c r="E56" s="46" t="s">
        <v>218</v>
      </c>
      <c r="F56" s="46">
        <v>71</v>
      </c>
      <c r="G56" s="46" t="s">
        <v>218</v>
      </c>
      <c r="H56" s="46">
        <v>58</v>
      </c>
      <c r="I56" s="46" t="s">
        <v>200</v>
      </c>
      <c r="J56" s="48">
        <v>82</v>
      </c>
      <c r="K56">
        <v>42</v>
      </c>
      <c r="L56" t="s">
        <v>204</v>
      </c>
      <c r="P56">
        <v>2932</v>
      </c>
      <c r="Q56">
        <v>6</v>
      </c>
      <c r="R56">
        <v>2938</v>
      </c>
    </row>
    <row r="57" spans="1:18" ht="19.899999999999999" customHeight="1" x14ac:dyDescent="0.25">
      <c r="A57" t="str">
        <f t="shared" si="0"/>
        <v>IN27</v>
      </c>
      <c r="B57" s="46" t="s">
        <v>254</v>
      </c>
      <c r="C57" s="46" t="s">
        <v>263</v>
      </c>
      <c r="D57" s="46">
        <v>50</v>
      </c>
      <c r="E57" s="46" t="s">
        <v>227</v>
      </c>
      <c r="F57" s="46">
        <v>31</v>
      </c>
      <c r="G57" s="46" t="s">
        <v>199</v>
      </c>
      <c r="H57" s="46">
        <v>38</v>
      </c>
      <c r="I57" s="46" t="s">
        <v>206</v>
      </c>
      <c r="J57" s="48">
        <v>50</v>
      </c>
      <c r="K57">
        <v>42</v>
      </c>
      <c r="L57" t="s">
        <v>199</v>
      </c>
      <c r="P57">
        <v>382</v>
      </c>
      <c r="Q57" t="s">
        <v>192</v>
      </c>
      <c r="R57">
        <v>382</v>
      </c>
    </row>
    <row r="58" spans="1:18" ht="19.899999999999999" customHeight="1" x14ac:dyDescent="0.25">
      <c r="A58" t="str">
        <f t="shared" si="0"/>
        <v>IN32</v>
      </c>
      <c r="B58" s="46" t="s">
        <v>254</v>
      </c>
      <c r="C58" s="46" t="s">
        <v>264</v>
      </c>
      <c r="D58" s="46">
        <v>114</v>
      </c>
      <c r="E58" s="46" t="s">
        <v>204</v>
      </c>
      <c r="F58" s="46">
        <v>94</v>
      </c>
      <c r="G58" s="46" t="s">
        <v>213</v>
      </c>
      <c r="H58" s="46">
        <v>117</v>
      </c>
      <c r="I58" s="46" t="s">
        <v>204</v>
      </c>
      <c r="J58" s="48">
        <v>117</v>
      </c>
      <c r="K58">
        <v>48</v>
      </c>
      <c r="L58" t="s">
        <v>199</v>
      </c>
      <c r="P58">
        <v>1534</v>
      </c>
      <c r="Q58">
        <v>2</v>
      </c>
      <c r="R58">
        <v>1536</v>
      </c>
    </row>
    <row r="59" spans="1:18" ht="19.899999999999999" customHeight="1" x14ac:dyDescent="0.25">
      <c r="A59" t="str">
        <f t="shared" si="0"/>
        <v>IN#3MTR</v>
      </c>
      <c r="B59" s="46" t="s">
        <v>254</v>
      </c>
      <c r="C59" s="46" t="s">
        <v>217</v>
      </c>
      <c r="D59" s="46">
        <v>432</v>
      </c>
      <c r="E59" s="46" t="s">
        <v>199</v>
      </c>
      <c r="F59" s="46">
        <v>442</v>
      </c>
      <c r="G59" s="46" t="s">
        <v>199</v>
      </c>
      <c r="H59" s="46">
        <v>450</v>
      </c>
      <c r="I59" s="46" t="s">
        <v>199</v>
      </c>
      <c r="J59" s="48">
        <v>450</v>
      </c>
      <c r="K59" t="s">
        <v>196</v>
      </c>
      <c r="L59" t="s">
        <v>196</v>
      </c>
      <c r="P59">
        <v>4851</v>
      </c>
      <c r="Q59">
        <v>1</v>
      </c>
      <c r="R59">
        <v>4852</v>
      </c>
    </row>
    <row r="60" spans="1:18" ht="19.899999999999999" customHeight="1" x14ac:dyDescent="0.25">
      <c r="A60" t="str">
        <f t="shared" si="0"/>
        <v>IN34</v>
      </c>
      <c r="B60" s="46" t="s">
        <v>254</v>
      </c>
      <c r="C60" s="46" t="s">
        <v>265</v>
      </c>
      <c r="D60" s="46">
        <v>72</v>
      </c>
      <c r="E60" s="46" t="s">
        <v>199</v>
      </c>
      <c r="F60" s="46">
        <v>63</v>
      </c>
      <c r="G60" s="46" t="s">
        <v>199</v>
      </c>
      <c r="H60" s="46">
        <v>79</v>
      </c>
      <c r="I60" s="46" t="s">
        <v>199</v>
      </c>
      <c r="J60" s="48">
        <v>79</v>
      </c>
      <c r="K60">
        <v>25</v>
      </c>
      <c r="L60" t="s">
        <v>195</v>
      </c>
      <c r="P60">
        <v>693</v>
      </c>
      <c r="Q60">
        <v>6</v>
      </c>
      <c r="R60">
        <v>699</v>
      </c>
    </row>
    <row r="61" spans="1:18" ht="19.899999999999999" customHeight="1" x14ac:dyDescent="0.25">
      <c r="A61" t="str">
        <f t="shared" si="0"/>
        <v>IN33</v>
      </c>
      <c r="B61" s="46" t="s">
        <v>254</v>
      </c>
      <c r="C61" s="46" t="s">
        <v>266</v>
      </c>
      <c r="D61" s="46">
        <v>204</v>
      </c>
      <c r="E61" s="46" t="s">
        <v>206</v>
      </c>
      <c r="F61" s="46">
        <v>219</v>
      </c>
      <c r="G61" s="46" t="s">
        <v>202</v>
      </c>
      <c r="H61" s="46">
        <v>218</v>
      </c>
      <c r="I61" s="46" t="s">
        <v>202</v>
      </c>
      <c r="J61" s="48">
        <v>219</v>
      </c>
      <c r="K61">
        <v>40</v>
      </c>
      <c r="L61" t="s">
        <v>238</v>
      </c>
      <c r="P61">
        <v>834</v>
      </c>
      <c r="Q61">
        <v>2</v>
      </c>
      <c r="R61">
        <v>836</v>
      </c>
    </row>
    <row r="62" spans="1:18" ht="19.899999999999999" customHeight="1" x14ac:dyDescent="0.25">
      <c r="A62" t="str">
        <f t="shared" si="0"/>
        <v>IN21</v>
      </c>
      <c r="B62" s="46" t="s">
        <v>254</v>
      </c>
      <c r="C62" s="46" t="s">
        <v>267</v>
      </c>
      <c r="D62" s="46">
        <v>42</v>
      </c>
      <c r="E62" s="46" t="s">
        <v>220</v>
      </c>
      <c r="F62" s="46">
        <v>39</v>
      </c>
      <c r="G62" s="46" t="s">
        <v>268</v>
      </c>
      <c r="H62" s="46">
        <v>39</v>
      </c>
      <c r="I62" s="46" t="s">
        <v>220</v>
      </c>
      <c r="J62" s="48">
        <v>42</v>
      </c>
      <c r="K62">
        <v>9</v>
      </c>
      <c r="L62" t="s">
        <v>227</v>
      </c>
      <c r="P62">
        <v>3</v>
      </c>
      <c r="Q62">
        <v>8</v>
      </c>
      <c r="R62">
        <v>11</v>
      </c>
    </row>
    <row r="63" spans="1:18" ht="19.899999999999999" customHeight="1" x14ac:dyDescent="0.25">
      <c r="A63" t="str">
        <f t="shared" si="0"/>
        <v>IN25</v>
      </c>
      <c r="B63" s="46" t="s">
        <v>254</v>
      </c>
      <c r="C63" s="46" t="s">
        <v>269</v>
      </c>
      <c r="D63" s="46">
        <v>45</v>
      </c>
      <c r="E63" s="46" t="s">
        <v>206</v>
      </c>
      <c r="F63" s="46">
        <v>66</v>
      </c>
      <c r="G63" s="46" t="s">
        <v>204</v>
      </c>
      <c r="H63" s="46">
        <v>41</v>
      </c>
      <c r="I63" s="46" t="s">
        <v>206</v>
      </c>
      <c r="J63" s="48">
        <v>66</v>
      </c>
      <c r="K63">
        <v>48</v>
      </c>
      <c r="L63" t="s">
        <v>218</v>
      </c>
      <c r="P63">
        <v>25</v>
      </c>
      <c r="Q63">
        <v>17</v>
      </c>
      <c r="R63">
        <v>42</v>
      </c>
    </row>
    <row r="64" spans="1:18" ht="19.899999999999999" customHeight="1" x14ac:dyDescent="0.25">
      <c r="A64" t="str">
        <f t="shared" si="0"/>
        <v>IN30</v>
      </c>
      <c r="B64" s="46" t="s">
        <v>254</v>
      </c>
      <c r="C64" s="46" t="s">
        <v>270</v>
      </c>
      <c r="D64" s="46">
        <v>106</v>
      </c>
      <c r="E64" s="46" t="s">
        <v>199</v>
      </c>
      <c r="F64" s="46">
        <v>81</v>
      </c>
      <c r="G64" s="46" t="s">
        <v>199</v>
      </c>
      <c r="H64" s="46">
        <v>112</v>
      </c>
      <c r="I64" s="46" t="s">
        <v>199</v>
      </c>
      <c r="J64" s="48">
        <v>112</v>
      </c>
      <c r="K64">
        <v>57</v>
      </c>
      <c r="L64" t="s">
        <v>218</v>
      </c>
      <c r="P64">
        <v>30</v>
      </c>
      <c r="Q64">
        <v>21</v>
      </c>
      <c r="R64">
        <v>51</v>
      </c>
    </row>
    <row r="65" spans="1:18" ht="19.899999999999999" customHeight="1" x14ac:dyDescent="0.25">
      <c r="A65" t="str">
        <f t="shared" si="0"/>
        <v>9L#1DTR(A)</v>
      </c>
      <c r="B65" s="46" t="s">
        <v>271</v>
      </c>
      <c r="C65" s="46" t="s">
        <v>272</v>
      </c>
      <c r="D65" s="46">
        <v>384</v>
      </c>
      <c r="E65" s="46" t="s">
        <v>195</v>
      </c>
      <c r="F65" s="46">
        <v>445</v>
      </c>
      <c r="G65" s="46" t="s">
        <v>222</v>
      </c>
      <c r="H65" s="46">
        <v>406</v>
      </c>
      <c r="I65" s="46" t="s">
        <v>222</v>
      </c>
      <c r="J65" s="48">
        <v>445</v>
      </c>
      <c r="K65" t="s">
        <v>196</v>
      </c>
      <c r="L65" t="s">
        <v>196</v>
      </c>
      <c r="P65">
        <v>7</v>
      </c>
      <c r="Q65">
        <v>5</v>
      </c>
      <c r="R65">
        <v>12</v>
      </c>
    </row>
    <row r="66" spans="1:18" ht="19.899999999999999" customHeight="1" x14ac:dyDescent="0.25">
      <c r="A66" t="str">
        <f t="shared" si="0"/>
        <v>9L21</v>
      </c>
      <c r="B66" s="46" t="s">
        <v>271</v>
      </c>
      <c r="C66" s="46" t="s">
        <v>273</v>
      </c>
      <c r="D66" s="46">
        <v>84</v>
      </c>
      <c r="E66" s="46" t="s">
        <v>222</v>
      </c>
      <c r="F66" s="46">
        <v>92</v>
      </c>
      <c r="G66" s="46" t="s">
        <v>222</v>
      </c>
      <c r="H66" s="46">
        <v>106</v>
      </c>
      <c r="I66" s="46" t="s">
        <v>222</v>
      </c>
      <c r="J66" s="48">
        <v>106</v>
      </c>
      <c r="K66">
        <v>43</v>
      </c>
      <c r="L66" t="s">
        <v>222</v>
      </c>
      <c r="P66">
        <v>4</v>
      </c>
      <c r="Q66">
        <v>1</v>
      </c>
      <c r="R66">
        <v>5</v>
      </c>
    </row>
    <row r="67" spans="1:18" ht="19.899999999999999" customHeight="1" x14ac:dyDescent="0.25">
      <c r="A67" t="str">
        <f t="shared" si="0"/>
        <v>9L22</v>
      </c>
      <c r="B67" s="46" t="s">
        <v>271</v>
      </c>
      <c r="C67" s="46" t="s">
        <v>274</v>
      </c>
      <c r="D67" s="46">
        <v>51</v>
      </c>
      <c r="E67" s="46" t="s">
        <v>200</v>
      </c>
      <c r="F67" s="46">
        <v>51</v>
      </c>
      <c r="G67" s="46" t="s">
        <v>222</v>
      </c>
      <c r="H67" s="46">
        <v>43</v>
      </c>
      <c r="I67" s="46" t="s">
        <v>222</v>
      </c>
      <c r="J67" s="48">
        <v>51</v>
      </c>
      <c r="K67">
        <v>17</v>
      </c>
      <c r="L67" t="s">
        <v>199</v>
      </c>
      <c r="P67">
        <v>7</v>
      </c>
      <c r="Q67">
        <v>7</v>
      </c>
      <c r="R67">
        <v>14</v>
      </c>
    </row>
    <row r="68" spans="1:18" ht="19.899999999999999" customHeight="1" x14ac:dyDescent="0.25">
      <c r="A68" t="str">
        <f t="shared" ref="A68:A131" si="1">IF(COUNTIF(C68,"*TR*")&gt;0,SUBSTITUTE(RIGHT(B68,3) &amp; C68," ",""),MID(C68,FIND("(",C68)+1,4))</f>
        <v>9L23</v>
      </c>
      <c r="B68" s="46" t="s">
        <v>271</v>
      </c>
      <c r="C68" s="46" t="s">
        <v>275</v>
      </c>
      <c r="D68" s="46">
        <v>202</v>
      </c>
      <c r="E68" s="46" t="s">
        <v>222</v>
      </c>
      <c r="F68" s="46">
        <v>210</v>
      </c>
      <c r="G68" s="46" t="s">
        <v>222</v>
      </c>
      <c r="H68" s="46">
        <v>182</v>
      </c>
      <c r="I68" s="46" t="s">
        <v>222</v>
      </c>
      <c r="J68" s="48">
        <v>210</v>
      </c>
      <c r="K68">
        <v>69</v>
      </c>
      <c r="L68" t="s">
        <v>218</v>
      </c>
      <c r="P68">
        <v>1</v>
      </c>
      <c r="Q68">
        <v>10</v>
      </c>
      <c r="R68">
        <v>11</v>
      </c>
    </row>
    <row r="69" spans="1:18" ht="19.899999999999999" customHeight="1" x14ac:dyDescent="0.25">
      <c r="A69" t="str">
        <f t="shared" si="1"/>
        <v>9L24</v>
      </c>
      <c r="B69" s="46" t="s">
        <v>271</v>
      </c>
      <c r="C69" s="46" t="s">
        <v>276</v>
      </c>
      <c r="D69" s="46">
        <v>151</v>
      </c>
      <c r="E69" s="46" t="s">
        <v>195</v>
      </c>
      <c r="F69" s="46">
        <v>128</v>
      </c>
      <c r="G69" s="46" t="s">
        <v>277</v>
      </c>
      <c r="H69" s="46">
        <v>111</v>
      </c>
      <c r="I69" s="46" t="s">
        <v>195</v>
      </c>
      <c r="J69" s="48">
        <v>151</v>
      </c>
      <c r="K69">
        <v>66</v>
      </c>
      <c r="L69" t="s">
        <v>222</v>
      </c>
      <c r="P69">
        <v>6</v>
      </c>
      <c r="Q69">
        <v>11</v>
      </c>
      <c r="R69">
        <v>17</v>
      </c>
    </row>
    <row r="70" spans="1:18" ht="19.899999999999999" customHeight="1" x14ac:dyDescent="0.25">
      <c r="A70" t="str">
        <f t="shared" si="1"/>
        <v>9L25</v>
      </c>
      <c r="B70" s="46" t="s">
        <v>271</v>
      </c>
      <c r="C70" s="46" t="s">
        <v>278</v>
      </c>
      <c r="D70" s="46">
        <v>66</v>
      </c>
      <c r="E70" s="46" t="s">
        <v>222</v>
      </c>
      <c r="F70" s="46">
        <v>80</v>
      </c>
      <c r="G70" s="46" t="s">
        <v>222</v>
      </c>
      <c r="H70" s="46">
        <v>61</v>
      </c>
      <c r="I70" s="46" t="s">
        <v>222</v>
      </c>
      <c r="J70" s="48">
        <v>80</v>
      </c>
      <c r="K70">
        <v>30</v>
      </c>
      <c r="L70" t="s">
        <v>202</v>
      </c>
      <c r="P70" t="s">
        <v>192</v>
      </c>
      <c r="Q70">
        <v>1</v>
      </c>
      <c r="R70">
        <v>1</v>
      </c>
    </row>
    <row r="71" spans="1:18" ht="19.899999999999999" customHeight="1" x14ac:dyDescent="0.25">
      <c r="A71" t="str">
        <f t="shared" si="1"/>
        <v>9L#1DTR(B)</v>
      </c>
      <c r="B71" s="46" t="s">
        <v>271</v>
      </c>
      <c r="C71" s="46" t="s">
        <v>279</v>
      </c>
      <c r="D71" s="46">
        <v>0</v>
      </c>
      <c r="E71" s="46" t="s">
        <v>215</v>
      </c>
      <c r="F71" s="46">
        <v>0</v>
      </c>
      <c r="G71" s="46" t="s">
        <v>215</v>
      </c>
      <c r="H71" s="46">
        <v>0</v>
      </c>
      <c r="I71" s="46" t="s">
        <v>215</v>
      </c>
      <c r="J71" s="48">
        <v>0</v>
      </c>
      <c r="K71" t="s">
        <v>196</v>
      </c>
      <c r="L71" t="s">
        <v>196</v>
      </c>
      <c r="P71" t="s">
        <v>192</v>
      </c>
      <c r="Q71">
        <v>1</v>
      </c>
      <c r="R71">
        <v>1</v>
      </c>
    </row>
    <row r="72" spans="1:18" ht="19.899999999999999" customHeight="1" x14ac:dyDescent="0.25">
      <c r="A72" t="str">
        <f t="shared" si="1"/>
        <v>9LE0</v>
      </c>
      <c r="B72" s="46" t="s">
        <v>271</v>
      </c>
      <c r="C72" s="46" t="s">
        <v>280</v>
      </c>
      <c r="D72" s="46">
        <v>0</v>
      </c>
      <c r="E72" s="46" t="s">
        <v>215</v>
      </c>
      <c r="F72" s="46">
        <v>0</v>
      </c>
      <c r="G72" s="46" t="s">
        <v>215</v>
      </c>
      <c r="H72" s="46">
        <v>0</v>
      </c>
      <c r="I72" s="46" t="s">
        <v>215</v>
      </c>
      <c r="J72" s="48">
        <v>0</v>
      </c>
      <c r="K72">
        <v>0</v>
      </c>
      <c r="L72" t="s">
        <v>215</v>
      </c>
      <c r="P72">
        <v>4</v>
      </c>
      <c r="Q72">
        <v>6</v>
      </c>
      <c r="R72">
        <v>10</v>
      </c>
    </row>
    <row r="73" spans="1:18" ht="19.899999999999999" customHeight="1" x14ac:dyDescent="0.25">
      <c r="A73" t="str">
        <f t="shared" si="1"/>
        <v>9LE1</v>
      </c>
      <c r="B73" s="46" t="s">
        <v>271</v>
      </c>
      <c r="C73" s="46" t="s">
        <v>281</v>
      </c>
      <c r="D73" s="46">
        <v>0</v>
      </c>
      <c r="E73" s="46" t="s">
        <v>215</v>
      </c>
      <c r="F73" s="46">
        <v>0</v>
      </c>
      <c r="G73" s="46" t="s">
        <v>215</v>
      </c>
      <c r="H73" s="46">
        <v>0</v>
      </c>
      <c r="I73" s="46" t="s">
        <v>215</v>
      </c>
      <c r="J73" s="48">
        <v>0</v>
      </c>
      <c r="K73">
        <v>0</v>
      </c>
      <c r="L73" t="s">
        <v>215</v>
      </c>
      <c r="P73">
        <v>10</v>
      </c>
      <c r="Q73">
        <v>6</v>
      </c>
      <c r="R73">
        <v>16</v>
      </c>
    </row>
    <row r="74" spans="1:18" ht="19.899999999999999" customHeight="1" x14ac:dyDescent="0.25">
      <c r="A74" t="str">
        <f t="shared" si="1"/>
        <v>9L26</v>
      </c>
      <c r="B74" s="46" t="s">
        <v>271</v>
      </c>
      <c r="C74" s="46" t="s">
        <v>282</v>
      </c>
      <c r="D74" s="46">
        <v>0</v>
      </c>
      <c r="E74" s="46" t="s">
        <v>215</v>
      </c>
      <c r="F74" s="46">
        <v>0</v>
      </c>
      <c r="G74" s="46" t="s">
        <v>215</v>
      </c>
      <c r="H74" s="46">
        <v>0</v>
      </c>
      <c r="I74" s="46" t="s">
        <v>215</v>
      </c>
      <c r="J74" s="48">
        <v>0</v>
      </c>
      <c r="K74">
        <v>0</v>
      </c>
      <c r="L74" t="s">
        <v>215</v>
      </c>
      <c r="P74">
        <v>0</v>
      </c>
      <c r="Q74">
        <v>2</v>
      </c>
      <c r="R74">
        <v>2</v>
      </c>
    </row>
    <row r="75" spans="1:18" ht="19.899999999999999" customHeight="1" x14ac:dyDescent="0.25">
      <c r="A75" t="str">
        <f t="shared" si="1"/>
        <v>9L27</v>
      </c>
      <c r="B75" s="46" t="s">
        <v>271</v>
      </c>
      <c r="C75" s="46" t="s">
        <v>283</v>
      </c>
      <c r="D75" s="46">
        <v>20</v>
      </c>
      <c r="E75" s="46" t="s">
        <v>202</v>
      </c>
      <c r="F75" s="46">
        <v>27</v>
      </c>
      <c r="G75" s="46" t="s">
        <v>202</v>
      </c>
      <c r="H75" s="46">
        <v>25</v>
      </c>
      <c r="I75" s="46" t="s">
        <v>202</v>
      </c>
      <c r="J75" s="48">
        <v>27</v>
      </c>
      <c r="K75">
        <v>10</v>
      </c>
      <c r="L75" t="s">
        <v>222</v>
      </c>
      <c r="P75">
        <v>20</v>
      </c>
      <c r="Q75">
        <v>3</v>
      </c>
      <c r="R75">
        <v>23</v>
      </c>
    </row>
    <row r="76" spans="1:18" ht="19.899999999999999" customHeight="1" x14ac:dyDescent="0.25">
      <c r="A76" t="str">
        <f t="shared" si="1"/>
        <v>9LE2</v>
      </c>
      <c r="B76" s="46" t="s">
        <v>271</v>
      </c>
      <c r="C76" s="46" t="s">
        <v>284</v>
      </c>
      <c r="D76" s="46">
        <v>0</v>
      </c>
      <c r="E76" s="46" t="s">
        <v>215</v>
      </c>
      <c r="F76" s="46">
        <v>0</v>
      </c>
      <c r="G76" s="46" t="s">
        <v>215</v>
      </c>
      <c r="H76" s="46">
        <v>0</v>
      </c>
      <c r="I76" s="46" t="s">
        <v>215</v>
      </c>
      <c r="J76" s="48">
        <v>0</v>
      </c>
      <c r="K76">
        <v>0</v>
      </c>
      <c r="L76" t="s">
        <v>215</v>
      </c>
      <c r="P76">
        <v>0</v>
      </c>
      <c r="Q76">
        <v>2</v>
      </c>
      <c r="R76">
        <v>2</v>
      </c>
    </row>
    <row r="77" spans="1:18" ht="19.899999999999999" customHeight="1" x14ac:dyDescent="0.25">
      <c r="A77" t="str">
        <f t="shared" si="1"/>
        <v>9LE3</v>
      </c>
      <c r="B77" s="46" t="s">
        <v>271</v>
      </c>
      <c r="C77" s="46" t="s">
        <v>285</v>
      </c>
      <c r="D77" s="46">
        <v>0</v>
      </c>
      <c r="E77" s="46" t="s">
        <v>215</v>
      </c>
      <c r="F77" s="46">
        <v>0</v>
      </c>
      <c r="G77" s="46" t="s">
        <v>215</v>
      </c>
      <c r="H77" s="46">
        <v>0</v>
      </c>
      <c r="I77" s="46" t="s">
        <v>215</v>
      </c>
      <c r="J77" s="48">
        <v>0</v>
      </c>
      <c r="K77">
        <v>0</v>
      </c>
      <c r="L77" t="s">
        <v>215</v>
      </c>
      <c r="P77">
        <v>4</v>
      </c>
      <c r="Q77">
        <v>2</v>
      </c>
      <c r="R77">
        <v>6</v>
      </c>
    </row>
    <row r="78" spans="1:18" ht="19.899999999999999" customHeight="1" x14ac:dyDescent="0.25">
      <c r="A78" t="str">
        <f t="shared" si="1"/>
        <v>9L28</v>
      </c>
      <c r="B78" s="46" t="s">
        <v>271</v>
      </c>
      <c r="C78" s="46" t="s">
        <v>286</v>
      </c>
      <c r="D78" s="46">
        <v>169</v>
      </c>
      <c r="E78" s="46" t="s">
        <v>222</v>
      </c>
      <c r="F78" s="46">
        <v>193</v>
      </c>
      <c r="G78" s="46" t="s">
        <v>222</v>
      </c>
      <c r="H78" s="46">
        <v>166</v>
      </c>
      <c r="I78" s="46" t="s">
        <v>222</v>
      </c>
      <c r="J78" s="48">
        <v>193</v>
      </c>
      <c r="K78">
        <v>52</v>
      </c>
      <c r="L78" t="s">
        <v>231</v>
      </c>
      <c r="P78">
        <v>502</v>
      </c>
      <c r="Q78">
        <v>1</v>
      </c>
      <c r="R78">
        <v>503</v>
      </c>
    </row>
    <row r="79" spans="1:18" ht="19.899999999999999" customHeight="1" x14ac:dyDescent="0.25">
      <c r="A79" t="str">
        <f t="shared" si="1"/>
        <v>9L29</v>
      </c>
      <c r="B79" s="46" t="s">
        <v>271</v>
      </c>
      <c r="C79" s="46" t="s">
        <v>287</v>
      </c>
      <c r="D79" s="46">
        <v>223</v>
      </c>
      <c r="E79" s="46" t="s">
        <v>222</v>
      </c>
      <c r="F79" s="46">
        <v>217</v>
      </c>
      <c r="G79" s="46" t="s">
        <v>222</v>
      </c>
      <c r="H79" s="46">
        <v>209</v>
      </c>
      <c r="I79" s="46" t="s">
        <v>222</v>
      </c>
      <c r="J79" s="48">
        <v>223</v>
      </c>
      <c r="K79">
        <v>49</v>
      </c>
      <c r="L79" t="s">
        <v>218</v>
      </c>
      <c r="P79">
        <v>347</v>
      </c>
      <c r="Q79">
        <v>5</v>
      </c>
      <c r="R79">
        <v>352</v>
      </c>
    </row>
    <row r="80" spans="1:18" ht="19.899999999999999" customHeight="1" x14ac:dyDescent="0.25">
      <c r="A80" t="str">
        <f t="shared" si="1"/>
        <v>9L30</v>
      </c>
      <c r="B80" s="46" t="s">
        <v>271</v>
      </c>
      <c r="C80" s="46" t="s">
        <v>288</v>
      </c>
      <c r="D80" s="46">
        <v>34</v>
      </c>
      <c r="E80" s="46" t="s">
        <v>222</v>
      </c>
      <c r="F80" s="46">
        <v>31</v>
      </c>
      <c r="G80" s="46" t="s">
        <v>222</v>
      </c>
      <c r="H80" s="46">
        <v>43</v>
      </c>
      <c r="I80" s="46" t="s">
        <v>222</v>
      </c>
      <c r="J80" s="48">
        <v>43</v>
      </c>
      <c r="K80">
        <v>25</v>
      </c>
      <c r="L80" t="s">
        <v>213</v>
      </c>
      <c r="P80">
        <v>1676</v>
      </c>
      <c r="Q80">
        <v>1</v>
      </c>
      <c r="R80">
        <v>1677</v>
      </c>
    </row>
    <row r="81" spans="1:18" ht="19.899999999999999" customHeight="1" x14ac:dyDescent="0.25">
      <c r="A81" t="str">
        <f t="shared" si="1"/>
        <v>9L#2DTR(A)</v>
      </c>
      <c r="B81" s="46" t="s">
        <v>271</v>
      </c>
      <c r="C81" s="46" t="s">
        <v>289</v>
      </c>
      <c r="D81" s="46">
        <v>0</v>
      </c>
      <c r="E81" s="46" t="s">
        <v>215</v>
      </c>
      <c r="F81" s="46">
        <v>0</v>
      </c>
      <c r="G81" s="46" t="s">
        <v>215</v>
      </c>
      <c r="H81" s="46">
        <v>0</v>
      </c>
      <c r="I81" s="46" t="s">
        <v>215</v>
      </c>
      <c r="J81" s="48">
        <v>0</v>
      </c>
      <c r="K81" t="s">
        <v>196</v>
      </c>
      <c r="L81" t="s">
        <v>196</v>
      </c>
      <c r="P81">
        <v>1828</v>
      </c>
      <c r="Q81" t="s">
        <v>192</v>
      </c>
      <c r="R81">
        <v>1828</v>
      </c>
    </row>
    <row r="82" spans="1:18" ht="19.899999999999999" customHeight="1" x14ac:dyDescent="0.25">
      <c r="A82" t="str">
        <f t="shared" si="1"/>
        <v>9LE4</v>
      </c>
      <c r="B82" s="46" t="s">
        <v>271</v>
      </c>
      <c r="C82" s="46" t="s">
        <v>290</v>
      </c>
      <c r="D82" s="46">
        <v>0</v>
      </c>
      <c r="E82" s="46" t="s">
        <v>215</v>
      </c>
      <c r="F82" s="46">
        <v>0</v>
      </c>
      <c r="G82" s="46" t="s">
        <v>215</v>
      </c>
      <c r="H82" s="46">
        <v>0</v>
      </c>
      <c r="I82" s="46" t="s">
        <v>215</v>
      </c>
      <c r="J82" s="48">
        <v>0</v>
      </c>
      <c r="K82">
        <v>0</v>
      </c>
      <c r="L82" t="s">
        <v>215</v>
      </c>
      <c r="P82">
        <v>440</v>
      </c>
      <c r="Q82" t="s">
        <v>192</v>
      </c>
      <c r="R82">
        <v>440</v>
      </c>
    </row>
    <row r="83" spans="1:18" ht="19.899999999999999" customHeight="1" x14ac:dyDescent="0.25">
      <c r="A83" t="str">
        <f t="shared" si="1"/>
        <v>9LE5</v>
      </c>
      <c r="B83" s="46" t="s">
        <v>271</v>
      </c>
      <c r="C83" s="46" t="s">
        <v>291</v>
      </c>
      <c r="D83" s="46">
        <v>0</v>
      </c>
      <c r="E83" s="46" t="s">
        <v>215</v>
      </c>
      <c r="F83" s="46">
        <v>0</v>
      </c>
      <c r="G83" s="46" t="s">
        <v>215</v>
      </c>
      <c r="H83" s="46">
        <v>0</v>
      </c>
      <c r="I83" s="46" t="s">
        <v>215</v>
      </c>
      <c r="J83" s="48">
        <v>0</v>
      </c>
      <c r="K83">
        <v>0</v>
      </c>
      <c r="L83" t="s">
        <v>215</v>
      </c>
      <c r="P83">
        <v>47</v>
      </c>
      <c r="Q83">
        <v>1</v>
      </c>
      <c r="R83">
        <v>48</v>
      </c>
    </row>
    <row r="84" spans="1:18" ht="19.899999999999999" customHeight="1" x14ac:dyDescent="0.25">
      <c r="A84" t="str">
        <f t="shared" si="1"/>
        <v>9L35</v>
      </c>
      <c r="B84" s="46" t="s">
        <v>271</v>
      </c>
      <c r="C84" s="46" t="s">
        <v>292</v>
      </c>
      <c r="D84" s="46">
        <v>115</v>
      </c>
      <c r="E84" s="46" t="s">
        <v>195</v>
      </c>
      <c r="F84" s="46">
        <v>120</v>
      </c>
      <c r="G84" s="46" t="s">
        <v>222</v>
      </c>
      <c r="H84" s="46">
        <v>110</v>
      </c>
      <c r="I84" s="46" t="s">
        <v>222</v>
      </c>
      <c r="J84" s="48">
        <v>120</v>
      </c>
      <c r="K84">
        <v>37</v>
      </c>
      <c r="L84" t="s">
        <v>293</v>
      </c>
      <c r="P84">
        <v>1383</v>
      </c>
      <c r="Q84" t="s">
        <v>192</v>
      </c>
      <c r="R84">
        <v>1383</v>
      </c>
    </row>
    <row r="85" spans="1:18" ht="19.899999999999999" customHeight="1" x14ac:dyDescent="0.25">
      <c r="A85" t="str">
        <f t="shared" si="1"/>
        <v>9LE6</v>
      </c>
      <c r="B85" s="46" t="s">
        <v>271</v>
      </c>
      <c r="C85" s="46" t="s">
        <v>294</v>
      </c>
      <c r="D85" s="46">
        <v>0</v>
      </c>
      <c r="E85" s="46" t="s">
        <v>215</v>
      </c>
      <c r="F85" s="46">
        <v>0</v>
      </c>
      <c r="G85" s="46" t="s">
        <v>215</v>
      </c>
      <c r="H85" s="46">
        <v>0</v>
      </c>
      <c r="I85" s="46" t="s">
        <v>215</v>
      </c>
      <c r="J85" s="48">
        <v>0</v>
      </c>
      <c r="K85">
        <v>0</v>
      </c>
      <c r="L85" t="s">
        <v>215</v>
      </c>
      <c r="P85">
        <v>58</v>
      </c>
      <c r="Q85" t="s">
        <v>192</v>
      </c>
      <c r="R85">
        <v>58</v>
      </c>
    </row>
    <row r="86" spans="1:18" ht="19.899999999999999" customHeight="1" x14ac:dyDescent="0.25">
      <c r="A86" t="str">
        <f t="shared" si="1"/>
        <v>9L34</v>
      </c>
      <c r="B86" s="46" t="s">
        <v>271</v>
      </c>
      <c r="C86" s="46" t="s">
        <v>295</v>
      </c>
      <c r="D86" s="46">
        <v>39</v>
      </c>
      <c r="E86" s="46" t="s">
        <v>222</v>
      </c>
      <c r="F86" s="46">
        <v>36</v>
      </c>
      <c r="G86" s="46" t="s">
        <v>200</v>
      </c>
      <c r="H86" s="46">
        <v>37</v>
      </c>
      <c r="I86" s="46" t="s">
        <v>222</v>
      </c>
      <c r="J86" s="48">
        <v>39</v>
      </c>
      <c r="K86">
        <v>15</v>
      </c>
      <c r="L86" t="s">
        <v>202</v>
      </c>
      <c r="P86">
        <v>950</v>
      </c>
      <c r="Q86" t="s">
        <v>192</v>
      </c>
      <c r="R86">
        <v>950</v>
      </c>
    </row>
    <row r="87" spans="1:18" ht="19.899999999999999" customHeight="1" x14ac:dyDescent="0.25">
      <c r="A87" t="str">
        <f t="shared" si="1"/>
        <v>9L33</v>
      </c>
      <c r="B87" s="46" t="s">
        <v>271</v>
      </c>
      <c r="C87" s="46" t="s">
        <v>296</v>
      </c>
      <c r="D87" s="46">
        <v>0</v>
      </c>
      <c r="E87" s="46" t="s">
        <v>215</v>
      </c>
      <c r="F87" s="46">
        <v>0</v>
      </c>
      <c r="G87" s="46" t="s">
        <v>215</v>
      </c>
      <c r="H87" s="46">
        <v>0</v>
      </c>
      <c r="I87" s="46" t="s">
        <v>215</v>
      </c>
      <c r="J87" s="48">
        <v>0</v>
      </c>
      <c r="K87">
        <v>0</v>
      </c>
      <c r="L87" t="s">
        <v>215</v>
      </c>
      <c r="P87">
        <v>878</v>
      </c>
      <c r="Q87" t="s">
        <v>192</v>
      </c>
      <c r="R87">
        <v>878</v>
      </c>
    </row>
    <row r="88" spans="1:18" ht="19.899999999999999" customHeight="1" x14ac:dyDescent="0.25">
      <c r="A88" t="str">
        <f t="shared" si="1"/>
        <v>9LE7</v>
      </c>
      <c r="B88" s="46" t="s">
        <v>271</v>
      </c>
      <c r="C88" s="46" t="s">
        <v>297</v>
      </c>
      <c r="D88" s="46">
        <v>0</v>
      </c>
      <c r="E88" s="46" t="s">
        <v>215</v>
      </c>
      <c r="F88" s="46">
        <v>0</v>
      </c>
      <c r="G88" s="46" t="s">
        <v>215</v>
      </c>
      <c r="H88" s="46">
        <v>0</v>
      </c>
      <c r="I88" s="46" t="s">
        <v>215</v>
      </c>
      <c r="J88" s="48">
        <v>0</v>
      </c>
      <c r="K88">
        <v>0</v>
      </c>
      <c r="L88" t="s">
        <v>215</v>
      </c>
      <c r="P88">
        <v>640</v>
      </c>
      <c r="Q88" t="s">
        <v>192</v>
      </c>
      <c r="R88">
        <v>640</v>
      </c>
    </row>
    <row r="89" spans="1:18" ht="19.899999999999999" customHeight="1" x14ac:dyDescent="0.25">
      <c r="A89" t="str">
        <f t="shared" si="1"/>
        <v>9L32</v>
      </c>
      <c r="B89" s="46" t="s">
        <v>271</v>
      </c>
      <c r="C89" s="46" t="s">
        <v>298</v>
      </c>
      <c r="D89" s="46">
        <v>0</v>
      </c>
      <c r="E89" s="46" t="s">
        <v>215</v>
      </c>
      <c r="F89" s="46">
        <v>0</v>
      </c>
      <c r="G89" s="46" t="s">
        <v>215</v>
      </c>
      <c r="H89" s="46">
        <v>0</v>
      </c>
      <c r="I89" s="46" t="s">
        <v>215</v>
      </c>
      <c r="J89" s="48">
        <v>0</v>
      </c>
      <c r="K89">
        <v>0</v>
      </c>
      <c r="L89" t="s">
        <v>215</v>
      </c>
      <c r="P89">
        <v>320</v>
      </c>
      <c r="Q89" t="s">
        <v>192</v>
      </c>
      <c r="R89">
        <v>320</v>
      </c>
    </row>
    <row r="90" spans="1:18" ht="19.899999999999999" customHeight="1" x14ac:dyDescent="0.25">
      <c r="A90" t="str">
        <f t="shared" si="1"/>
        <v>9L31</v>
      </c>
      <c r="B90" s="46" t="s">
        <v>271</v>
      </c>
      <c r="C90" s="46" t="s">
        <v>299</v>
      </c>
      <c r="D90" s="46">
        <v>35</v>
      </c>
      <c r="E90" s="46" t="s">
        <v>206</v>
      </c>
      <c r="F90" s="46">
        <v>61</v>
      </c>
      <c r="G90" s="46" t="s">
        <v>198</v>
      </c>
      <c r="H90" s="46">
        <v>40</v>
      </c>
      <c r="I90" s="46" t="s">
        <v>198</v>
      </c>
      <c r="J90" s="48">
        <v>61</v>
      </c>
      <c r="K90">
        <v>34</v>
      </c>
      <c r="L90" t="s">
        <v>202</v>
      </c>
      <c r="P90">
        <v>1268</v>
      </c>
      <c r="Q90">
        <v>2</v>
      </c>
      <c r="R90">
        <v>1270</v>
      </c>
    </row>
    <row r="91" spans="1:18" ht="19.899999999999999" customHeight="1" x14ac:dyDescent="0.25">
      <c r="A91" t="str">
        <f t="shared" si="1"/>
        <v>9L#2DTR(B)</v>
      </c>
      <c r="B91" s="46" t="s">
        <v>271</v>
      </c>
      <c r="C91" s="46" t="s">
        <v>300</v>
      </c>
      <c r="D91" s="46">
        <v>489</v>
      </c>
      <c r="E91" s="46" t="s">
        <v>195</v>
      </c>
      <c r="F91" s="46">
        <v>444</v>
      </c>
      <c r="G91" s="46" t="s">
        <v>195</v>
      </c>
      <c r="H91" s="46">
        <v>502</v>
      </c>
      <c r="I91" s="46" t="s">
        <v>195</v>
      </c>
      <c r="J91" s="48">
        <v>502</v>
      </c>
      <c r="K91" t="s">
        <v>196</v>
      </c>
      <c r="L91" t="s">
        <v>196</v>
      </c>
      <c r="P91">
        <v>80</v>
      </c>
      <c r="Q91" t="s">
        <v>192</v>
      </c>
      <c r="R91">
        <v>80</v>
      </c>
    </row>
    <row r="92" spans="1:18" ht="19.899999999999999" customHeight="1" x14ac:dyDescent="0.25">
      <c r="A92" t="str">
        <f t="shared" si="1"/>
        <v>9L40</v>
      </c>
      <c r="B92" s="46" t="s">
        <v>271</v>
      </c>
      <c r="C92" s="46" t="s">
        <v>301</v>
      </c>
      <c r="D92" s="46">
        <v>115</v>
      </c>
      <c r="E92" s="46" t="s">
        <v>195</v>
      </c>
      <c r="F92" s="46">
        <v>76</v>
      </c>
      <c r="G92" s="46" t="s">
        <v>238</v>
      </c>
      <c r="H92" s="46">
        <v>109</v>
      </c>
      <c r="I92" s="46" t="s">
        <v>195</v>
      </c>
      <c r="J92" s="48">
        <v>115</v>
      </c>
      <c r="K92">
        <v>68</v>
      </c>
      <c r="L92" t="s">
        <v>302</v>
      </c>
      <c r="P92">
        <v>3569</v>
      </c>
      <c r="Q92">
        <v>1</v>
      </c>
      <c r="R92">
        <v>3570</v>
      </c>
    </row>
    <row r="93" spans="1:18" ht="19.899999999999999" customHeight="1" x14ac:dyDescent="0.25">
      <c r="A93" t="str">
        <f t="shared" si="1"/>
        <v>9L39</v>
      </c>
      <c r="B93" s="46" t="s">
        <v>271</v>
      </c>
      <c r="C93" s="46" t="s">
        <v>303</v>
      </c>
      <c r="D93" s="46">
        <v>249</v>
      </c>
      <c r="E93" s="46" t="s">
        <v>220</v>
      </c>
      <c r="F93" s="46">
        <v>263</v>
      </c>
      <c r="G93" s="46" t="s">
        <v>235</v>
      </c>
      <c r="H93" s="46">
        <v>261</v>
      </c>
      <c r="I93" s="46" t="s">
        <v>235</v>
      </c>
      <c r="J93" s="48">
        <v>263</v>
      </c>
      <c r="K93">
        <v>39</v>
      </c>
      <c r="L93" t="s">
        <v>202</v>
      </c>
      <c r="P93">
        <v>2721</v>
      </c>
      <c r="Q93">
        <v>3</v>
      </c>
      <c r="R93">
        <v>2724</v>
      </c>
    </row>
    <row r="94" spans="1:18" ht="19.899999999999999" customHeight="1" x14ac:dyDescent="0.25">
      <c r="A94" t="str">
        <f t="shared" si="1"/>
        <v>9L38</v>
      </c>
      <c r="B94" s="46" t="s">
        <v>271</v>
      </c>
      <c r="C94" s="46" t="s">
        <v>304</v>
      </c>
      <c r="D94" s="46">
        <v>31</v>
      </c>
      <c r="E94" s="46" t="s">
        <v>227</v>
      </c>
      <c r="F94" s="46">
        <v>16</v>
      </c>
      <c r="G94" s="46" t="s">
        <v>204</v>
      </c>
      <c r="H94" s="46">
        <v>45</v>
      </c>
      <c r="I94" s="46" t="s">
        <v>195</v>
      </c>
      <c r="J94" s="48">
        <v>45</v>
      </c>
      <c r="K94">
        <v>43</v>
      </c>
      <c r="L94" t="s">
        <v>218</v>
      </c>
      <c r="P94">
        <v>464</v>
      </c>
      <c r="Q94">
        <v>2</v>
      </c>
      <c r="R94">
        <v>466</v>
      </c>
    </row>
    <row r="95" spans="1:18" ht="19.899999999999999" customHeight="1" x14ac:dyDescent="0.25">
      <c r="A95" t="str">
        <f t="shared" si="1"/>
        <v>9L37</v>
      </c>
      <c r="B95" s="46" t="s">
        <v>271</v>
      </c>
      <c r="C95" s="46" t="s">
        <v>305</v>
      </c>
      <c r="D95" s="46">
        <v>203</v>
      </c>
      <c r="E95" s="46" t="s">
        <v>222</v>
      </c>
      <c r="F95" s="46">
        <v>201</v>
      </c>
      <c r="G95" s="46" t="s">
        <v>222</v>
      </c>
      <c r="H95" s="46">
        <v>211</v>
      </c>
      <c r="I95" s="46" t="s">
        <v>222</v>
      </c>
      <c r="J95" s="48">
        <v>211</v>
      </c>
      <c r="K95">
        <v>45</v>
      </c>
      <c r="L95" t="s">
        <v>202</v>
      </c>
      <c r="P95">
        <v>1067</v>
      </c>
      <c r="Q95">
        <v>5</v>
      </c>
      <c r="R95">
        <v>1072</v>
      </c>
    </row>
    <row r="96" spans="1:18" ht="19.899999999999999" customHeight="1" x14ac:dyDescent="0.25">
      <c r="A96" t="str">
        <f t="shared" si="1"/>
        <v>9L36</v>
      </c>
      <c r="B96" s="46" t="s">
        <v>271</v>
      </c>
      <c r="C96" s="46" t="s">
        <v>306</v>
      </c>
      <c r="D96" s="46">
        <v>51</v>
      </c>
      <c r="E96" s="46" t="s">
        <v>202</v>
      </c>
      <c r="F96" s="46">
        <v>38</v>
      </c>
      <c r="G96" s="46" t="s">
        <v>202</v>
      </c>
      <c r="H96" s="46">
        <v>40</v>
      </c>
      <c r="I96" s="46" t="s">
        <v>195</v>
      </c>
      <c r="J96" s="48">
        <v>51</v>
      </c>
      <c r="K96">
        <v>14</v>
      </c>
      <c r="L96" t="s">
        <v>202</v>
      </c>
      <c r="P96">
        <v>3417</v>
      </c>
      <c r="Q96">
        <v>4</v>
      </c>
      <c r="R96">
        <v>3421</v>
      </c>
    </row>
    <row r="97" spans="1:18" ht="19.899999999999999" customHeight="1" x14ac:dyDescent="0.25">
      <c r="A97" t="str">
        <f t="shared" si="1"/>
        <v>9K#1DTR(A)</v>
      </c>
      <c r="B97" s="46" t="s">
        <v>307</v>
      </c>
      <c r="C97" s="46" t="s">
        <v>272</v>
      </c>
      <c r="D97" s="46">
        <v>553</v>
      </c>
      <c r="E97" s="46" t="s">
        <v>199</v>
      </c>
      <c r="F97" s="46">
        <v>555</v>
      </c>
      <c r="G97" s="46" t="s">
        <v>199</v>
      </c>
      <c r="H97" s="46">
        <v>567</v>
      </c>
      <c r="I97" s="46" t="s">
        <v>199</v>
      </c>
      <c r="J97" s="48">
        <v>567</v>
      </c>
      <c r="K97" t="s">
        <v>196</v>
      </c>
      <c r="L97" t="s">
        <v>196</v>
      </c>
      <c r="P97">
        <v>1974</v>
      </c>
      <c r="Q97">
        <v>6</v>
      </c>
      <c r="R97">
        <v>1980</v>
      </c>
    </row>
    <row r="98" spans="1:18" ht="19.899999999999999" customHeight="1" x14ac:dyDescent="0.25">
      <c r="A98" t="str">
        <f t="shared" si="1"/>
        <v>9K21</v>
      </c>
      <c r="B98" s="46" t="s">
        <v>307</v>
      </c>
      <c r="C98" s="46" t="s">
        <v>308</v>
      </c>
      <c r="D98" s="46">
        <v>49</v>
      </c>
      <c r="E98" s="46" t="s">
        <v>204</v>
      </c>
      <c r="F98" s="46">
        <v>38</v>
      </c>
      <c r="G98" s="46" t="s">
        <v>204</v>
      </c>
      <c r="H98" s="46">
        <v>41</v>
      </c>
      <c r="I98" s="46" t="s">
        <v>204</v>
      </c>
      <c r="J98" s="48">
        <v>49</v>
      </c>
      <c r="K98">
        <v>20</v>
      </c>
      <c r="L98" t="s">
        <v>204</v>
      </c>
      <c r="P98" t="s">
        <v>192</v>
      </c>
      <c r="Q98" t="s">
        <v>192</v>
      </c>
      <c r="R98">
        <v>0</v>
      </c>
    </row>
    <row r="99" spans="1:18" ht="19.899999999999999" customHeight="1" x14ac:dyDescent="0.25">
      <c r="A99" t="str">
        <f t="shared" si="1"/>
        <v>9K22</v>
      </c>
      <c r="B99" s="46" t="s">
        <v>307</v>
      </c>
      <c r="C99" s="46" t="s">
        <v>309</v>
      </c>
      <c r="D99" s="46">
        <v>167</v>
      </c>
      <c r="E99" s="46" t="s">
        <v>199</v>
      </c>
      <c r="F99" s="46">
        <v>148</v>
      </c>
      <c r="G99" s="46" t="s">
        <v>195</v>
      </c>
      <c r="H99" s="46">
        <v>142</v>
      </c>
      <c r="I99" s="46" t="s">
        <v>200</v>
      </c>
      <c r="J99" s="48">
        <v>167</v>
      </c>
      <c r="K99">
        <v>55</v>
      </c>
      <c r="L99" t="s">
        <v>195</v>
      </c>
      <c r="P99" t="s">
        <v>192</v>
      </c>
      <c r="Q99" t="s">
        <v>192</v>
      </c>
      <c r="R99">
        <v>0</v>
      </c>
    </row>
    <row r="100" spans="1:18" ht="19.899999999999999" customHeight="1" x14ac:dyDescent="0.25">
      <c r="A100" t="str">
        <f t="shared" si="1"/>
        <v>9K23</v>
      </c>
      <c r="B100" s="46" t="s">
        <v>307</v>
      </c>
      <c r="C100" s="46" t="s">
        <v>310</v>
      </c>
      <c r="D100" s="46">
        <v>163</v>
      </c>
      <c r="E100" s="46" t="s">
        <v>204</v>
      </c>
      <c r="F100" s="46">
        <v>186</v>
      </c>
      <c r="G100" s="46" t="s">
        <v>199</v>
      </c>
      <c r="H100" s="46">
        <v>190</v>
      </c>
      <c r="I100" s="46" t="s">
        <v>204</v>
      </c>
      <c r="J100" s="48">
        <v>190</v>
      </c>
      <c r="K100">
        <v>58</v>
      </c>
      <c r="L100" t="s">
        <v>231</v>
      </c>
      <c r="P100" t="s">
        <v>192</v>
      </c>
      <c r="Q100" t="s">
        <v>192</v>
      </c>
      <c r="R100">
        <v>0</v>
      </c>
    </row>
    <row r="101" spans="1:18" ht="19.899999999999999" customHeight="1" x14ac:dyDescent="0.25">
      <c r="A101" t="str">
        <f t="shared" si="1"/>
        <v>9K24</v>
      </c>
      <c r="B101" s="46" t="s">
        <v>307</v>
      </c>
      <c r="C101" s="46" t="s">
        <v>311</v>
      </c>
      <c r="D101" s="46">
        <v>30</v>
      </c>
      <c r="E101" s="46" t="s">
        <v>202</v>
      </c>
      <c r="F101" s="46">
        <v>40</v>
      </c>
      <c r="G101" s="46" t="s">
        <v>200</v>
      </c>
      <c r="H101" s="46">
        <v>34</v>
      </c>
      <c r="I101" s="46" t="s">
        <v>195</v>
      </c>
      <c r="J101" s="48">
        <v>40</v>
      </c>
      <c r="K101">
        <v>27</v>
      </c>
      <c r="L101" t="s">
        <v>218</v>
      </c>
      <c r="P101" t="s">
        <v>192</v>
      </c>
      <c r="Q101" t="s">
        <v>192</v>
      </c>
      <c r="R101">
        <v>0</v>
      </c>
    </row>
    <row r="102" spans="1:18" ht="19.899999999999999" customHeight="1" x14ac:dyDescent="0.25">
      <c r="A102" t="str">
        <f t="shared" si="1"/>
        <v>9K25</v>
      </c>
      <c r="B102" s="46" t="s">
        <v>307</v>
      </c>
      <c r="C102" s="46" t="s">
        <v>312</v>
      </c>
      <c r="D102" s="46">
        <v>173</v>
      </c>
      <c r="E102" s="46" t="s">
        <v>199</v>
      </c>
      <c r="F102" s="46">
        <v>173</v>
      </c>
      <c r="G102" s="46" t="s">
        <v>199</v>
      </c>
      <c r="H102" s="46">
        <v>210</v>
      </c>
      <c r="I102" s="46" t="s">
        <v>198</v>
      </c>
      <c r="J102" s="48">
        <v>210</v>
      </c>
      <c r="K102">
        <v>58</v>
      </c>
      <c r="L102" t="s">
        <v>238</v>
      </c>
      <c r="P102">
        <v>1346</v>
      </c>
      <c r="Q102">
        <v>8</v>
      </c>
      <c r="R102">
        <v>1354</v>
      </c>
    </row>
    <row r="103" spans="1:18" ht="19.899999999999999" customHeight="1" x14ac:dyDescent="0.25">
      <c r="A103" t="str">
        <f t="shared" si="1"/>
        <v>9K#1DTR(B)</v>
      </c>
      <c r="B103" s="46" t="s">
        <v>307</v>
      </c>
      <c r="C103" s="46" t="s">
        <v>279</v>
      </c>
      <c r="D103" s="46">
        <v>535</v>
      </c>
      <c r="E103" s="46" t="s">
        <v>199</v>
      </c>
      <c r="F103" s="46">
        <v>525</v>
      </c>
      <c r="G103" s="46" t="s">
        <v>204</v>
      </c>
      <c r="H103" s="46">
        <v>507</v>
      </c>
      <c r="I103" s="46" t="s">
        <v>199</v>
      </c>
      <c r="J103" s="48">
        <v>535</v>
      </c>
      <c r="K103" t="s">
        <v>196</v>
      </c>
      <c r="L103" t="s">
        <v>196</v>
      </c>
      <c r="P103">
        <v>1850</v>
      </c>
      <c r="Q103">
        <v>1</v>
      </c>
      <c r="R103">
        <v>1851</v>
      </c>
    </row>
    <row r="104" spans="1:18" ht="19.899999999999999" customHeight="1" x14ac:dyDescent="0.25">
      <c r="A104" t="str">
        <f t="shared" si="1"/>
        <v>9K26</v>
      </c>
      <c r="B104" s="46" t="s">
        <v>307</v>
      </c>
      <c r="C104" s="46" t="s">
        <v>313</v>
      </c>
      <c r="D104" s="46">
        <v>30</v>
      </c>
      <c r="E104" s="46" t="s">
        <v>195</v>
      </c>
      <c r="F104" s="46">
        <v>9</v>
      </c>
      <c r="G104" s="46" t="s">
        <v>202</v>
      </c>
      <c r="H104" s="46">
        <v>32</v>
      </c>
      <c r="I104" s="46" t="s">
        <v>202</v>
      </c>
      <c r="J104" s="48">
        <v>32</v>
      </c>
      <c r="K104">
        <v>32</v>
      </c>
      <c r="L104" t="s">
        <v>199</v>
      </c>
      <c r="P104">
        <v>146</v>
      </c>
      <c r="Q104" t="s">
        <v>192</v>
      </c>
      <c r="R104">
        <v>146</v>
      </c>
    </row>
    <row r="105" spans="1:18" ht="19.899999999999999" customHeight="1" x14ac:dyDescent="0.25">
      <c r="A105" t="str">
        <f t="shared" si="1"/>
        <v>9K27</v>
      </c>
      <c r="B105" s="46" t="s">
        <v>307</v>
      </c>
      <c r="C105" s="46" t="s">
        <v>314</v>
      </c>
      <c r="D105" s="46">
        <v>251</v>
      </c>
      <c r="E105" s="46" t="s">
        <v>204</v>
      </c>
      <c r="F105" s="46">
        <v>261</v>
      </c>
      <c r="G105" s="46" t="s">
        <v>204</v>
      </c>
      <c r="H105" s="46">
        <v>247</v>
      </c>
      <c r="I105" s="46" t="s">
        <v>204</v>
      </c>
      <c r="J105" s="48">
        <v>261</v>
      </c>
      <c r="K105">
        <v>37</v>
      </c>
      <c r="L105" t="s">
        <v>222</v>
      </c>
      <c r="P105">
        <v>50</v>
      </c>
      <c r="Q105">
        <v>1</v>
      </c>
      <c r="R105">
        <v>51</v>
      </c>
    </row>
    <row r="106" spans="1:18" ht="19.899999999999999" customHeight="1" x14ac:dyDescent="0.25">
      <c r="A106" t="str">
        <f t="shared" si="1"/>
        <v>9K28</v>
      </c>
      <c r="B106" s="46" t="s">
        <v>307</v>
      </c>
      <c r="C106" s="46" t="s">
        <v>315</v>
      </c>
      <c r="D106" s="46">
        <v>94</v>
      </c>
      <c r="E106" s="46" t="s">
        <v>199</v>
      </c>
      <c r="F106" s="46">
        <v>105</v>
      </c>
      <c r="G106" s="46" t="s">
        <v>199</v>
      </c>
      <c r="H106" s="46">
        <v>85</v>
      </c>
      <c r="I106" s="46" t="s">
        <v>204</v>
      </c>
      <c r="J106" s="48">
        <v>105</v>
      </c>
      <c r="K106">
        <v>40</v>
      </c>
      <c r="L106" t="s">
        <v>198</v>
      </c>
      <c r="P106">
        <v>293</v>
      </c>
      <c r="Q106">
        <v>1</v>
      </c>
      <c r="R106">
        <v>294</v>
      </c>
    </row>
    <row r="107" spans="1:18" ht="19.899999999999999" customHeight="1" x14ac:dyDescent="0.25">
      <c r="A107" t="str">
        <f t="shared" si="1"/>
        <v>9K29</v>
      </c>
      <c r="B107" s="46" t="s">
        <v>307</v>
      </c>
      <c r="C107" s="46" t="s">
        <v>316</v>
      </c>
      <c r="D107" s="46">
        <v>133</v>
      </c>
      <c r="E107" s="46" t="s">
        <v>227</v>
      </c>
      <c r="F107" s="46">
        <v>91</v>
      </c>
      <c r="G107" s="46" t="s">
        <v>199</v>
      </c>
      <c r="H107" s="46">
        <v>111</v>
      </c>
      <c r="I107" s="46" t="s">
        <v>227</v>
      </c>
      <c r="J107" s="48">
        <v>133</v>
      </c>
      <c r="K107">
        <v>69</v>
      </c>
      <c r="L107" t="s">
        <v>227</v>
      </c>
      <c r="P107">
        <v>2342</v>
      </c>
      <c r="Q107">
        <v>6</v>
      </c>
      <c r="R107">
        <v>2348</v>
      </c>
    </row>
    <row r="108" spans="1:18" ht="19.899999999999999" customHeight="1" x14ac:dyDescent="0.25">
      <c r="A108" t="str">
        <f t="shared" si="1"/>
        <v>9K30</v>
      </c>
      <c r="B108" s="46" t="s">
        <v>307</v>
      </c>
      <c r="C108" s="46" t="s">
        <v>317</v>
      </c>
      <c r="D108" s="46">
        <v>75</v>
      </c>
      <c r="E108" s="46" t="s">
        <v>206</v>
      </c>
      <c r="F108" s="46">
        <v>107</v>
      </c>
      <c r="G108" s="46" t="s">
        <v>195</v>
      </c>
      <c r="H108" s="46">
        <v>75</v>
      </c>
      <c r="I108" s="46" t="s">
        <v>198</v>
      </c>
      <c r="J108" s="48">
        <v>107</v>
      </c>
      <c r="K108">
        <v>58</v>
      </c>
      <c r="L108" t="s">
        <v>222</v>
      </c>
      <c r="P108">
        <v>908</v>
      </c>
      <c r="Q108">
        <v>1</v>
      </c>
      <c r="R108">
        <v>909</v>
      </c>
    </row>
    <row r="109" spans="1:18" ht="19.899999999999999" customHeight="1" x14ac:dyDescent="0.25">
      <c r="A109" t="str">
        <f t="shared" si="1"/>
        <v>9K#2DTR(A)</v>
      </c>
      <c r="B109" s="46" t="s">
        <v>307</v>
      </c>
      <c r="C109" s="46" t="s">
        <v>289</v>
      </c>
      <c r="D109" s="46">
        <v>729</v>
      </c>
      <c r="E109" s="46" t="s">
        <v>199</v>
      </c>
      <c r="F109" s="46">
        <v>712</v>
      </c>
      <c r="G109" s="46" t="s">
        <v>199</v>
      </c>
      <c r="H109" s="46">
        <v>726</v>
      </c>
      <c r="I109" s="46" t="s">
        <v>199</v>
      </c>
      <c r="J109" s="48">
        <v>729</v>
      </c>
      <c r="K109" t="s">
        <v>196</v>
      </c>
      <c r="L109" t="s">
        <v>196</v>
      </c>
      <c r="P109">
        <v>1529</v>
      </c>
      <c r="Q109">
        <v>3</v>
      </c>
      <c r="R109">
        <v>1532</v>
      </c>
    </row>
    <row r="110" spans="1:18" ht="19.899999999999999" customHeight="1" x14ac:dyDescent="0.25">
      <c r="A110" t="str">
        <f t="shared" si="1"/>
        <v>9K31</v>
      </c>
      <c r="B110" s="46" t="s">
        <v>307</v>
      </c>
      <c r="C110" s="46" t="s">
        <v>318</v>
      </c>
      <c r="D110" s="46">
        <v>113</v>
      </c>
      <c r="E110" s="46" t="s">
        <v>195</v>
      </c>
      <c r="F110" s="46">
        <v>91</v>
      </c>
      <c r="G110" s="46" t="s">
        <v>198</v>
      </c>
      <c r="H110" s="46">
        <v>95</v>
      </c>
      <c r="I110" s="46" t="s">
        <v>198</v>
      </c>
      <c r="J110" s="48">
        <v>113</v>
      </c>
      <c r="K110">
        <v>45</v>
      </c>
      <c r="L110" t="s">
        <v>195</v>
      </c>
      <c r="P110">
        <v>5727</v>
      </c>
      <c r="Q110">
        <v>2</v>
      </c>
      <c r="R110">
        <v>5729</v>
      </c>
    </row>
    <row r="111" spans="1:18" ht="19.899999999999999" customHeight="1" x14ac:dyDescent="0.25">
      <c r="A111" t="str">
        <f t="shared" si="1"/>
        <v>9K32</v>
      </c>
      <c r="B111" s="46" t="s">
        <v>307</v>
      </c>
      <c r="C111" s="46" t="s">
        <v>319</v>
      </c>
      <c r="D111" s="46">
        <v>116</v>
      </c>
      <c r="E111" s="46" t="s">
        <v>199</v>
      </c>
      <c r="F111" s="46">
        <v>104</v>
      </c>
      <c r="G111" s="46" t="s">
        <v>199</v>
      </c>
      <c r="H111" s="46">
        <v>103</v>
      </c>
      <c r="I111" s="46" t="s">
        <v>199</v>
      </c>
      <c r="J111" s="48">
        <v>116</v>
      </c>
      <c r="K111">
        <v>24</v>
      </c>
      <c r="L111" t="s">
        <v>218</v>
      </c>
      <c r="P111" t="s">
        <v>192</v>
      </c>
      <c r="Q111" t="s">
        <v>192</v>
      </c>
      <c r="R111">
        <v>0</v>
      </c>
    </row>
    <row r="112" spans="1:18" ht="19.899999999999999" customHeight="1" x14ac:dyDescent="0.25">
      <c r="A112" t="str">
        <f t="shared" si="1"/>
        <v>9K34</v>
      </c>
      <c r="B112" s="46" t="s">
        <v>307</v>
      </c>
      <c r="C112" s="46" t="s">
        <v>320</v>
      </c>
      <c r="D112" s="46">
        <v>165</v>
      </c>
      <c r="E112" s="46" t="s">
        <v>206</v>
      </c>
      <c r="F112" s="46">
        <v>165</v>
      </c>
      <c r="G112" s="46" t="s">
        <v>222</v>
      </c>
      <c r="H112" s="46">
        <v>171</v>
      </c>
      <c r="I112" s="46" t="s">
        <v>206</v>
      </c>
      <c r="J112" s="48">
        <v>171</v>
      </c>
      <c r="K112">
        <v>35</v>
      </c>
      <c r="L112" t="s">
        <v>200</v>
      </c>
      <c r="P112">
        <v>4144</v>
      </c>
      <c r="Q112">
        <v>4</v>
      </c>
      <c r="R112">
        <v>4148</v>
      </c>
    </row>
    <row r="113" spans="1:18" ht="19.899999999999999" customHeight="1" x14ac:dyDescent="0.25">
      <c r="A113" t="str">
        <f t="shared" si="1"/>
        <v>9K35</v>
      </c>
      <c r="B113" s="46" t="s">
        <v>307</v>
      </c>
      <c r="C113" s="46" t="s">
        <v>321</v>
      </c>
      <c r="D113" s="46">
        <v>199</v>
      </c>
      <c r="E113" s="46" t="s">
        <v>200</v>
      </c>
      <c r="F113" s="46">
        <v>210</v>
      </c>
      <c r="G113" s="46" t="s">
        <v>227</v>
      </c>
      <c r="H113" s="46">
        <v>226</v>
      </c>
      <c r="I113" s="46" t="s">
        <v>227</v>
      </c>
      <c r="J113" s="48">
        <v>226</v>
      </c>
      <c r="K113">
        <v>47</v>
      </c>
      <c r="L113" t="s">
        <v>204</v>
      </c>
      <c r="P113">
        <v>465</v>
      </c>
      <c r="Q113">
        <v>1</v>
      </c>
      <c r="R113">
        <v>466</v>
      </c>
    </row>
    <row r="114" spans="1:18" ht="19.899999999999999" customHeight="1" x14ac:dyDescent="0.25">
      <c r="A114" t="str">
        <f t="shared" si="1"/>
        <v>9K33</v>
      </c>
      <c r="B114" s="46" t="s">
        <v>307</v>
      </c>
      <c r="C114" s="46" t="s">
        <v>322</v>
      </c>
      <c r="D114" s="46">
        <v>209</v>
      </c>
      <c r="E114" s="46" t="s">
        <v>199</v>
      </c>
      <c r="F114" s="46">
        <v>208</v>
      </c>
      <c r="G114" s="46" t="s">
        <v>199</v>
      </c>
      <c r="H114" s="46">
        <v>216</v>
      </c>
      <c r="I114" s="46" t="s">
        <v>204</v>
      </c>
      <c r="J114" s="48">
        <v>216</v>
      </c>
      <c r="K114">
        <v>43</v>
      </c>
      <c r="L114" t="s">
        <v>204</v>
      </c>
      <c r="P114">
        <v>1973</v>
      </c>
      <c r="Q114">
        <v>2</v>
      </c>
      <c r="R114">
        <v>1975</v>
      </c>
    </row>
    <row r="115" spans="1:18" ht="19.899999999999999" customHeight="1" x14ac:dyDescent="0.25">
      <c r="A115" t="str">
        <f t="shared" si="1"/>
        <v>9K#2DTR(B)</v>
      </c>
      <c r="B115" s="46" t="s">
        <v>307</v>
      </c>
      <c r="C115" s="46" t="s">
        <v>300</v>
      </c>
      <c r="D115" s="46">
        <v>429</v>
      </c>
      <c r="E115" s="46" t="s">
        <v>204</v>
      </c>
      <c r="F115" s="46">
        <v>385</v>
      </c>
      <c r="G115" s="46" t="s">
        <v>204</v>
      </c>
      <c r="H115" s="46">
        <v>405</v>
      </c>
      <c r="I115" s="46" t="s">
        <v>227</v>
      </c>
      <c r="J115" s="48">
        <v>429</v>
      </c>
      <c r="K115" t="s">
        <v>196</v>
      </c>
      <c r="L115" t="s">
        <v>196</v>
      </c>
      <c r="P115">
        <v>1109</v>
      </c>
      <c r="Q115">
        <v>0</v>
      </c>
      <c r="R115">
        <v>1109</v>
      </c>
    </row>
    <row r="116" spans="1:18" ht="19.899999999999999" customHeight="1" x14ac:dyDescent="0.25">
      <c r="A116" t="str">
        <f t="shared" si="1"/>
        <v>9K36</v>
      </c>
      <c r="B116" s="46" t="s">
        <v>307</v>
      </c>
      <c r="C116" s="46" t="s">
        <v>323</v>
      </c>
      <c r="D116" s="46">
        <v>49</v>
      </c>
      <c r="E116" s="46" t="s">
        <v>206</v>
      </c>
      <c r="F116" s="46">
        <v>36</v>
      </c>
      <c r="G116" s="46" t="s">
        <v>198</v>
      </c>
      <c r="H116" s="46">
        <v>25</v>
      </c>
      <c r="I116" s="46" t="s">
        <v>198</v>
      </c>
      <c r="J116" s="48">
        <v>49</v>
      </c>
      <c r="K116">
        <v>41</v>
      </c>
      <c r="L116" t="s">
        <v>206</v>
      </c>
      <c r="P116">
        <v>2367</v>
      </c>
      <c r="Q116">
        <v>1</v>
      </c>
      <c r="R116">
        <v>2368</v>
      </c>
    </row>
    <row r="117" spans="1:18" ht="19.899999999999999" customHeight="1" x14ac:dyDescent="0.25">
      <c r="A117" t="str">
        <f t="shared" si="1"/>
        <v>9K37</v>
      </c>
      <c r="B117" s="46" t="s">
        <v>307</v>
      </c>
      <c r="C117" s="46" t="s">
        <v>324</v>
      </c>
      <c r="D117" s="46">
        <v>112</v>
      </c>
      <c r="E117" s="46" t="s">
        <v>195</v>
      </c>
      <c r="F117" s="46">
        <v>126</v>
      </c>
      <c r="G117" s="46" t="s">
        <v>195</v>
      </c>
      <c r="H117" s="46">
        <v>126</v>
      </c>
      <c r="I117" s="46" t="s">
        <v>195</v>
      </c>
      <c r="J117" s="48">
        <v>126</v>
      </c>
      <c r="K117">
        <v>43</v>
      </c>
      <c r="L117" t="s">
        <v>227</v>
      </c>
      <c r="P117">
        <v>1965</v>
      </c>
      <c r="Q117">
        <v>2</v>
      </c>
      <c r="R117">
        <v>1967</v>
      </c>
    </row>
    <row r="118" spans="1:18" ht="19.899999999999999" customHeight="1" x14ac:dyDescent="0.25">
      <c r="A118" t="str">
        <f t="shared" si="1"/>
        <v>9K38</v>
      </c>
      <c r="B118" s="46" t="s">
        <v>307</v>
      </c>
      <c r="C118" s="46" t="s">
        <v>325</v>
      </c>
      <c r="D118" s="46">
        <v>99</v>
      </c>
      <c r="E118" s="46" t="s">
        <v>199</v>
      </c>
      <c r="F118" s="46">
        <v>91</v>
      </c>
      <c r="G118" s="46" t="s">
        <v>199</v>
      </c>
      <c r="H118" s="46">
        <v>75</v>
      </c>
      <c r="I118" s="46" t="s">
        <v>202</v>
      </c>
      <c r="J118" s="48">
        <v>99</v>
      </c>
      <c r="K118">
        <v>57</v>
      </c>
      <c r="L118" t="s">
        <v>204</v>
      </c>
      <c r="P118">
        <v>813</v>
      </c>
      <c r="Q118">
        <v>9</v>
      </c>
      <c r="R118">
        <v>822</v>
      </c>
    </row>
    <row r="119" spans="1:18" ht="19.899999999999999" customHeight="1" x14ac:dyDescent="0.25">
      <c r="A119" t="str">
        <f t="shared" si="1"/>
        <v>9K39</v>
      </c>
      <c r="B119" s="46" t="s">
        <v>307</v>
      </c>
      <c r="C119" s="46" t="s">
        <v>326</v>
      </c>
      <c r="D119" s="46">
        <v>59</v>
      </c>
      <c r="E119" s="46" t="s">
        <v>213</v>
      </c>
      <c r="F119" s="46">
        <v>72</v>
      </c>
      <c r="G119" s="46" t="s">
        <v>204</v>
      </c>
      <c r="H119" s="46">
        <v>77</v>
      </c>
      <c r="I119" s="46" t="s">
        <v>204</v>
      </c>
      <c r="J119" s="48">
        <v>77</v>
      </c>
      <c r="K119">
        <v>33</v>
      </c>
      <c r="L119" t="s">
        <v>231</v>
      </c>
      <c r="P119">
        <v>1756</v>
      </c>
      <c r="Q119">
        <v>3</v>
      </c>
      <c r="R119">
        <v>1759</v>
      </c>
    </row>
    <row r="120" spans="1:18" ht="19.899999999999999" customHeight="1" x14ac:dyDescent="0.25">
      <c r="A120" t="str">
        <f t="shared" si="1"/>
        <v>9K40</v>
      </c>
      <c r="B120" s="46" t="s">
        <v>307</v>
      </c>
      <c r="C120" s="46" t="s">
        <v>327</v>
      </c>
      <c r="D120" s="46">
        <v>180</v>
      </c>
      <c r="E120" s="46" t="s">
        <v>204</v>
      </c>
      <c r="F120" s="46">
        <v>124</v>
      </c>
      <c r="G120" s="46" t="s">
        <v>204</v>
      </c>
      <c r="H120" s="46">
        <v>157</v>
      </c>
      <c r="I120" s="46" t="s">
        <v>227</v>
      </c>
      <c r="J120" s="48">
        <v>180</v>
      </c>
      <c r="K120">
        <v>81</v>
      </c>
      <c r="L120" t="s">
        <v>227</v>
      </c>
      <c r="P120">
        <v>1131</v>
      </c>
      <c r="Q120">
        <v>4</v>
      </c>
      <c r="R120">
        <v>1135</v>
      </c>
    </row>
    <row r="121" spans="1:18" ht="19.899999999999999" customHeight="1" x14ac:dyDescent="0.25">
      <c r="A121" t="str">
        <f t="shared" si="1"/>
        <v>IX#1MTR</v>
      </c>
      <c r="B121" s="46" t="s">
        <v>328</v>
      </c>
      <c r="C121" s="46" t="s">
        <v>194</v>
      </c>
      <c r="D121" s="46">
        <v>634</v>
      </c>
      <c r="E121" s="46" t="s">
        <v>195</v>
      </c>
      <c r="F121" s="46">
        <v>678</v>
      </c>
      <c r="G121" s="46" t="s">
        <v>195</v>
      </c>
      <c r="H121" s="46">
        <v>656</v>
      </c>
      <c r="I121" s="46" t="s">
        <v>195</v>
      </c>
      <c r="J121" s="48">
        <v>678</v>
      </c>
      <c r="K121" t="s">
        <v>196</v>
      </c>
      <c r="L121" t="s">
        <v>196</v>
      </c>
      <c r="P121" t="s">
        <v>192</v>
      </c>
      <c r="Q121" t="s">
        <v>192</v>
      </c>
      <c r="R121">
        <v>0</v>
      </c>
    </row>
    <row r="122" spans="1:18" ht="19.899999999999999" customHeight="1" x14ac:dyDescent="0.25">
      <c r="A122" t="str">
        <f t="shared" si="1"/>
        <v>IX25</v>
      </c>
      <c r="B122" s="46" t="s">
        <v>328</v>
      </c>
      <c r="C122" s="46" t="s">
        <v>329</v>
      </c>
      <c r="D122" s="46">
        <v>61</v>
      </c>
      <c r="E122" s="46" t="s">
        <v>204</v>
      </c>
      <c r="F122" s="46">
        <v>84</v>
      </c>
      <c r="G122" s="46" t="s">
        <v>199</v>
      </c>
      <c r="H122" s="46">
        <v>83</v>
      </c>
      <c r="I122" s="46" t="s">
        <v>204</v>
      </c>
      <c r="J122" s="48">
        <v>84</v>
      </c>
      <c r="K122">
        <v>49</v>
      </c>
      <c r="L122" t="s">
        <v>218</v>
      </c>
      <c r="P122">
        <v>1862</v>
      </c>
      <c r="Q122">
        <v>1</v>
      </c>
      <c r="R122">
        <v>1863</v>
      </c>
    </row>
    <row r="123" spans="1:18" ht="19.899999999999999" customHeight="1" x14ac:dyDescent="0.25">
      <c r="A123" t="str">
        <f t="shared" si="1"/>
        <v>IX23</v>
      </c>
      <c r="B123" s="46" t="s">
        <v>328</v>
      </c>
      <c r="C123" s="46" t="s">
        <v>330</v>
      </c>
      <c r="D123" s="46">
        <v>234</v>
      </c>
      <c r="E123" s="46" t="s">
        <v>195</v>
      </c>
      <c r="F123" s="46">
        <v>259</v>
      </c>
      <c r="G123" s="46" t="s">
        <v>195</v>
      </c>
      <c r="H123" s="46">
        <v>216</v>
      </c>
      <c r="I123" s="46" t="s">
        <v>195</v>
      </c>
      <c r="J123" s="48">
        <v>259</v>
      </c>
      <c r="K123">
        <v>49</v>
      </c>
      <c r="L123" t="s">
        <v>235</v>
      </c>
      <c r="P123">
        <v>2278</v>
      </c>
      <c r="Q123">
        <v>7</v>
      </c>
      <c r="R123">
        <v>2285</v>
      </c>
    </row>
    <row r="124" spans="1:18" ht="19.899999999999999" customHeight="1" x14ac:dyDescent="0.25">
      <c r="A124" t="str">
        <f t="shared" si="1"/>
        <v>IX26</v>
      </c>
      <c r="B124" s="46" t="s">
        <v>328</v>
      </c>
      <c r="C124" s="46" t="s">
        <v>331</v>
      </c>
      <c r="D124" s="46">
        <v>202</v>
      </c>
      <c r="E124" s="46" t="s">
        <v>199</v>
      </c>
      <c r="F124" s="46">
        <v>192</v>
      </c>
      <c r="G124" s="46" t="s">
        <v>199</v>
      </c>
      <c r="H124" s="46">
        <v>213</v>
      </c>
      <c r="I124" s="46" t="s">
        <v>195</v>
      </c>
      <c r="J124" s="48">
        <v>213</v>
      </c>
      <c r="K124">
        <v>47</v>
      </c>
      <c r="L124" t="s">
        <v>206</v>
      </c>
      <c r="P124">
        <v>2746</v>
      </c>
      <c r="Q124">
        <v>6</v>
      </c>
      <c r="R124">
        <v>2752</v>
      </c>
    </row>
    <row r="125" spans="1:18" ht="19.899999999999999" customHeight="1" x14ac:dyDescent="0.25">
      <c r="A125" t="str">
        <f t="shared" si="1"/>
        <v>IX30</v>
      </c>
      <c r="B125" s="46" t="s">
        <v>328</v>
      </c>
      <c r="C125" s="46" t="s">
        <v>332</v>
      </c>
      <c r="D125" s="46">
        <v>54</v>
      </c>
      <c r="E125" s="46" t="s">
        <v>238</v>
      </c>
      <c r="F125" s="46">
        <v>54</v>
      </c>
      <c r="G125" s="46" t="s">
        <v>227</v>
      </c>
      <c r="H125" s="46">
        <v>69</v>
      </c>
      <c r="I125" s="46" t="s">
        <v>199</v>
      </c>
      <c r="J125" s="48">
        <v>69</v>
      </c>
      <c r="K125">
        <v>44</v>
      </c>
      <c r="L125" t="s">
        <v>198</v>
      </c>
      <c r="P125">
        <v>413</v>
      </c>
      <c r="Q125" t="s">
        <v>192</v>
      </c>
      <c r="R125">
        <v>413</v>
      </c>
    </row>
    <row r="126" spans="1:18" ht="19.899999999999999" customHeight="1" x14ac:dyDescent="0.25">
      <c r="A126" t="str">
        <f t="shared" si="1"/>
        <v>IX24</v>
      </c>
      <c r="B126" s="46" t="s">
        <v>328</v>
      </c>
      <c r="C126" s="46" t="s">
        <v>333</v>
      </c>
      <c r="D126" s="46">
        <v>99</v>
      </c>
      <c r="E126" s="46" t="s">
        <v>195</v>
      </c>
      <c r="F126" s="46">
        <v>127</v>
      </c>
      <c r="G126" s="46" t="s">
        <v>206</v>
      </c>
      <c r="H126" s="46">
        <v>100</v>
      </c>
      <c r="I126" s="46" t="s">
        <v>195</v>
      </c>
      <c r="J126" s="48">
        <v>127</v>
      </c>
      <c r="K126">
        <v>43</v>
      </c>
      <c r="L126" t="s">
        <v>235</v>
      </c>
      <c r="P126">
        <v>1338</v>
      </c>
      <c r="Q126">
        <v>1</v>
      </c>
      <c r="R126">
        <v>1339</v>
      </c>
    </row>
    <row r="127" spans="1:18" ht="19.899999999999999" customHeight="1" x14ac:dyDescent="0.25">
      <c r="A127" t="str">
        <f t="shared" si="1"/>
        <v>IX#2MTR</v>
      </c>
      <c r="B127" s="46" t="s">
        <v>328</v>
      </c>
      <c r="C127" s="46" t="s">
        <v>209</v>
      </c>
      <c r="D127" s="46">
        <v>501</v>
      </c>
      <c r="E127" s="46" t="s">
        <v>195</v>
      </c>
      <c r="F127" s="46">
        <v>468</v>
      </c>
      <c r="G127" s="46" t="s">
        <v>195</v>
      </c>
      <c r="H127" s="46">
        <v>528</v>
      </c>
      <c r="I127" s="46" t="s">
        <v>195</v>
      </c>
      <c r="J127" s="48">
        <v>528</v>
      </c>
      <c r="K127" t="s">
        <v>196</v>
      </c>
      <c r="L127" t="s">
        <v>196</v>
      </c>
      <c r="P127">
        <v>2757</v>
      </c>
      <c r="Q127">
        <v>1</v>
      </c>
      <c r="R127">
        <v>2758</v>
      </c>
    </row>
    <row r="128" spans="1:18" ht="19.899999999999999" customHeight="1" x14ac:dyDescent="0.25">
      <c r="A128" t="str">
        <f t="shared" si="1"/>
        <v>IX28</v>
      </c>
      <c r="B128" s="46" t="s">
        <v>328</v>
      </c>
      <c r="C128" s="46" t="s">
        <v>334</v>
      </c>
      <c r="D128" s="46">
        <v>223</v>
      </c>
      <c r="E128" s="46" t="s">
        <v>204</v>
      </c>
      <c r="F128" s="46">
        <v>227</v>
      </c>
      <c r="G128" s="46" t="s">
        <v>204</v>
      </c>
      <c r="H128" s="46">
        <v>224</v>
      </c>
      <c r="I128" s="46" t="s">
        <v>204</v>
      </c>
      <c r="J128" s="48">
        <v>227</v>
      </c>
      <c r="K128">
        <v>21</v>
      </c>
      <c r="L128" t="s">
        <v>195</v>
      </c>
      <c r="P128">
        <v>18</v>
      </c>
      <c r="Q128">
        <v>1</v>
      </c>
      <c r="R128">
        <v>19</v>
      </c>
    </row>
    <row r="129" spans="1:18" ht="19.899999999999999" customHeight="1" x14ac:dyDescent="0.25">
      <c r="A129" t="str">
        <f t="shared" si="1"/>
        <v>IX34</v>
      </c>
      <c r="B129" s="46" t="s">
        <v>328</v>
      </c>
      <c r="C129" s="46" t="s">
        <v>335</v>
      </c>
      <c r="D129" s="46">
        <v>121</v>
      </c>
      <c r="E129" s="46" t="s">
        <v>235</v>
      </c>
      <c r="F129" s="46">
        <v>125</v>
      </c>
      <c r="G129" s="46" t="s">
        <v>195</v>
      </c>
      <c r="H129" s="46">
        <v>106</v>
      </c>
      <c r="I129" s="46" t="s">
        <v>206</v>
      </c>
      <c r="J129" s="48">
        <v>125</v>
      </c>
      <c r="K129">
        <v>45</v>
      </c>
      <c r="L129" t="s">
        <v>220</v>
      </c>
      <c r="P129">
        <v>1600</v>
      </c>
      <c r="Q129">
        <v>0</v>
      </c>
      <c r="R129">
        <v>1600</v>
      </c>
    </row>
    <row r="130" spans="1:18" ht="19.899999999999999" customHeight="1" x14ac:dyDescent="0.25">
      <c r="A130" t="str">
        <f t="shared" si="1"/>
        <v>IX31</v>
      </c>
      <c r="B130" s="46" t="s">
        <v>328</v>
      </c>
      <c r="C130" s="46" t="s">
        <v>336</v>
      </c>
      <c r="D130" s="46">
        <v>74</v>
      </c>
      <c r="E130" s="46" t="s">
        <v>195</v>
      </c>
      <c r="F130" s="46">
        <v>67</v>
      </c>
      <c r="G130" s="46" t="s">
        <v>204</v>
      </c>
      <c r="H130" s="46">
        <v>89</v>
      </c>
      <c r="I130" s="46" t="s">
        <v>195</v>
      </c>
      <c r="J130" s="48">
        <v>89</v>
      </c>
      <c r="K130">
        <v>33</v>
      </c>
      <c r="L130" t="s">
        <v>195</v>
      </c>
      <c r="P130">
        <v>2985</v>
      </c>
      <c r="Q130">
        <v>6</v>
      </c>
      <c r="R130">
        <v>2991</v>
      </c>
    </row>
    <row r="131" spans="1:18" ht="19.899999999999999" customHeight="1" x14ac:dyDescent="0.25">
      <c r="A131" t="str">
        <f t="shared" si="1"/>
        <v>IX33</v>
      </c>
      <c r="B131" s="46" t="s">
        <v>328</v>
      </c>
      <c r="C131" s="46" t="s">
        <v>337</v>
      </c>
      <c r="D131" s="46">
        <v>103</v>
      </c>
      <c r="E131" s="46" t="s">
        <v>195</v>
      </c>
      <c r="F131" s="46">
        <v>75</v>
      </c>
      <c r="G131" s="46" t="s">
        <v>202</v>
      </c>
      <c r="H131" s="46">
        <v>114</v>
      </c>
      <c r="I131" s="46" t="s">
        <v>195</v>
      </c>
      <c r="J131" s="48">
        <v>114</v>
      </c>
      <c r="K131">
        <v>44</v>
      </c>
      <c r="L131" t="s">
        <v>235</v>
      </c>
      <c r="P131">
        <v>4253</v>
      </c>
      <c r="Q131" t="s">
        <v>192</v>
      </c>
      <c r="R131">
        <v>4253</v>
      </c>
    </row>
    <row r="132" spans="1:18" ht="19.899999999999999" customHeight="1" x14ac:dyDescent="0.25">
      <c r="A132" t="str">
        <f t="shared" ref="A132:A195" si="2">IF(COUNTIF(C132,"*TR*")&gt;0,SUBSTITUTE(RIGHT(B132,3) &amp; C132," ",""),MID(C132,FIND("(",C132)+1,4))</f>
        <v>IX32</v>
      </c>
      <c r="B132" s="46" t="s">
        <v>328</v>
      </c>
      <c r="C132" s="46" t="s">
        <v>338</v>
      </c>
      <c r="D132" s="46">
        <v>58</v>
      </c>
      <c r="E132" s="46" t="s">
        <v>195</v>
      </c>
      <c r="F132" s="46">
        <v>45</v>
      </c>
      <c r="G132" s="46" t="s">
        <v>206</v>
      </c>
      <c r="H132" s="46">
        <v>60</v>
      </c>
      <c r="I132" s="46" t="s">
        <v>206</v>
      </c>
      <c r="J132" s="48">
        <v>60</v>
      </c>
      <c r="K132">
        <v>26</v>
      </c>
      <c r="L132" t="s">
        <v>204</v>
      </c>
      <c r="P132">
        <v>1111</v>
      </c>
      <c r="Q132">
        <v>2</v>
      </c>
      <c r="R132">
        <v>1113</v>
      </c>
    </row>
    <row r="133" spans="1:18" ht="19.899999999999999" customHeight="1" x14ac:dyDescent="0.25">
      <c r="A133" t="str">
        <f t="shared" si="2"/>
        <v>IX#3MTR</v>
      </c>
      <c r="B133" s="46" t="s">
        <v>328</v>
      </c>
      <c r="C133" s="46" t="s">
        <v>217</v>
      </c>
      <c r="D133" s="46">
        <v>640</v>
      </c>
      <c r="E133" s="46" t="s">
        <v>195</v>
      </c>
      <c r="F133" s="46">
        <v>662</v>
      </c>
      <c r="G133" s="46" t="s">
        <v>195</v>
      </c>
      <c r="H133" s="46">
        <v>675</v>
      </c>
      <c r="I133" s="46" t="s">
        <v>195</v>
      </c>
      <c r="J133" s="48">
        <v>675</v>
      </c>
      <c r="K133" t="s">
        <v>196</v>
      </c>
      <c r="L133" t="s">
        <v>196</v>
      </c>
      <c r="P133">
        <v>216</v>
      </c>
      <c r="Q133">
        <v>1</v>
      </c>
      <c r="R133">
        <v>217</v>
      </c>
    </row>
    <row r="134" spans="1:18" ht="19.899999999999999" customHeight="1" x14ac:dyDescent="0.25">
      <c r="A134" t="str">
        <f t="shared" si="2"/>
        <v>IX22</v>
      </c>
      <c r="B134" s="46" t="s">
        <v>328</v>
      </c>
      <c r="C134" s="46" t="s">
        <v>339</v>
      </c>
      <c r="D134" s="46">
        <v>119</v>
      </c>
      <c r="E134" s="46" t="s">
        <v>195</v>
      </c>
      <c r="F134" s="46">
        <v>102</v>
      </c>
      <c r="G134" s="46" t="s">
        <v>195</v>
      </c>
      <c r="H134" s="46">
        <v>119</v>
      </c>
      <c r="I134" s="46" t="s">
        <v>195</v>
      </c>
      <c r="J134" s="48">
        <v>119</v>
      </c>
      <c r="K134">
        <v>36</v>
      </c>
      <c r="L134" t="s">
        <v>215</v>
      </c>
      <c r="P134">
        <v>2611</v>
      </c>
      <c r="Q134">
        <v>1</v>
      </c>
      <c r="R134">
        <v>2612</v>
      </c>
    </row>
    <row r="135" spans="1:18" ht="19.899999999999999" customHeight="1" x14ac:dyDescent="0.25">
      <c r="A135" t="str">
        <f t="shared" si="2"/>
        <v>IX20</v>
      </c>
      <c r="B135" s="46" t="s">
        <v>328</v>
      </c>
      <c r="C135" s="46" t="s">
        <v>340</v>
      </c>
      <c r="D135" s="46">
        <v>171</v>
      </c>
      <c r="E135" s="46" t="s">
        <v>195</v>
      </c>
      <c r="F135" s="46">
        <v>141</v>
      </c>
      <c r="G135" s="46" t="s">
        <v>206</v>
      </c>
      <c r="H135" s="46">
        <v>148</v>
      </c>
      <c r="I135" s="46" t="s">
        <v>206</v>
      </c>
      <c r="J135" s="48">
        <v>171</v>
      </c>
      <c r="K135">
        <v>38</v>
      </c>
      <c r="L135" t="s">
        <v>202</v>
      </c>
      <c r="P135">
        <v>2600</v>
      </c>
      <c r="Q135">
        <v>8</v>
      </c>
      <c r="R135">
        <v>2608</v>
      </c>
    </row>
    <row r="136" spans="1:18" ht="19.899999999999999" customHeight="1" x14ac:dyDescent="0.25">
      <c r="A136" t="str">
        <f t="shared" si="2"/>
        <v>IX21</v>
      </c>
      <c r="B136" s="46" t="s">
        <v>328</v>
      </c>
      <c r="C136" s="46" t="s">
        <v>341</v>
      </c>
      <c r="D136" s="46">
        <v>98</v>
      </c>
      <c r="E136" s="46" t="s">
        <v>195</v>
      </c>
      <c r="F136" s="46">
        <v>104</v>
      </c>
      <c r="G136" s="46" t="s">
        <v>198</v>
      </c>
      <c r="H136" s="46">
        <v>91</v>
      </c>
      <c r="I136" s="46" t="s">
        <v>195</v>
      </c>
      <c r="J136" s="48">
        <v>104</v>
      </c>
      <c r="K136">
        <v>32</v>
      </c>
      <c r="L136" t="s">
        <v>220</v>
      </c>
      <c r="P136">
        <v>1053</v>
      </c>
      <c r="Q136">
        <v>4</v>
      </c>
      <c r="R136">
        <v>1057</v>
      </c>
    </row>
    <row r="137" spans="1:18" ht="19.899999999999999" customHeight="1" x14ac:dyDescent="0.25">
      <c r="A137" t="str">
        <f t="shared" si="2"/>
        <v>IX29</v>
      </c>
      <c r="B137" s="46" t="s">
        <v>328</v>
      </c>
      <c r="C137" s="46" t="s">
        <v>342</v>
      </c>
      <c r="D137" s="46">
        <v>114</v>
      </c>
      <c r="E137" s="46" t="s">
        <v>195</v>
      </c>
      <c r="F137" s="46">
        <v>150</v>
      </c>
      <c r="G137" s="46" t="s">
        <v>195</v>
      </c>
      <c r="H137" s="46">
        <v>135</v>
      </c>
      <c r="I137" s="46" t="s">
        <v>206</v>
      </c>
      <c r="J137" s="48">
        <v>150</v>
      </c>
      <c r="K137">
        <v>43</v>
      </c>
      <c r="L137" t="s">
        <v>231</v>
      </c>
      <c r="P137">
        <v>1910</v>
      </c>
      <c r="Q137">
        <v>4</v>
      </c>
      <c r="R137">
        <v>1914</v>
      </c>
    </row>
    <row r="138" spans="1:18" ht="19.899999999999999" customHeight="1" x14ac:dyDescent="0.25">
      <c r="A138" t="str">
        <f t="shared" si="2"/>
        <v>IX27</v>
      </c>
      <c r="B138" s="46" t="s">
        <v>328</v>
      </c>
      <c r="C138" s="46" t="s">
        <v>343</v>
      </c>
      <c r="D138" s="46">
        <v>142</v>
      </c>
      <c r="E138" s="46" t="s">
        <v>195</v>
      </c>
      <c r="F138" s="46">
        <v>176</v>
      </c>
      <c r="G138" s="46" t="s">
        <v>195</v>
      </c>
      <c r="H138" s="46">
        <v>198</v>
      </c>
      <c r="I138" s="46" t="s">
        <v>198</v>
      </c>
      <c r="J138" s="48">
        <v>198</v>
      </c>
      <c r="K138">
        <v>66</v>
      </c>
      <c r="L138" t="s">
        <v>198</v>
      </c>
      <c r="P138">
        <v>1669</v>
      </c>
      <c r="Q138">
        <v>3</v>
      </c>
      <c r="R138">
        <v>1672</v>
      </c>
    </row>
    <row r="139" spans="1:18" ht="19.899999999999999" customHeight="1" x14ac:dyDescent="0.25">
      <c r="A139" t="str">
        <f t="shared" si="2"/>
        <v>IG#1DTR(A)</v>
      </c>
      <c r="B139" s="46" t="s">
        <v>344</v>
      </c>
      <c r="C139" s="46" t="s">
        <v>272</v>
      </c>
      <c r="D139" s="46">
        <v>621</v>
      </c>
      <c r="E139" s="46" t="s">
        <v>204</v>
      </c>
      <c r="F139" s="46">
        <v>612</v>
      </c>
      <c r="G139" s="46" t="s">
        <v>204</v>
      </c>
      <c r="H139" s="46">
        <v>606</v>
      </c>
      <c r="I139" s="46" t="s">
        <v>204</v>
      </c>
      <c r="J139" s="48">
        <v>621</v>
      </c>
      <c r="K139" t="s">
        <v>196</v>
      </c>
      <c r="L139" t="s">
        <v>196</v>
      </c>
      <c r="P139">
        <v>1997</v>
      </c>
      <c r="Q139">
        <v>2</v>
      </c>
      <c r="R139">
        <v>1999</v>
      </c>
    </row>
    <row r="140" spans="1:18" ht="19.899999999999999" customHeight="1" x14ac:dyDescent="0.25">
      <c r="A140" t="str">
        <f t="shared" si="2"/>
        <v>IG30</v>
      </c>
      <c r="B140" s="46" t="s">
        <v>344</v>
      </c>
      <c r="C140" s="46" t="s">
        <v>345</v>
      </c>
      <c r="D140" s="46">
        <v>39</v>
      </c>
      <c r="E140" s="46" t="s">
        <v>199</v>
      </c>
      <c r="F140" s="46">
        <v>24</v>
      </c>
      <c r="G140" s="46" t="s">
        <v>213</v>
      </c>
      <c r="H140" s="46">
        <v>36</v>
      </c>
      <c r="I140" s="46" t="s">
        <v>199</v>
      </c>
      <c r="J140" s="48">
        <v>39</v>
      </c>
      <c r="K140">
        <v>21</v>
      </c>
      <c r="L140" t="s">
        <v>204</v>
      </c>
      <c r="P140">
        <v>974</v>
      </c>
      <c r="Q140">
        <v>2</v>
      </c>
      <c r="R140">
        <v>976</v>
      </c>
    </row>
    <row r="141" spans="1:18" ht="19.899999999999999" customHeight="1" x14ac:dyDescent="0.25">
      <c r="A141" t="str">
        <f t="shared" si="2"/>
        <v>IG31</v>
      </c>
      <c r="B141" s="46" t="s">
        <v>344</v>
      </c>
      <c r="C141" s="46" t="s">
        <v>346</v>
      </c>
      <c r="D141" s="46">
        <v>206</v>
      </c>
      <c r="E141" s="46" t="s">
        <v>204</v>
      </c>
      <c r="F141" s="46">
        <v>214</v>
      </c>
      <c r="G141" s="46" t="s">
        <v>204</v>
      </c>
      <c r="H141" s="46">
        <v>206</v>
      </c>
      <c r="I141" s="46" t="s">
        <v>204</v>
      </c>
      <c r="J141" s="48">
        <v>214</v>
      </c>
      <c r="K141">
        <v>10</v>
      </c>
      <c r="L141" t="s">
        <v>213</v>
      </c>
      <c r="P141">
        <v>970</v>
      </c>
      <c r="Q141">
        <v>1</v>
      </c>
      <c r="R141">
        <v>971</v>
      </c>
    </row>
    <row r="142" spans="1:18" ht="19.899999999999999" customHeight="1" x14ac:dyDescent="0.25">
      <c r="A142" t="str">
        <f t="shared" si="2"/>
        <v>IG32</v>
      </c>
      <c r="B142" s="46" t="s">
        <v>344</v>
      </c>
      <c r="C142" s="46" t="s">
        <v>347</v>
      </c>
      <c r="D142" s="46">
        <v>160</v>
      </c>
      <c r="E142" s="46" t="s">
        <v>204</v>
      </c>
      <c r="F142" s="46">
        <v>164</v>
      </c>
      <c r="G142" s="46" t="s">
        <v>204</v>
      </c>
      <c r="H142" s="46">
        <v>165</v>
      </c>
      <c r="I142" s="46" t="s">
        <v>204</v>
      </c>
      <c r="J142" s="48">
        <v>165</v>
      </c>
      <c r="K142">
        <v>9</v>
      </c>
      <c r="L142" t="s">
        <v>195</v>
      </c>
      <c r="P142">
        <v>907</v>
      </c>
      <c r="Q142">
        <v>3</v>
      </c>
      <c r="R142">
        <v>910</v>
      </c>
    </row>
    <row r="143" spans="1:18" ht="19.899999999999999" customHeight="1" x14ac:dyDescent="0.25">
      <c r="A143" t="str">
        <f t="shared" si="2"/>
        <v>IG33</v>
      </c>
      <c r="B143" s="46" t="s">
        <v>344</v>
      </c>
      <c r="C143" s="46" t="s">
        <v>348</v>
      </c>
      <c r="D143" s="46">
        <v>190</v>
      </c>
      <c r="E143" s="46" t="s">
        <v>195</v>
      </c>
      <c r="F143" s="46">
        <v>204</v>
      </c>
      <c r="G143" s="46" t="s">
        <v>195</v>
      </c>
      <c r="H143" s="46">
        <v>206</v>
      </c>
      <c r="I143" s="46" t="s">
        <v>195</v>
      </c>
      <c r="J143" s="48">
        <v>206</v>
      </c>
      <c r="K143">
        <v>21</v>
      </c>
      <c r="L143" t="s">
        <v>220</v>
      </c>
      <c r="P143">
        <v>1943</v>
      </c>
      <c r="Q143">
        <v>4</v>
      </c>
      <c r="R143">
        <v>1947</v>
      </c>
    </row>
    <row r="144" spans="1:18" ht="19.899999999999999" customHeight="1" x14ac:dyDescent="0.25">
      <c r="A144" t="str">
        <f t="shared" si="2"/>
        <v>IG34</v>
      </c>
      <c r="B144" s="46" t="s">
        <v>344</v>
      </c>
      <c r="C144" s="46" t="s">
        <v>349</v>
      </c>
      <c r="D144" s="46">
        <v>68</v>
      </c>
      <c r="E144" s="46" t="s">
        <v>195</v>
      </c>
      <c r="F144" s="46">
        <v>60</v>
      </c>
      <c r="G144" s="46" t="s">
        <v>195</v>
      </c>
      <c r="H144" s="46">
        <v>49</v>
      </c>
      <c r="I144" s="46" t="s">
        <v>235</v>
      </c>
      <c r="J144" s="48">
        <v>68</v>
      </c>
      <c r="K144">
        <v>37</v>
      </c>
      <c r="L144" t="s">
        <v>218</v>
      </c>
      <c r="P144">
        <v>1804</v>
      </c>
      <c r="Q144" t="s">
        <v>192</v>
      </c>
      <c r="R144">
        <v>1804</v>
      </c>
    </row>
    <row r="145" spans="1:18" ht="19.899999999999999" customHeight="1" x14ac:dyDescent="0.25">
      <c r="A145" t="str">
        <f t="shared" si="2"/>
        <v>IG#1DTR(B)</v>
      </c>
      <c r="B145" s="46" t="s">
        <v>344</v>
      </c>
      <c r="C145" s="46" t="s">
        <v>279</v>
      </c>
      <c r="D145" s="46">
        <v>609</v>
      </c>
      <c r="E145" s="46" t="s">
        <v>195</v>
      </c>
      <c r="F145" s="46">
        <v>649</v>
      </c>
      <c r="G145" s="46" t="s">
        <v>195</v>
      </c>
      <c r="H145" s="46">
        <v>586</v>
      </c>
      <c r="I145" s="46" t="s">
        <v>195</v>
      </c>
      <c r="J145" s="48">
        <v>649</v>
      </c>
      <c r="K145" t="s">
        <v>196</v>
      </c>
      <c r="L145" t="s">
        <v>196</v>
      </c>
      <c r="P145">
        <v>1391</v>
      </c>
      <c r="Q145">
        <v>1</v>
      </c>
      <c r="R145">
        <v>1392</v>
      </c>
    </row>
    <row r="146" spans="1:18" ht="19.899999999999999" customHeight="1" x14ac:dyDescent="0.25">
      <c r="A146" t="str">
        <f t="shared" si="2"/>
        <v>IG35</v>
      </c>
      <c r="B146" s="46" t="s">
        <v>344</v>
      </c>
      <c r="C146" s="46" t="s">
        <v>350</v>
      </c>
      <c r="D146" s="46">
        <v>64</v>
      </c>
      <c r="E146" s="46" t="s">
        <v>213</v>
      </c>
      <c r="F146" s="46">
        <v>66</v>
      </c>
      <c r="G146" s="46" t="s">
        <v>204</v>
      </c>
      <c r="H146" s="46">
        <v>51</v>
      </c>
      <c r="I146" s="46" t="s">
        <v>213</v>
      </c>
      <c r="J146" s="48">
        <v>66</v>
      </c>
      <c r="K146">
        <v>28</v>
      </c>
      <c r="L146" t="s">
        <v>222</v>
      </c>
      <c r="P146">
        <v>2326</v>
      </c>
      <c r="Q146">
        <v>1</v>
      </c>
      <c r="R146">
        <v>2327</v>
      </c>
    </row>
    <row r="147" spans="1:18" ht="19.899999999999999" customHeight="1" x14ac:dyDescent="0.25">
      <c r="A147" t="str">
        <f t="shared" si="2"/>
        <v>IG36</v>
      </c>
      <c r="B147" s="46" t="s">
        <v>344</v>
      </c>
      <c r="C147" s="46" t="s">
        <v>351</v>
      </c>
      <c r="D147" s="46">
        <v>96</v>
      </c>
      <c r="E147" s="46" t="s">
        <v>195</v>
      </c>
      <c r="F147" s="46">
        <v>73</v>
      </c>
      <c r="G147" s="46" t="s">
        <v>235</v>
      </c>
      <c r="H147" s="46">
        <v>75</v>
      </c>
      <c r="I147" s="46" t="s">
        <v>195</v>
      </c>
      <c r="J147" s="48">
        <v>96</v>
      </c>
      <c r="K147">
        <v>26</v>
      </c>
      <c r="L147" t="s">
        <v>195</v>
      </c>
      <c r="P147">
        <v>3670</v>
      </c>
      <c r="Q147">
        <v>3</v>
      </c>
      <c r="R147">
        <v>3673</v>
      </c>
    </row>
    <row r="148" spans="1:18" ht="19.899999999999999" customHeight="1" x14ac:dyDescent="0.25">
      <c r="A148" t="str">
        <f t="shared" si="2"/>
        <v>IG37</v>
      </c>
      <c r="B148" s="46" t="s">
        <v>344</v>
      </c>
      <c r="C148" s="46" t="s">
        <v>352</v>
      </c>
      <c r="D148" s="46">
        <v>156</v>
      </c>
      <c r="E148" s="46" t="s">
        <v>202</v>
      </c>
      <c r="F148" s="46">
        <v>170</v>
      </c>
      <c r="G148" s="46" t="s">
        <v>202</v>
      </c>
      <c r="H148" s="46">
        <v>173</v>
      </c>
      <c r="I148" s="46" t="s">
        <v>202</v>
      </c>
      <c r="J148" s="48">
        <v>173</v>
      </c>
      <c r="K148">
        <v>35</v>
      </c>
      <c r="L148" t="s">
        <v>195</v>
      </c>
      <c r="P148">
        <v>3252</v>
      </c>
      <c r="Q148">
        <v>3</v>
      </c>
      <c r="R148">
        <v>3255</v>
      </c>
    </row>
    <row r="149" spans="1:18" ht="19.899999999999999" customHeight="1" x14ac:dyDescent="0.25">
      <c r="A149" t="str">
        <f t="shared" si="2"/>
        <v>IG38</v>
      </c>
      <c r="B149" s="46" t="s">
        <v>344</v>
      </c>
      <c r="C149" s="46" t="s">
        <v>353</v>
      </c>
      <c r="D149" s="46">
        <v>168</v>
      </c>
      <c r="E149" s="46" t="s">
        <v>206</v>
      </c>
      <c r="F149" s="46">
        <v>163</v>
      </c>
      <c r="G149" s="46" t="s">
        <v>198</v>
      </c>
      <c r="H149" s="46">
        <v>133</v>
      </c>
      <c r="I149" s="46" t="s">
        <v>198</v>
      </c>
      <c r="J149" s="48">
        <v>168</v>
      </c>
      <c r="K149">
        <v>68</v>
      </c>
      <c r="L149" t="s">
        <v>222</v>
      </c>
      <c r="P149">
        <v>948</v>
      </c>
      <c r="Q149">
        <v>1</v>
      </c>
      <c r="R149">
        <v>949</v>
      </c>
    </row>
    <row r="150" spans="1:18" ht="19.899999999999999" customHeight="1" x14ac:dyDescent="0.25">
      <c r="A150" t="str">
        <f t="shared" si="2"/>
        <v>IG39</v>
      </c>
      <c r="B150" s="46" t="s">
        <v>344</v>
      </c>
      <c r="C150" s="46" t="s">
        <v>354</v>
      </c>
      <c r="D150" s="46">
        <v>161</v>
      </c>
      <c r="E150" s="46" t="s">
        <v>206</v>
      </c>
      <c r="F150" s="46">
        <v>210</v>
      </c>
      <c r="G150" s="46" t="s">
        <v>198</v>
      </c>
      <c r="H150" s="46">
        <v>172</v>
      </c>
      <c r="I150" s="46" t="s">
        <v>206</v>
      </c>
      <c r="J150" s="48">
        <v>210</v>
      </c>
      <c r="K150">
        <v>49</v>
      </c>
      <c r="L150" t="s">
        <v>198</v>
      </c>
      <c r="P150">
        <v>1944</v>
      </c>
      <c r="Q150">
        <v>2</v>
      </c>
      <c r="R150">
        <v>1946</v>
      </c>
    </row>
    <row r="151" spans="1:18" ht="19.899999999999999" customHeight="1" x14ac:dyDescent="0.25">
      <c r="A151" t="str">
        <f t="shared" si="2"/>
        <v>IG#2DTR(A)</v>
      </c>
      <c r="B151" s="46" t="s">
        <v>344</v>
      </c>
      <c r="C151" s="46" t="s">
        <v>289</v>
      </c>
      <c r="D151" s="46">
        <v>433</v>
      </c>
      <c r="E151" s="46" t="s">
        <v>195</v>
      </c>
      <c r="F151" s="46">
        <v>424</v>
      </c>
      <c r="G151" s="46" t="s">
        <v>195</v>
      </c>
      <c r="H151" s="46">
        <v>430</v>
      </c>
      <c r="I151" s="46" t="s">
        <v>202</v>
      </c>
      <c r="J151" s="48">
        <v>433</v>
      </c>
      <c r="K151" t="s">
        <v>196</v>
      </c>
      <c r="L151" t="s">
        <v>196</v>
      </c>
      <c r="P151">
        <v>505</v>
      </c>
      <c r="Q151" t="s">
        <v>192</v>
      </c>
      <c r="R151">
        <v>505</v>
      </c>
    </row>
    <row r="152" spans="1:18" ht="19.899999999999999" customHeight="1" x14ac:dyDescent="0.25">
      <c r="A152" t="str">
        <f t="shared" si="2"/>
        <v>IG40</v>
      </c>
      <c r="B152" s="46" t="s">
        <v>344</v>
      </c>
      <c r="C152" s="46" t="s">
        <v>355</v>
      </c>
      <c r="D152" s="46">
        <v>174</v>
      </c>
      <c r="E152" s="46" t="s">
        <v>199</v>
      </c>
      <c r="F152" s="46">
        <v>172</v>
      </c>
      <c r="G152" s="46" t="s">
        <v>199</v>
      </c>
      <c r="H152" s="46">
        <v>164</v>
      </c>
      <c r="I152" s="46" t="s">
        <v>199</v>
      </c>
      <c r="J152" s="48">
        <v>174</v>
      </c>
      <c r="K152">
        <v>38</v>
      </c>
      <c r="L152" t="s">
        <v>302</v>
      </c>
      <c r="P152">
        <v>1382</v>
      </c>
      <c r="Q152" t="s">
        <v>192</v>
      </c>
      <c r="R152">
        <v>1382</v>
      </c>
    </row>
    <row r="153" spans="1:18" ht="19.899999999999999" customHeight="1" x14ac:dyDescent="0.25">
      <c r="A153" t="str">
        <f t="shared" si="2"/>
        <v>IG41</v>
      </c>
      <c r="B153" s="46" t="s">
        <v>344</v>
      </c>
      <c r="C153" s="46" t="s">
        <v>356</v>
      </c>
      <c r="D153" s="46">
        <v>224</v>
      </c>
      <c r="E153" s="46" t="s">
        <v>202</v>
      </c>
      <c r="F153" s="46">
        <v>218</v>
      </c>
      <c r="G153" s="46" t="s">
        <v>202</v>
      </c>
      <c r="H153" s="46">
        <v>254</v>
      </c>
      <c r="I153" s="46" t="s">
        <v>202</v>
      </c>
      <c r="J153" s="48">
        <v>254</v>
      </c>
      <c r="K153">
        <v>79</v>
      </c>
      <c r="L153" t="s">
        <v>231</v>
      </c>
      <c r="P153">
        <v>237</v>
      </c>
      <c r="Q153">
        <v>1</v>
      </c>
      <c r="R153">
        <v>238</v>
      </c>
    </row>
    <row r="154" spans="1:18" ht="19.899999999999999" customHeight="1" x14ac:dyDescent="0.25">
      <c r="A154" t="str">
        <f t="shared" si="2"/>
        <v>IG43</v>
      </c>
      <c r="B154" s="46" t="s">
        <v>344</v>
      </c>
      <c r="C154" s="46" t="s">
        <v>357</v>
      </c>
      <c r="D154" s="46">
        <v>235</v>
      </c>
      <c r="E154" s="46" t="s">
        <v>199</v>
      </c>
      <c r="F154" s="46">
        <v>219</v>
      </c>
      <c r="G154" s="46" t="s">
        <v>202</v>
      </c>
      <c r="H154" s="46">
        <v>228</v>
      </c>
      <c r="I154" s="46" t="s">
        <v>199</v>
      </c>
      <c r="J154" s="48">
        <v>235</v>
      </c>
      <c r="K154">
        <v>24</v>
      </c>
      <c r="L154" t="s">
        <v>213</v>
      </c>
      <c r="P154">
        <v>595</v>
      </c>
      <c r="Q154">
        <v>3</v>
      </c>
      <c r="R154">
        <v>598</v>
      </c>
    </row>
    <row r="155" spans="1:18" ht="19.899999999999999" customHeight="1" x14ac:dyDescent="0.25">
      <c r="A155" t="str">
        <f t="shared" si="2"/>
        <v>IG44</v>
      </c>
      <c r="B155" s="46" t="s">
        <v>344</v>
      </c>
      <c r="C155" s="46" t="s">
        <v>358</v>
      </c>
      <c r="D155" s="46">
        <v>209</v>
      </c>
      <c r="E155" s="46" t="s">
        <v>195</v>
      </c>
      <c r="F155" s="46">
        <v>206</v>
      </c>
      <c r="G155" s="46" t="s">
        <v>195</v>
      </c>
      <c r="H155" s="46">
        <v>220</v>
      </c>
      <c r="I155" s="46" t="s">
        <v>195</v>
      </c>
      <c r="J155" s="48">
        <v>220</v>
      </c>
      <c r="K155">
        <v>32</v>
      </c>
      <c r="L155" t="s">
        <v>199</v>
      </c>
      <c r="P155">
        <v>208</v>
      </c>
      <c r="Q155" t="s">
        <v>192</v>
      </c>
      <c r="R155">
        <v>208</v>
      </c>
    </row>
    <row r="156" spans="1:18" ht="19.899999999999999" customHeight="1" x14ac:dyDescent="0.25">
      <c r="A156" t="str">
        <f t="shared" si="2"/>
        <v>IG42</v>
      </c>
      <c r="B156" s="46" t="s">
        <v>344</v>
      </c>
      <c r="C156" s="46" t="s">
        <v>359</v>
      </c>
      <c r="D156" s="46">
        <v>61</v>
      </c>
      <c r="E156" s="46" t="s">
        <v>195</v>
      </c>
      <c r="F156" s="46">
        <v>65</v>
      </c>
      <c r="G156" s="46" t="s">
        <v>195</v>
      </c>
      <c r="H156" s="46">
        <v>54</v>
      </c>
      <c r="I156" s="46" t="s">
        <v>195</v>
      </c>
      <c r="J156" s="48">
        <v>65</v>
      </c>
      <c r="K156">
        <v>20</v>
      </c>
      <c r="L156" t="s">
        <v>204</v>
      </c>
      <c r="P156">
        <v>3141</v>
      </c>
      <c r="Q156">
        <v>8</v>
      </c>
      <c r="R156">
        <v>3149</v>
      </c>
    </row>
    <row r="157" spans="1:18" ht="19.899999999999999" customHeight="1" x14ac:dyDescent="0.25">
      <c r="A157" t="str">
        <f t="shared" si="2"/>
        <v>IG#2DTR(B)</v>
      </c>
      <c r="B157" s="46" t="s">
        <v>344</v>
      </c>
      <c r="C157" s="46" t="s">
        <v>300</v>
      </c>
      <c r="D157" s="46">
        <v>483</v>
      </c>
      <c r="E157" s="46" t="s">
        <v>204</v>
      </c>
      <c r="F157" s="46">
        <v>507</v>
      </c>
      <c r="G157" s="46" t="s">
        <v>204</v>
      </c>
      <c r="H157" s="46">
        <v>513</v>
      </c>
      <c r="I157" s="46" t="s">
        <v>204</v>
      </c>
      <c r="J157" s="48">
        <v>513</v>
      </c>
      <c r="K157" t="s">
        <v>196</v>
      </c>
      <c r="L157" t="s">
        <v>196</v>
      </c>
      <c r="P157">
        <v>179</v>
      </c>
      <c r="Q157">
        <v>2</v>
      </c>
      <c r="R157">
        <v>181</v>
      </c>
    </row>
    <row r="158" spans="1:18" ht="19.899999999999999" customHeight="1" x14ac:dyDescent="0.25">
      <c r="A158" t="str">
        <f t="shared" si="2"/>
        <v>IG45</v>
      </c>
      <c r="B158" s="46" t="s">
        <v>344</v>
      </c>
      <c r="C158" s="46" t="s">
        <v>360</v>
      </c>
      <c r="D158" s="46">
        <v>210</v>
      </c>
      <c r="E158" s="46" t="s">
        <v>213</v>
      </c>
      <c r="F158" s="46">
        <v>197</v>
      </c>
      <c r="G158" s="46" t="s">
        <v>213</v>
      </c>
      <c r="H158" s="46">
        <v>204</v>
      </c>
      <c r="I158" s="46" t="s">
        <v>213</v>
      </c>
      <c r="J158" s="48">
        <v>210</v>
      </c>
      <c r="K158">
        <v>27</v>
      </c>
      <c r="L158" t="s">
        <v>238</v>
      </c>
      <c r="P158">
        <v>1931</v>
      </c>
      <c r="Q158">
        <v>3</v>
      </c>
      <c r="R158">
        <v>1934</v>
      </c>
    </row>
    <row r="159" spans="1:18" ht="19.899999999999999" customHeight="1" x14ac:dyDescent="0.25">
      <c r="A159" t="str">
        <f t="shared" si="2"/>
        <v>IG46</v>
      </c>
      <c r="B159" s="46" t="s">
        <v>344</v>
      </c>
      <c r="C159" s="46" t="s">
        <v>361</v>
      </c>
      <c r="D159" s="46">
        <v>48</v>
      </c>
      <c r="E159" s="46" t="s">
        <v>195</v>
      </c>
      <c r="F159" s="46">
        <v>44</v>
      </c>
      <c r="G159" s="46" t="s">
        <v>206</v>
      </c>
      <c r="H159" s="46">
        <v>56</v>
      </c>
      <c r="I159" s="46" t="s">
        <v>195</v>
      </c>
      <c r="J159" s="48">
        <v>56</v>
      </c>
      <c r="K159">
        <v>27</v>
      </c>
      <c r="L159" t="s">
        <v>213</v>
      </c>
      <c r="P159">
        <v>2171</v>
      </c>
      <c r="Q159">
        <v>6</v>
      </c>
      <c r="R159">
        <v>2177</v>
      </c>
    </row>
    <row r="160" spans="1:18" ht="19.899999999999999" customHeight="1" x14ac:dyDescent="0.25">
      <c r="A160" t="str">
        <f t="shared" si="2"/>
        <v>IG47</v>
      </c>
      <c r="B160" s="46" t="s">
        <v>344</v>
      </c>
      <c r="C160" s="46" t="s">
        <v>362</v>
      </c>
      <c r="D160" s="46">
        <v>255</v>
      </c>
      <c r="E160" s="46" t="s">
        <v>204</v>
      </c>
      <c r="F160" s="46">
        <v>260</v>
      </c>
      <c r="G160" s="46" t="s">
        <v>204</v>
      </c>
      <c r="H160" s="46">
        <v>254</v>
      </c>
      <c r="I160" s="46" t="s">
        <v>204</v>
      </c>
      <c r="J160" s="48">
        <v>260</v>
      </c>
      <c r="K160">
        <v>18</v>
      </c>
      <c r="L160" t="s">
        <v>199</v>
      </c>
      <c r="P160">
        <v>617</v>
      </c>
      <c r="Q160">
        <v>0</v>
      </c>
      <c r="R160">
        <v>617</v>
      </c>
    </row>
    <row r="161" spans="1:18" ht="19.899999999999999" customHeight="1" x14ac:dyDescent="0.25">
      <c r="A161" t="str">
        <f t="shared" si="2"/>
        <v>IG48</v>
      </c>
      <c r="B161" s="46" t="s">
        <v>344</v>
      </c>
      <c r="C161" s="46" t="s">
        <v>363</v>
      </c>
      <c r="D161" s="46">
        <v>110</v>
      </c>
      <c r="E161" s="46" t="s">
        <v>199</v>
      </c>
      <c r="F161" s="46">
        <v>115</v>
      </c>
      <c r="G161" s="46" t="s">
        <v>199</v>
      </c>
      <c r="H161" s="46">
        <v>115</v>
      </c>
      <c r="I161" s="46" t="s">
        <v>199</v>
      </c>
      <c r="J161" s="48">
        <v>115</v>
      </c>
      <c r="K161">
        <v>20</v>
      </c>
      <c r="L161" t="s">
        <v>227</v>
      </c>
      <c r="P161">
        <v>3661</v>
      </c>
      <c r="Q161">
        <v>3</v>
      </c>
      <c r="R161">
        <v>3664</v>
      </c>
    </row>
    <row r="162" spans="1:18" ht="19.899999999999999" customHeight="1" x14ac:dyDescent="0.25">
      <c r="A162" t="str">
        <f t="shared" si="2"/>
        <v>IG49</v>
      </c>
      <c r="B162" s="46" t="s">
        <v>344</v>
      </c>
      <c r="C162" s="46" t="s">
        <v>364</v>
      </c>
      <c r="D162" s="46">
        <v>184</v>
      </c>
      <c r="E162" s="46" t="s">
        <v>200</v>
      </c>
      <c r="F162" s="46">
        <v>170</v>
      </c>
      <c r="G162" s="46" t="s">
        <v>200</v>
      </c>
      <c r="H162" s="46">
        <v>184</v>
      </c>
      <c r="I162" s="46" t="s">
        <v>200</v>
      </c>
      <c r="J162" s="48">
        <v>184</v>
      </c>
      <c r="K162">
        <v>27</v>
      </c>
      <c r="L162" t="s">
        <v>200</v>
      </c>
      <c r="P162">
        <v>439</v>
      </c>
      <c r="Q162">
        <v>1</v>
      </c>
      <c r="R162">
        <v>440</v>
      </c>
    </row>
    <row r="163" spans="1:18" ht="19.899999999999999" customHeight="1" x14ac:dyDescent="0.25">
      <c r="A163" t="str">
        <f t="shared" si="2"/>
        <v>IZ#1DTR</v>
      </c>
      <c r="B163" s="46" t="s">
        <v>365</v>
      </c>
      <c r="C163" s="46" t="s">
        <v>366</v>
      </c>
      <c r="D163" s="46">
        <v>585</v>
      </c>
      <c r="E163" s="46" t="s">
        <v>199</v>
      </c>
      <c r="F163" s="46">
        <v>575</v>
      </c>
      <c r="G163" s="46" t="s">
        <v>199</v>
      </c>
      <c r="H163" s="46">
        <v>584</v>
      </c>
      <c r="I163" s="46" t="s">
        <v>199</v>
      </c>
      <c r="J163" s="48">
        <v>585</v>
      </c>
      <c r="K163" t="s">
        <v>196</v>
      </c>
      <c r="L163" t="s">
        <v>196</v>
      </c>
      <c r="P163">
        <v>729</v>
      </c>
      <c r="Q163">
        <v>7</v>
      </c>
      <c r="R163">
        <v>736</v>
      </c>
    </row>
    <row r="164" spans="1:18" ht="19.899999999999999" customHeight="1" x14ac:dyDescent="0.25">
      <c r="A164" t="str">
        <f t="shared" si="2"/>
        <v>IZ51</v>
      </c>
      <c r="B164" s="46" t="s">
        <v>365</v>
      </c>
      <c r="C164" s="46" t="s">
        <v>367</v>
      </c>
      <c r="D164" s="46">
        <v>198</v>
      </c>
      <c r="E164" s="46" t="s">
        <v>204</v>
      </c>
      <c r="F164" s="46">
        <v>196</v>
      </c>
      <c r="G164" s="46" t="s">
        <v>204</v>
      </c>
      <c r="H164" s="46">
        <v>199</v>
      </c>
      <c r="I164" s="46" t="s">
        <v>204</v>
      </c>
      <c r="J164" s="48">
        <v>199</v>
      </c>
      <c r="K164">
        <v>0</v>
      </c>
      <c r="L164" t="s">
        <v>215</v>
      </c>
      <c r="P164">
        <v>593</v>
      </c>
      <c r="Q164">
        <v>3</v>
      </c>
      <c r="R164">
        <v>596</v>
      </c>
    </row>
    <row r="165" spans="1:18" ht="19.899999999999999" customHeight="1" x14ac:dyDescent="0.25">
      <c r="A165" t="str">
        <f t="shared" si="2"/>
        <v>IZ52</v>
      </c>
      <c r="B165" s="46" t="s">
        <v>365</v>
      </c>
      <c r="C165" s="46" t="s">
        <v>368</v>
      </c>
      <c r="D165" s="46">
        <v>30</v>
      </c>
      <c r="E165" s="46" t="s">
        <v>199</v>
      </c>
      <c r="F165" s="46">
        <v>30</v>
      </c>
      <c r="G165" s="46" t="s">
        <v>199</v>
      </c>
      <c r="H165" s="46">
        <v>29</v>
      </c>
      <c r="I165" s="46" t="s">
        <v>199</v>
      </c>
      <c r="J165" s="48">
        <v>30</v>
      </c>
      <c r="K165">
        <v>1</v>
      </c>
      <c r="L165" t="s">
        <v>195</v>
      </c>
      <c r="P165">
        <v>1381</v>
      </c>
      <c r="Q165">
        <v>2</v>
      </c>
      <c r="R165">
        <v>1383</v>
      </c>
    </row>
    <row r="166" spans="1:18" ht="19.899999999999999" customHeight="1" x14ac:dyDescent="0.25">
      <c r="A166" t="str">
        <f t="shared" si="2"/>
        <v>IZ53</v>
      </c>
      <c r="B166" s="46" t="s">
        <v>365</v>
      </c>
      <c r="C166" s="46" t="s">
        <v>369</v>
      </c>
      <c r="D166" s="46">
        <v>20</v>
      </c>
      <c r="E166" s="46" t="s">
        <v>215</v>
      </c>
      <c r="F166" s="46">
        <v>18</v>
      </c>
      <c r="G166" s="46" t="s">
        <v>204</v>
      </c>
      <c r="H166" s="46">
        <v>21</v>
      </c>
      <c r="I166" s="46" t="s">
        <v>199</v>
      </c>
      <c r="J166" s="48">
        <v>21</v>
      </c>
      <c r="K166">
        <v>0</v>
      </c>
      <c r="L166" t="s">
        <v>215</v>
      </c>
      <c r="P166">
        <v>2344</v>
      </c>
      <c r="Q166">
        <v>2</v>
      </c>
      <c r="R166">
        <v>2346</v>
      </c>
    </row>
    <row r="167" spans="1:18" ht="19.899999999999999" customHeight="1" x14ac:dyDescent="0.25">
      <c r="A167" t="str">
        <f t="shared" si="2"/>
        <v>IZ54</v>
      </c>
      <c r="B167" s="46" t="s">
        <v>365</v>
      </c>
      <c r="C167" s="46" t="s">
        <v>370</v>
      </c>
      <c r="D167" s="46">
        <v>149</v>
      </c>
      <c r="E167" s="46" t="s">
        <v>199</v>
      </c>
      <c r="F167" s="46">
        <v>130</v>
      </c>
      <c r="G167" s="46" t="s">
        <v>199</v>
      </c>
      <c r="H167" s="46">
        <v>150</v>
      </c>
      <c r="I167" s="46" t="s">
        <v>199</v>
      </c>
      <c r="J167" s="48">
        <v>150</v>
      </c>
      <c r="K167">
        <v>0</v>
      </c>
      <c r="L167" t="s">
        <v>218</v>
      </c>
      <c r="P167">
        <v>235</v>
      </c>
      <c r="Q167">
        <v>2</v>
      </c>
      <c r="R167">
        <v>237</v>
      </c>
    </row>
    <row r="168" spans="1:18" ht="19.899999999999999" customHeight="1" x14ac:dyDescent="0.25">
      <c r="A168" t="str">
        <f t="shared" si="2"/>
        <v>IZ55</v>
      </c>
      <c r="B168" s="46" t="s">
        <v>365</v>
      </c>
      <c r="C168" s="46" t="s">
        <v>371</v>
      </c>
      <c r="D168" s="46">
        <v>61</v>
      </c>
      <c r="E168" s="46" t="s">
        <v>213</v>
      </c>
      <c r="F168" s="46">
        <v>59</v>
      </c>
      <c r="G168" s="46" t="s">
        <v>199</v>
      </c>
      <c r="H168" s="46">
        <v>61</v>
      </c>
      <c r="I168" s="46" t="s">
        <v>199</v>
      </c>
      <c r="J168" s="48">
        <v>61</v>
      </c>
      <c r="K168">
        <v>0</v>
      </c>
      <c r="L168" t="s">
        <v>215</v>
      </c>
      <c r="P168">
        <v>1124</v>
      </c>
      <c r="Q168">
        <v>1</v>
      </c>
      <c r="R168">
        <v>1125</v>
      </c>
    </row>
    <row r="169" spans="1:18" ht="19.899999999999999" customHeight="1" x14ac:dyDescent="0.25">
      <c r="A169" t="str">
        <f t="shared" si="2"/>
        <v>IZ56</v>
      </c>
      <c r="B169" s="46" t="s">
        <v>365</v>
      </c>
      <c r="C169" s="46" t="s">
        <v>372</v>
      </c>
      <c r="D169" s="46">
        <v>130</v>
      </c>
      <c r="E169" s="46" t="s">
        <v>199</v>
      </c>
      <c r="F169" s="46">
        <v>125</v>
      </c>
      <c r="G169" s="46" t="s">
        <v>199</v>
      </c>
      <c r="H169" s="46">
        <v>127</v>
      </c>
      <c r="I169" s="46" t="s">
        <v>199</v>
      </c>
      <c r="J169" s="48">
        <v>130</v>
      </c>
      <c r="K169">
        <v>0</v>
      </c>
      <c r="L169" t="s">
        <v>215</v>
      </c>
      <c r="P169">
        <v>511</v>
      </c>
      <c r="Q169">
        <v>4</v>
      </c>
      <c r="R169">
        <v>515</v>
      </c>
    </row>
    <row r="170" spans="1:18" ht="19.899999999999999" customHeight="1" x14ac:dyDescent="0.25">
      <c r="A170" t="str">
        <f t="shared" si="2"/>
        <v>IZ#2DTR</v>
      </c>
      <c r="B170" s="46" t="s">
        <v>365</v>
      </c>
      <c r="C170" s="46" t="s">
        <v>373</v>
      </c>
      <c r="D170" s="46">
        <v>282</v>
      </c>
      <c r="E170" s="46" t="s">
        <v>199</v>
      </c>
      <c r="F170" s="46">
        <v>284</v>
      </c>
      <c r="G170" s="46" t="s">
        <v>199</v>
      </c>
      <c r="H170" s="46">
        <v>287</v>
      </c>
      <c r="I170" s="46" t="s">
        <v>199</v>
      </c>
      <c r="J170" s="48">
        <v>287</v>
      </c>
      <c r="K170" t="s">
        <v>196</v>
      </c>
      <c r="L170" t="s">
        <v>196</v>
      </c>
      <c r="P170">
        <v>3487</v>
      </c>
      <c r="Q170">
        <v>2</v>
      </c>
      <c r="R170">
        <v>3489</v>
      </c>
    </row>
    <row r="171" spans="1:18" ht="19.899999999999999" customHeight="1" x14ac:dyDescent="0.25">
      <c r="A171" t="str">
        <f t="shared" si="2"/>
        <v>IZ61</v>
      </c>
      <c r="B171" s="46" t="s">
        <v>365</v>
      </c>
      <c r="C171" s="46" t="s">
        <v>374</v>
      </c>
      <c r="D171" s="46">
        <v>111</v>
      </c>
      <c r="E171" s="46" t="s">
        <v>220</v>
      </c>
      <c r="F171" s="46">
        <v>110</v>
      </c>
      <c r="G171" s="46" t="s">
        <v>220</v>
      </c>
      <c r="H171" s="46">
        <v>111</v>
      </c>
      <c r="I171" s="46" t="s">
        <v>220</v>
      </c>
      <c r="J171" s="48">
        <v>111</v>
      </c>
      <c r="K171">
        <v>0</v>
      </c>
      <c r="L171" t="s">
        <v>215</v>
      </c>
      <c r="P171">
        <v>1595</v>
      </c>
      <c r="Q171">
        <v>2</v>
      </c>
      <c r="R171">
        <v>1597</v>
      </c>
    </row>
    <row r="172" spans="1:18" ht="19.899999999999999" customHeight="1" x14ac:dyDescent="0.25">
      <c r="A172" t="str">
        <f t="shared" si="2"/>
        <v>IZ62</v>
      </c>
      <c r="B172" s="46" t="s">
        <v>365</v>
      </c>
      <c r="C172" s="46" t="s">
        <v>375</v>
      </c>
      <c r="D172" s="46">
        <v>68</v>
      </c>
      <c r="E172" s="46" t="s">
        <v>202</v>
      </c>
      <c r="F172" s="46">
        <v>68</v>
      </c>
      <c r="G172" s="46" t="s">
        <v>202</v>
      </c>
      <c r="H172" s="46">
        <v>38</v>
      </c>
      <c r="I172" s="46" t="s">
        <v>199</v>
      </c>
      <c r="J172" s="48">
        <v>68</v>
      </c>
      <c r="K172">
        <v>0</v>
      </c>
      <c r="L172" t="s">
        <v>215</v>
      </c>
      <c r="P172">
        <v>783</v>
      </c>
      <c r="Q172">
        <v>0</v>
      </c>
      <c r="R172">
        <v>783</v>
      </c>
    </row>
    <row r="173" spans="1:18" ht="19.899999999999999" customHeight="1" x14ac:dyDescent="0.25">
      <c r="A173" t="str">
        <f t="shared" si="2"/>
        <v>IZ63</v>
      </c>
      <c r="B173" s="46" t="s">
        <v>365</v>
      </c>
      <c r="C173" s="46" t="s">
        <v>376</v>
      </c>
      <c r="D173" s="46">
        <v>60</v>
      </c>
      <c r="E173" s="46" t="s">
        <v>202</v>
      </c>
      <c r="F173" s="46">
        <v>62</v>
      </c>
      <c r="G173" s="46" t="s">
        <v>202</v>
      </c>
      <c r="H173" s="46">
        <v>63</v>
      </c>
      <c r="I173" s="46" t="s">
        <v>202</v>
      </c>
      <c r="J173" s="48">
        <v>63</v>
      </c>
      <c r="K173">
        <v>3</v>
      </c>
      <c r="L173" t="s">
        <v>200</v>
      </c>
      <c r="P173">
        <v>3606</v>
      </c>
      <c r="Q173">
        <v>1</v>
      </c>
      <c r="R173">
        <v>3607</v>
      </c>
    </row>
    <row r="174" spans="1:18" ht="19.899999999999999" customHeight="1" x14ac:dyDescent="0.25">
      <c r="A174" t="str">
        <f t="shared" si="2"/>
        <v>IZ64</v>
      </c>
      <c r="B174" s="46" t="s">
        <v>365</v>
      </c>
      <c r="C174" s="46" t="s">
        <v>377</v>
      </c>
      <c r="D174" s="46">
        <v>23</v>
      </c>
      <c r="E174" s="46" t="s">
        <v>204</v>
      </c>
      <c r="F174" s="46">
        <v>22</v>
      </c>
      <c r="G174" s="46" t="s">
        <v>204</v>
      </c>
      <c r="H174" s="46">
        <v>23</v>
      </c>
      <c r="I174" s="46" t="s">
        <v>204</v>
      </c>
      <c r="J174" s="48">
        <v>23</v>
      </c>
      <c r="K174">
        <v>3</v>
      </c>
      <c r="L174" t="s">
        <v>222</v>
      </c>
      <c r="P174">
        <v>1295</v>
      </c>
      <c r="Q174">
        <v>3</v>
      </c>
      <c r="R174">
        <v>1298</v>
      </c>
    </row>
    <row r="175" spans="1:18" ht="19.899999999999999" customHeight="1" x14ac:dyDescent="0.25">
      <c r="A175" t="str">
        <f t="shared" si="2"/>
        <v>IZ65</v>
      </c>
      <c r="B175" s="46" t="s">
        <v>365</v>
      </c>
      <c r="C175" s="46" t="s">
        <v>378</v>
      </c>
      <c r="D175" s="46">
        <v>9</v>
      </c>
      <c r="E175" s="46" t="s">
        <v>227</v>
      </c>
      <c r="F175" s="46">
        <v>9</v>
      </c>
      <c r="G175" s="46" t="s">
        <v>200</v>
      </c>
      <c r="H175" s="46">
        <v>9</v>
      </c>
      <c r="I175" s="46" t="s">
        <v>200</v>
      </c>
      <c r="J175" s="48">
        <v>9</v>
      </c>
      <c r="K175">
        <v>0</v>
      </c>
      <c r="L175" t="s">
        <v>215</v>
      </c>
      <c r="P175">
        <v>1528</v>
      </c>
      <c r="Q175">
        <v>5</v>
      </c>
      <c r="R175">
        <v>1533</v>
      </c>
    </row>
    <row r="176" spans="1:18" ht="19.899999999999999" customHeight="1" x14ac:dyDescent="0.25">
      <c r="A176" t="str">
        <f t="shared" si="2"/>
        <v>IZ66</v>
      </c>
      <c r="B176" s="46" t="s">
        <v>365</v>
      </c>
      <c r="C176" s="46" t="s">
        <v>379</v>
      </c>
      <c r="D176" s="46">
        <v>102</v>
      </c>
      <c r="E176" s="46" t="s">
        <v>199</v>
      </c>
      <c r="F176" s="46">
        <v>100</v>
      </c>
      <c r="G176" s="46" t="s">
        <v>199</v>
      </c>
      <c r="H176" s="46">
        <v>100</v>
      </c>
      <c r="I176" s="46" t="s">
        <v>199</v>
      </c>
      <c r="J176" s="48">
        <v>102</v>
      </c>
      <c r="K176">
        <v>1</v>
      </c>
      <c r="L176" t="s">
        <v>200</v>
      </c>
      <c r="P176">
        <v>2051</v>
      </c>
      <c r="Q176">
        <v>3</v>
      </c>
      <c r="R176">
        <v>2054</v>
      </c>
    </row>
    <row r="177" spans="1:18" ht="19.899999999999999" customHeight="1" x14ac:dyDescent="0.25">
      <c r="A177" t="str">
        <f t="shared" si="2"/>
        <v>IZ#3DTR(A)</v>
      </c>
      <c r="B177" s="46" t="s">
        <v>365</v>
      </c>
      <c r="C177" s="46" t="s">
        <v>380</v>
      </c>
      <c r="D177" s="46">
        <v>0</v>
      </c>
      <c r="E177" s="46" t="s">
        <v>215</v>
      </c>
      <c r="F177" s="46">
        <v>14</v>
      </c>
      <c r="G177" s="46" t="s">
        <v>224</v>
      </c>
      <c r="H177" s="46">
        <v>17</v>
      </c>
      <c r="I177" s="46" t="s">
        <v>224</v>
      </c>
      <c r="J177" s="48">
        <v>17</v>
      </c>
      <c r="K177" t="s">
        <v>196</v>
      </c>
      <c r="L177" t="s">
        <v>196</v>
      </c>
      <c r="P177">
        <v>622</v>
      </c>
      <c r="Q177" t="s">
        <v>192</v>
      </c>
      <c r="R177">
        <v>622</v>
      </c>
    </row>
    <row r="178" spans="1:18" ht="19.899999999999999" customHeight="1" x14ac:dyDescent="0.25">
      <c r="A178" t="str">
        <f t="shared" si="2"/>
        <v>IZ23</v>
      </c>
      <c r="B178" s="46" t="s">
        <v>365</v>
      </c>
      <c r="C178" s="46" t="s">
        <v>381</v>
      </c>
      <c r="D178" s="46">
        <v>10</v>
      </c>
      <c r="E178" s="46" t="s">
        <v>224</v>
      </c>
      <c r="F178" s="46">
        <v>12</v>
      </c>
      <c r="G178" s="46" t="s">
        <v>224</v>
      </c>
      <c r="H178" s="46">
        <v>16</v>
      </c>
      <c r="I178" s="46" t="s">
        <v>224</v>
      </c>
      <c r="J178" s="48">
        <v>16</v>
      </c>
      <c r="K178">
        <v>6</v>
      </c>
      <c r="L178" t="s">
        <v>224</v>
      </c>
      <c r="P178">
        <v>629</v>
      </c>
      <c r="Q178" t="s">
        <v>192</v>
      </c>
      <c r="R178">
        <v>629</v>
      </c>
    </row>
    <row r="179" spans="1:18" ht="19.899999999999999" customHeight="1" x14ac:dyDescent="0.25">
      <c r="A179" t="str">
        <f t="shared" si="2"/>
        <v>IZ22</v>
      </c>
      <c r="B179" s="46" t="s">
        <v>365</v>
      </c>
      <c r="C179" s="46" t="s">
        <v>382</v>
      </c>
      <c r="D179" s="46">
        <v>0</v>
      </c>
      <c r="E179" s="46" t="s">
        <v>215</v>
      </c>
      <c r="F179" s="46">
        <v>0</v>
      </c>
      <c r="G179" s="46" t="s">
        <v>215</v>
      </c>
      <c r="H179" s="46">
        <v>0</v>
      </c>
      <c r="I179" s="46" t="s">
        <v>215</v>
      </c>
      <c r="J179" s="48">
        <v>0</v>
      </c>
      <c r="K179">
        <v>0</v>
      </c>
      <c r="L179" t="s">
        <v>215</v>
      </c>
      <c r="P179">
        <v>1715</v>
      </c>
      <c r="Q179">
        <v>1</v>
      </c>
      <c r="R179">
        <v>1716</v>
      </c>
    </row>
    <row r="180" spans="1:18" ht="19.899999999999999" customHeight="1" x14ac:dyDescent="0.25">
      <c r="A180" t="str">
        <f t="shared" si="2"/>
        <v>IZ21</v>
      </c>
      <c r="B180" s="46" t="s">
        <v>365</v>
      </c>
      <c r="C180" s="46" t="s">
        <v>383</v>
      </c>
      <c r="D180" s="46">
        <v>0</v>
      </c>
      <c r="E180" s="46" t="s">
        <v>215</v>
      </c>
      <c r="F180" s="46">
        <v>0</v>
      </c>
      <c r="G180" s="46" t="s">
        <v>215</v>
      </c>
      <c r="H180" s="46">
        <v>0</v>
      </c>
      <c r="I180" s="46" t="s">
        <v>215</v>
      </c>
      <c r="J180" s="48">
        <v>0</v>
      </c>
      <c r="K180">
        <v>0</v>
      </c>
      <c r="L180" t="s">
        <v>215</v>
      </c>
      <c r="P180">
        <v>953</v>
      </c>
      <c r="Q180">
        <v>2</v>
      </c>
      <c r="R180">
        <v>955</v>
      </c>
    </row>
    <row r="181" spans="1:18" ht="19.899999999999999" customHeight="1" x14ac:dyDescent="0.25">
      <c r="A181" t="str">
        <f t="shared" si="2"/>
        <v>IZ#3DTR(B)</v>
      </c>
      <c r="B181" s="46" t="s">
        <v>365</v>
      </c>
      <c r="C181" s="46" t="s">
        <v>384</v>
      </c>
      <c r="D181" s="46">
        <v>202</v>
      </c>
      <c r="E181" s="46" t="s">
        <v>220</v>
      </c>
      <c r="F181" s="46">
        <v>203</v>
      </c>
      <c r="G181" s="46" t="s">
        <v>220</v>
      </c>
      <c r="H181" s="46">
        <v>205</v>
      </c>
      <c r="I181" s="46" t="s">
        <v>220</v>
      </c>
      <c r="J181" s="48">
        <v>205</v>
      </c>
      <c r="K181" t="s">
        <v>196</v>
      </c>
      <c r="L181" t="s">
        <v>196</v>
      </c>
      <c r="P181">
        <v>369</v>
      </c>
      <c r="Q181" t="s">
        <v>192</v>
      </c>
      <c r="R181">
        <v>369</v>
      </c>
    </row>
    <row r="182" spans="1:18" ht="19.899999999999999" customHeight="1" x14ac:dyDescent="0.25">
      <c r="A182" t="str">
        <f t="shared" si="2"/>
        <v>IZ26</v>
      </c>
      <c r="B182" s="46" t="s">
        <v>365</v>
      </c>
      <c r="C182" s="46" t="s">
        <v>385</v>
      </c>
      <c r="D182" s="46">
        <v>132</v>
      </c>
      <c r="E182" s="46" t="s">
        <v>220</v>
      </c>
      <c r="F182" s="46">
        <v>112</v>
      </c>
      <c r="G182" s="46" t="s">
        <v>220</v>
      </c>
      <c r="H182" s="46">
        <v>128</v>
      </c>
      <c r="I182" s="46" t="s">
        <v>224</v>
      </c>
      <c r="J182" s="48">
        <v>132</v>
      </c>
      <c r="K182">
        <v>17</v>
      </c>
      <c r="L182" t="s">
        <v>224</v>
      </c>
      <c r="P182" t="s">
        <v>192</v>
      </c>
      <c r="Q182" t="s">
        <v>192</v>
      </c>
      <c r="R182">
        <v>0</v>
      </c>
    </row>
    <row r="183" spans="1:18" ht="19.899999999999999" customHeight="1" x14ac:dyDescent="0.25">
      <c r="A183" t="str">
        <f t="shared" si="2"/>
        <v>IZ25</v>
      </c>
      <c r="B183" s="46" t="s">
        <v>365</v>
      </c>
      <c r="C183" s="46" t="s">
        <v>386</v>
      </c>
      <c r="D183" s="46">
        <v>0</v>
      </c>
      <c r="E183" s="46" t="s">
        <v>215</v>
      </c>
      <c r="F183" s="46">
        <v>0</v>
      </c>
      <c r="G183" s="46" t="s">
        <v>215</v>
      </c>
      <c r="H183" s="46">
        <v>0</v>
      </c>
      <c r="I183" s="46" t="s">
        <v>215</v>
      </c>
      <c r="J183" s="48">
        <v>0</v>
      </c>
      <c r="K183">
        <v>0</v>
      </c>
      <c r="L183" t="s">
        <v>215</v>
      </c>
      <c r="P183">
        <v>645</v>
      </c>
      <c r="Q183" t="s">
        <v>192</v>
      </c>
      <c r="R183">
        <v>645</v>
      </c>
    </row>
    <row r="184" spans="1:18" ht="19.899999999999999" customHeight="1" x14ac:dyDescent="0.25">
      <c r="A184" t="str">
        <f t="shared" si="2"/>
        <v>IZ24</v>
      </c>
      <c r="B184" s="46" t="s">
        <v>365</v>
      </c>
      <c r="C184" s="46" t="s">
        <v>387</v>
      </c>
      <c r="D184" s="46">
        <v>72</v>
      </c>
      <c r="E184" s="46" t="s">
        <v>220</v>
      </c>
      <c r="F184" s="46">
        <v>86</v>
      </c>
      <c r="G184" s="46" t="s">
        <v>220</v>
      </c>
      <c r="H184" s="46">
        <v>80</v>
      </c>
      <c r="I184" s="46" t="s">
        <v>220</v>
      </c>
      <c r="J184" s="48">
        <v>86</v>
      </c>
      <c r="K184">
        <v>34</v>
      </c>
      <c r="L184" t="s">
        <v>224</v>
      </c>
      <c r="P184">
        <v>986</v>
      </c>
      <c r="Q184" t="s">
        <v>192</v>
      </c>
      <c r="R184">
        <v>986</v>
      </c>
    </row>
    <row r="185" spans="1:18" ht="19.899999999999999" customHeight="1" x14ac:dyDescent="0.25">
      <c r="A185" t="str">
        <f t="shared" si="2"/>
        <v>IV#1MTR</v>
      </c>
      <c r="B185" s="46" t="s">
        <v>388</v>
      </c>
      <c r="C185" s="46" t="s">
        <v>194</v>
      </c>
      <c r="D185" s="46">
        <v>203</v>
      </c>
      <c r="E185" s="46" t="s">
        <v>213</v>
      </c>
      <c r="F185" s="46">
        <v>201</v>
      </c>
      <c r="G185" s="46" t="s">
        <v>213</v>
      </c>
      <c r="H185" s="46">
        <v>206</v>
      </c>
      <c r="I185" s="46" t="s">
        <v>213</v>
      </c>
      <c r="J185" s="48">
        <v>206</v>
      </c>
      <c r="K185" t="s">
        <v>196</v>
      </c>
      <c r="L185" t="s">
        <v>196</v>
      </c>
      <c r="P185">
        <v>1631</v>
      </c>
      <c r="Q185">
        <v>1</v>
      </c>
      <c r="R185">
        <v>1632</v>
      </c>
    </row>
    <row r="186" spans="1:18" ht="19.899999999999999" customHeight="1" x14ac:dyDescent="0.25">
      <c r="A186" t="str">
        <f t="shared" si="2"/>
        <v>IV51</v>
      </c>
      <c r="B186" s="46" t="s">
        <v>388</v>
      </c>
      <c r="C186" s="46" t="s">
        <v>389</v>
      </c>
      <c r="D186" s="46">
        <v>12</v>
      </c>
      <c r="E186" s="46" t="s">
        <v>213</v>
      </c>
      <c r="F186" s="46">
        <v>12</v>
      </c>
      <c r="G186" s="46" t="s">
        <v>227</v>
      </c>
      <c r="H186" s="46">
        <v>12</v>
      </c>
      <c r="I186" s="46" t="s">
        <v>213</v>
      </c>
      <c r="J186" s="48">
        <v>12</v>
      </c>
      <c r="K186">
        <v>0</v>
      </c>
      <c r="L186" t="s">
        <v>215</v>
      </c>
      <c r="P186">
        <v>391</v>
      </c>
      <c r="Q186" t="s">
        <v>192</v>
      </c>
      <c r="R186">
        <v>391</v>
      </c>
    </row>
    <row r="187" spans="1:18" ht="19.899999999999999" customHeight="1" x14ac:dyDescent="0.25">
      <c r="A187" t="str">
        <f t="shared" si="2"/>
        <v>IV52</v>
      </c>
      <c r="B187" s="46" t="s">
        <v>388</v>
      </c>
      <c r="C187" s="46" t="s">
        <v>390</v>
      </c>
      <c r="D187" s="46">
        <v>51</v>
      </c>
      <c r="E187" s="46" t="s">
        <v>213</v>
      </c>
      <c r="F187" s="46">
        <v>50</v>
      </c>
      <c r="G187" s="46" t="s">
        <v>213</v>
      </c>
      <c r="H187" s="46">
        <v>54</v>
      </c>
      <c r="I187" s="46" t="s">
        <v>213</v>
      </c>
      <c r="J187" s="48">
        <v>54</v>
      </c>
      <c r="K187">
        <v>0</v>
      </c>
      <c r="L187" t="s">
        <v>215</v>
      </c>
      <c r="P187">
        <v>998</v>
      </c>
      <c r="Q187" t="s">
        <v>192</v>
      </c>
      <c r="R187">
        <v>998</v>
      </c>
    </row>
    <row r="188" spans="1:18" ht="19.899999999999999" customHeight="1" x14ac:dyDescent="0.25">
      <c r="A188" t="str">
        <f t="shared" si="2"/>
        <v>IV53</v>
      </c>
      <c r="B188" s="46" t="s">
        <v>388</v>
      </c>
      <c r="C188" s="46" t="s">
        <v>391</v>
      </c>
      <c r="D188" s="46">
        <v>39</v>
      </c>
      <c r="E188" s="46" t="s">
        <v>268</v>
      </c>
      <c r="F188" s="46">
        <v>40</v>
      </c>
      <c r="G188" s="46" t="s">
        <v>268</v>
      </c>
      <c r="H188" s="46">
        <v>40</v>
      </c>
      <c r="I188" s="46" t="s">
        <v>268</v>
      </c>
      <c r="J188" s="48">
        <v>40</v>
      </c>
      <c r="K188">
        <v>0</v>
      </c>
      <c r="L188" t="s">
        <v>215</v>
      </c>
      <c r="P188" t="s">
        <v>192</v>
      </c>
      <c r="Q188" t="s">
        <v>192</v>
      </c>
      <c r="R188">
        <v>0</v>
      </c>
    </row>
    <row r="189" spans="1:18" ht="19.899999999999999" customHeight="1" x14ac:dyDescent="0.25">
      <c r="A189" t="str">
        <f t="shared" si="2"/>
        <v>IV54</v>
      </c>
      <c r="B189" s="46" t="s">
        <v>388</v>
      </c>
      <c r="C189" s="46" t="s">
        <v>392</v>
      </c>
      <c r="D189" s="46">
        <v>19</v>
      </c>
      <c r="E189" s="46" t="s">
        <v>215</v>
      </c>
      <c r="F189" s="46">
        <v>19</v>
      </c>
      <c r="G189" s="46" t="s">
        <v>215</v>
      </c>
      <c r="H189" s="46">
        <v>19</v>
      </c>
      <c r="I189" s="46" t="s">
        <v>215</v>
      </c>
      <c r="J189" s="48">
        <v>19</v>
      </c>
      <c r="K189">
        <v>0</v>
      </c>
      <c r="L189" t="s">
        <v>215</v>
      </c>
      <c r="P189" t="s">
        <v>192</v>
      </c>
      <c r="Q189" t="s">
        <v>192</v>
      </c>
      <c r="R189">
        <v>0</v>
      </c>
    </row>
    <row r="190" spans="1:18" ht="19.899999999999999" customHeight="1" x14ac:dyDescent="0.25">
      <c r="A190" t="str">
        <f t="shared" si="2"/>
        <v>IV55</v>
      </c>
      <c r="B190" s="46" t="s">
        <v>388</v>
      </c>
      <c r="C190" s="46" t="s">
        <v>393</v>
      </c>
      <c r="D190" s="46">
        <v>115</v>
      </c>
      <c r="E190" s="46" t="s">
        <v>199</v>
      </c>
      <c r="F190" s="46">
        <v>114</v>
      </c>
      <c r="G190" s="46" t="s">
        <v>199</v>
      </c>
      <c r="H190" s="46">
        <v>114</v>
      </c>
      <c r="I190" s="46" t="s">
        <v>199</v>
      </c>
      <c r="J190" s="48">
        <v>115</v>
      </c>
      <c r="K190">
        <v>0</v>
      </c>
      <c r="L190" t="s">
        <v>215</v>
      </c>
      <c r="P190">
        <v>911</v>
      </c>
      <c r="Q190" t="s">
        <v>192</v>
      </c>
      <c r="R190">
        <v>911</v>
      </c>
    </row>
    <row r="191" spans="1:18" ht="19.899999999999999" customHeight="1" x14ac:dyDescent="0.25">
      <c r="A191" t="str">
        <f t="shared" si="2"/>
        <v>IV#2MTR</v>
      </c>
      <c r="B191" s="46" t="s">
        <v>388</v>
      </c>
      <c r="C191" s="46" t="s">
        <v>209</v>
      </c>
      <c r="D191" s="46">
        <v>580</v>
      </c>
      <c r="E191" s="46" t="s">
        <v>195</v>
      </c>
      <c r="F191" s="46">
        <v>599</v>
      </c>
      <c r="G191" s="46" t="s">
        <v>195</v>
      </c>
      <c r="H191" s="46">
        <v>592</v>
      </c>
      <c r="I191" s="46" t="s">
        <v>195</v>
      </c>
      <c r="J191" s="48">
        <v>599</v>
      </c>
      <c r="K191" t="s">
        <v>196</v>
      </c>
      <c r="L191" t="s">
        <v>196</v>
      </c>
      <c r="P191">
        <v>2472</v>
      </c>
      <c r="Q191">
        <v>1</v>
      </c>
      <c r="R191">
        <v>2473</v>
      </c>
    </row>
    <row r="192" spans="1:18" ht="19.899999999999999" customHeight="1" x14ac:dyDescent="0.25">
      <c r="A192" t="str">
        <f t="shared" si="2"/>
        <v>IV32</v>
      </c>
      <c r="B192" s="46" t="s">
        <v>388</v>
      </c>
      <c r="C192" s="46" t="s">
        <v>394</v>
      </c>
      <c r="D192" s="46">
        <v>135</v>
      </c>
      <c r="E192" s="46" t="s">
        <v>199</v>
      </c>
      <c r="F192" s="46">
        <v>136</v>
      </c>
      <c r="G192" s="46" t="s">
        <v>202</v>
      </c>
      <c r="H192" s="46">
        <v>134</v>
      </c>
      <c r="I192" s="46" t="s">
        <v>199</v>
      </c>
      <c r="J192" s="48">
        <v>136</v>
      </c>
      <c r="K192">
        <v>44</v>
      </c>
      <c r="L192" t="s">
        <v>224</v>
      </c>
      <c r="P192">
        <v>824</v>
      </c>
      <c r="Q192" t="s">
        <v>192</v>
      </c>
      <c r="R192">
        <v>824</v>
      </c>
    </row>
    <row r="193" spans="1:18" ht="19.899999999999999" customHeight="1" x14ac:dyDescent="0.25">
      <c r="A193" t="str">
        <f t="shared" si="2"/>
        <v>IV34</v>
      </c>
      <c r="B193" s="46" t="s">
        <v>388</v>
      </c>
      <c r="C193" s="46" t="s">
        <v>395</v>
      </c>
      <c r="D193" s="46">
        <v>114</v>
      </c>
      <c r="E193" s="46" t="s">
        <v>200</v>
      </c>
      <c r="F193" s="46">
        <v>99</v>
      </c>
      <c r="G193" s="46" t="s">
        <v>199</v>
      </c>
      <c r="H193" s="46">
        <v>112</v>
      </c>
      <c r="I193" s="46" t="s">
        <v>200</v>
      </c>
      <c r="J193" s="48">
        <v>114</v>
      </c>
      <c r="K193">
        <v>39</v>
      </c>
      <c r="L193" t="s">
        <v>200</v>
      </c>
      <c r="P193">
        <v>2184</v>
      </c>
      <c r="Q193" t="s">
        <v>192</v>
      </c>
      <c r="R193">
        <v>2184</v>
      </c>
    </row>
    <row r="194" spans="1:18" ht="19.899999999999999" customHeight="1" x14ac:dyDescent="0.25">
      <c r="A194" t="str">
        <f t="shared" si="2"/>
        <v>IV33</v>
      </c>
      <c r="B194" s="46" t="s">
        <v>388</v>
      </c>
      <c r="C194" s="46" t="s">
        <v>396</v>
      </c>
      <c r="D194" s="46">
        <v>124</v>
      </c>
      <c r="E194" s="46" t="s">
        <v>195</v>
      </c>
      <c r="F194" s="46">
        <v>146</v>
      </c>
      <c r="G194" s="46" t="s">
        <v>195</v>
      </c>
      <c r="H194" s="46">
        <v>132</v>
      </c>
      <c r="I194" s="46" t="s">
        <v>195</v>
      </c>
      <c r="J194" s="48">
        <v>146</v>
      </c>
      <c r="K194">
        <v>26</v>
      </c>
      <c r="L194" t="s">
        <v>231</v>
      </c>
      <c r="P194">
        <v>707</v>
      </c>
      <c r="Q194" t="s">
        <v>192</v>
      </c>
      <c r="R194">
        <v>707</v>
      </c>
    </row>
    <row r="195" spans="1:18" ht="19.899999999999999" customHeight="1" x14ac:dyDescent="0.25">
      <c r="A195" t="str">
        <f t="shared" si="2"/>
        <v>IV35</v>
      </c>
      <c r="B195" s="46" t="s">
        <v>388</v>
      </c>
      <c r="C195" s="46" t="s">
        <v>397</v>
      </c>
      <c r="D195" s="46">
        <v>47</v>
      </c>
      <c r="E195" s="46" t="s">
        <v>195</v>
      </c>
      <c r="F195" s="46">
        <v>53</v>
      </c>
      <c r="G195" s="46" t="s">
        <v>198</v>
      </c>
      <c r="H195" s="46">
        <v>44</v>
      </c>
      <c r="I195" s="46" t="s">
        <v>202</v>
      </c>
      <c r="J195" s="48">
        <v>53</v>
      </c>
      <c r="K195">
        <v>22</v>
      </c>
      <c r="L195" t="s">
        <v>200</v>
      </c>
      <c r="P195">
        <v>222</v>
      </c>
      <c r="Q195">
        <v>2</v>
      </c>
      <c r="R195">
        <v>224</v>
      </c>
    </row>
    <row r="196" spans="1:18" ht="19.899999999999999" customHeight="1" x14ac:dyDescent="0.25">
      <c r="A196" t="str">
        <f t="shared" ref="A196:A259" si="3">IF(COUNTIF(C196,"*TR*")&gt;0,SUBSTITUTE(RIGHT(B196,3) &amp; C196," ",""),MID(C196,FIND("(",C196)+1,4))</f>
        <v>IV31</v>
      </c>
      <c r="B196" s="46" t="s">
        <v>388</v>
      </c>
      <c r="C196" s="46" t="s">
        <v>398</v>
      </c>
      <c r="D196" s="46">
        <v>215</v>
      </c>
      <c r="E196" s="46" t="s">
        <v>195</v>
      </c>
      <c r="F196" s="46">
        <v>213</v>
      </c>
      <c r="G196" s="46" t="s">
        <v>198</v>
      </c>
      <c r="H196" s="46">
        <v>228</v>
      </c>
      <c r="I196" s="46" t="s">
        <v>195</v>
      </c>
      <c r="J196" s="48">
        <v>228</v>
      </c>
      <c r="K196">
        <v>46</v>
      </c>
      <c r="L196" t="s">
        <v>195</v>
      </c>
      <c r="P196">
        <v>1705</v>
      </c>
      <c r="Q196">
        <v>2</v>
      </c>
      <c r="R196">
        <v>1707</v>
      </c>
    </row>
    <row r="197" spans="1:18" ht="19.899999999999999" customHeight="1" x14ac:dyDescent="0.25">
      <c r="A197" t="str">
        <f t="shared" si="3"/>
        <v>IV#3MTR</v>
      </c>
      <c r="B197" s="46" t="s">
        <v>388</v>
      </c>
      <c r="C197" s="46" t="s">
        <v>217</v>
      </c>
      <c r="D197" s="46">
        <v>661</v>
      </c>
      <c r="E197" s="46" t="s">
        <v>199</v>
      </c>
      <c r="F197" s="46">
        <v>643</v>
      </c>
      <c r="G197" s="46" t="s">
        <v>195</v>
      </c>
      <c r="H197" s="46">
        <v>628</v>
      </c>
      <c r="I197" s="46" t="s">
        <v>199</v>
      </c>
      <c r="J197" s="48">
        <v>661</v>
      </c>
      <c r="K197" t="s">
        <v>196</v>
      </c>
      <c r="L197" t="s">
        <v>196</v>
      </c>
      <c r="P197">
        <v>3376</v>
      </c>
      <c r="Q197">
        <v>2</v>
      </c>
      <c r="R197">
        <v>3378</v>
      </c>
    </row>
    <row r="198" spans="1:18" ht="19.899999999999999" customHeight="1" x14ac:dyDescent="0.25">
      <c r="A198" t="str">
        <f t="shared" si="3"/>
        <v>IV24</v>
      </c>
      <c r="B198" s="46" t="s">
        <v>388</v>
      </c>
      <c r="C198" s="46" t="s">
        <v>399</v>
      </c>
      <c r="D198" s="46">
        <v>221</v>
      </c>
      <c r="E198" s="46" t="s">
        <v>199</v>
      </c>
      <c r="F198" s="46">
        <v>221</v>
      </c>
      <c r="G198" s="46" t="s">
        <v>199</v>
      </c>
      <c r="H198" s="46">
        <v>187</v>
      </c>
      <c r="I198" s="46" t="s">
        <v>199</v>
      </c>
      <c r="J198" s="48">
        <v>221</v>
      </c>
      <c r="K198">
        <v>80</v>
      </c>
      <c r="L198" t="s">
        <v>218</v>
      </c>
      <c r="P198">
        <v>1711</v>
      </c>
      <c r="Q198">
        <v>0</v>
      </c>
      <c r="R198">
        <v>1711</v>
      </c>
    </row>
    <row r="199" spans="1:18" ht="19.899999999999999" customHeight="1" x14ac:dyDescent="0.25">
      <c r="A199" t="str">
        <f t="shared" si="3"/>
        <v>IV25</v>
      </c>
      <c r="B199" s="46" t="s">
        <v>388</v>
      </c>
      <c r="C199" s="46" t="s">
        <v>400</v>
      </c>
      <c r="D199" s="46">
        <v>96</v>
      </c>
      <c r="E199" s="46" t="s">
        <v>199</v>
      </c>
      <c r="F199" s="46">
        <v>90</v>
      </c>
      <c r="G199" s="46" t="s">
        <v>199</v>
      </c>
      <c r="H199" s="46">
        <v>100</v>
      </c>
      <c r="I199" s="46" t="s">
        <v>199</v>
      </c>
      <c r="J199" s="48">
        <v>100</v>
      </c>
      <c r="K199">
        <v>18</v>
      </c>
      <c r="L199" t="s">
        <v>199</v>
      </c>
      <c r="P199">
        <v>1013</v>
      </c>
      <c r="Q199">
        <v>2</v>
      </c>
      <c r="R199">
        <v>1015</v>
      </c>
    </row>
    <row r="200" spans="1:18" ht="19.899999999999999" customHeight="1" x14ac:dyDescent="0.25">
      <c r="A200" t="str">
        <f t="shared" si="3"/>
        <v>IV22</v>
      </c>
      <c r="B200" s="46" t="s">
        <v>388</v>
      </c>
      <c r="C200" s="46" t="s">
        <v>401</v>
      </c>
      <c r="D200" s="46">
        <v>220</v>
      </c>
      <c r="E200" s="46" t="s">
        <v>235</v>
      </c>
      <c r="F200" s="46">
        <v>216</v>
      </c>
      <c r="G200" s="46" t="s">
        <v>198</v>
      </c>
      <c r="H200" s="46">
        <v>207</v>
      </c>
      <c r="I200" s="46" t="s">
        <v>198</v>
      </c>
      <c r="J200" s="48">
        <v>220</v>
      </c>
      <c r="K200">
        <v>46</v>
      </c>
      <c r="L200" t="s">
        <v>238</v>
      </c>
      <c r="P200">
        <v>656</v>
      </c>
      <c r="Q200">
        <v>2</v>
      </c>
      <c r="R200">
        <v>658</v>
      </c>
    </row>
    <row r="201" spans="1:18" ht="19.899999999999999" customHeight="1" x14ac:dyDescent="0.25">
      <c r="A201" t="str">
        <f t="shared" si="3"/>
        <v>IV21</v>
      </c>
      <c r="B201" s="46" t="s">
        <v>388</v>
      </c>
      <c r="C201" s="46" t="s">
        <v>402</v>
      </c>
      <c r="D201" s="46">
        <v>128</v>
      </c>
      <c r="E201" s="46" t="s">
        <v>200</v>
      </c>
      <c r="F201" s="46">
        <v>128</v>
      </c>
      <c r="G201" s="46" t="s">
        <v>199</v>
      </c>
      <c r="H201" s="46">
        <v>147</v>
      </c>
      <c r="I201" s="46" t="s">
        <v>200</v>
      </c>
      <c r="J201" s="48">
        <v>147</v>
      </c>
      <c r="K201">
        <v>49</v>
      </c>
      <c r="L201" t="s">
        <v>222</v>
      </c>
      <c r="P201" t="s">
        <v>192</v>
      </c>
      <c r="Q201" t="s">
        <v>192</v>
      </c>
      <c r="R201">
        <v>0</v>
      </c>
    </row>
    <row r="202" spans="1:18" ht="19.899999999999999" customHeight="1" x14ac:dyDescent="0.25">
      <c r="A202" t="str">
        <f t="shared" si="3"/>
        <v>IV29</v>
      </c>
      <c r="B202" s="46" t="s">
        <v>388</v>
      </c>
      <c r="C202" s="46" t="s">
        <v>403</v>
      </c>
      <c r="D202" s="46">
        <v>75</v>
      </c>
      <c r="E202" s="46" t="s">
        <v>238</v>
      </c>
      <c r="F202" s="46">
        <v>70</v>
      </c>
      <c r="G202" s="46" t="s">
        <v>227</v>
      </c>
      <c r="H202" s="46">
        <v>59</v>
      </c>
      <c r="I202" s="46" t="s">
        <v>227</v>
      </c>
      <c r="J202" s="48">
        <v>75</v>
      </c>
      <c r="K202">
        <v>35</v>
      </c>
      <c r="L202" t="s">
        <v>235</v>
      </c>
      <c r="P202">
        <v>1376</v>
      </c>
      <c r="Q202">
        <v>4</v>
      </c>
      <c r="R202">
        <v>1380</v>
      </c>
    </row>
    <row r="203" spans="1:18" ht="19.899999999999999" customHeight="1" x14ac:dyDescent="0.25">
      <c r="A203" t="str">
        <f t="shared" si="3"/>
        <v>IJ#1MTR</v>
      </c>
      <c r="B203" s="46" t="s">
        <v>404</v>
      </c>
      <c r="C203" s="46" t="s">
        <v>194</v>
      </c>
      <c r="D203" s="46">
        <v>613</v>
      </c>
      <c r="E203" s="46" t="s">
        <v>199</v>
      </c>
      <c r="F203" s="46">
        <v>554</v>
      </c>
      <c r="G203" s="46" t="s">
        <v>199</v>
      </c>
      <c r="H203" s="46">
        <v>575</v>
      </c>
      <c r="I203" s="46" t="s">
        <v>199</v>
      </c>
      <c r="J203" s="48">
        <v>613</v>
      </c>
      <c r="K203" t="s">
        <v>196</v>
      </c>
      <c r="L203" t="s">
        <v>196</v>
      </c>
      <c r="P203">
        <v>3659</v>
      </c>
      <c r="Q203">
        <v>1</v>
      </c>
      <c r="R203">
        <v>3660</v>
      </c>
    </row>
    <row r="204" spans="1:18" ht="19.899999999999999" customHeight="1" x14ac:dyDescent="0.25">
      <c r="A204" t="str">
        <f t="shared" si="3"/>
        <v>IJ23</v>
      </c>
      <c r="B204" s="46" t="s">
        <v>404</v>
      </c>
      <c r="C204" s="46" t="s">
        <v>405</v>
      </c>
      <c r="D204" s="46">
        <v>99</v>
      </c>
      <c r="E204" s="46" t="s">
        <v>200</v>
      </c>
      <c r="F204" s="46">
        <v>84</v>
      </c>
      <c r="G204" s="46" t="s">
        <v>227</v>
      </c>
      <c r="H204" s="46">
        <v>97</v>
      </c>
      <c r="I204" s="46" t="s">
        <v>227</v>
      </c>
      <c r="J204" s="48">
        <v>99</v>
      </c>
      <c r="K204">
        <v>39</v>
      </c>
      <c r="L204" t="s">
        <v>195</v>
      </c>
      <c r="P204">
        <v>3004</v>
      </c>
      <c r="Q204">
        <v>4</v>
      </c>
      <c r="R204">
        <v>3008</v>
      </c>
    </row>
    <row r="205" spans="1:18" ht="19.899999999999999" customHeight="1" x14ac:dyDescent="0.25">
      <c r="A205" t="str">
        <f t="shared" si="3"/>
        <v>IJ33</v>
      </c>
      <c r="B205" s="46" t="s">
        <v>404</v>
      </c>
      <c r="C205" s="46" t="s">
        <v>406</v>
      </c>
      <c r="D205" s="46">
        <v>90</v>
      </c>
      <c r="E205" s="46" t="s">
        <v>199</v>
      </c>
      <c r="F205" s="46">
        <v>90</v>
      </c>
      <c r="G205" s="46" t="s">
        <v>204</v>
      </c>
      <c r="H205" s="46">
        <v>75</v>
      </c>
      <c r="I205" s="46" t="s">
        <v>202</v>
      </c>
      <c r="J205" s="48">
        <v>90</v>
      </c>
      <c r="K205">
        <v>45</v>
      </c>
      <c r="L205" t="s">
        <v>231</v>
      </c>
      <c r="P205">
        <v>4106</v>
      </c>
      <c r="Q205">
        <v>2</v>
      </c>
      <c r="R205">
        <v>4108</v>
      </c>
    </row>
    <row r="206" spans="1:18" ht="19.899999999999999" customHeight="1" x14ac:dyDescent="0.25">
      <c r="A206" t="str">
        <f t="shared" si="3"/>
        <v>IJ30</v>
      </c>
      <c r="B206" s="46" t="s">
        <v>404</v>
      </c>
      <c r="C206" s="46" t="s">
        <v>407</v>
      </c>
      <c r="D206" s="46">
        <v>255</v>
      </c>
      <c r="E206" s="46" t="s">
        <v>199</v>
      </c>
      <c r="F206" s="46">
        <v>227</v>
      </c>
      <c r="G206" s="46" t="s">
        <v>199</v>
      </c>
      <c r="H206" s="46">
        <v>229</v>
      </c>
      <c r="I206" s="46" t="s">
        <v>202</v>
      </c>
      <c r="J206" s="48">
        <v>255</v>
      </c>
      <c r="K206">
        <v>71</v>
      </c>
      <c r="L206" t="s">
        <v>218</v>
      </c>
      <c r="P206">
        <v>514</v>
      </c>
      <c r="Q206">
        <v>1</v>
      </c>
      <c r="R206">
        <v>515</v>
      </c>
    </row>
    <row r="207" spans="1:18" ht="19.899999999999999" customHeight="1" x14ac:dyDescent="0.25">
      <c r="A207" t="str">
        <f t="shared" si="3"/>
        <v>IJ22</v>
      </c>
      <c r="B207" s="46" t="s">
        <v>404</v>
      </c>
      <c r="C207" s="46" t="s">
        <v>408</v>
      </c>
      <c r="D207" s="46">
        <v>154</v>
      </c>
      <c r="E207" s="46" t="s">
        <v>199</v>
      </c>
      <c r="F207" s="46">
        <v>149</v>
      </c>
      <c r="G207" s="46" t="s">
        <v>199</v>
      </c>
      <c r="H207" s="46">
        <v>162</v>
      </c>
      <c r="I207" s="46" t="s">
        <v>202</v>
      </c>
      <c r="J207" s="48">
        <v>162</v>
      </c>
      <c r="K207">
        <v>37</v>
      </c>
      <c r="L207" t="s">
        <v>202</v>
      </c>
      <c r="P207">
        <v>3533</v>
      </c>
      <c r="Q207">
        <v>6</v>
      </c>
      <c r="R207">
        <v>3539</v>
      </c>
    </row>
    <row r="208" spans="1:18" ht="19.899999999999999" customHeight="1" x14ac:dyDescent="0.25">
      <c r="A208" t="str">
        <f t="shared" si="3"/>
        <v>IJ34</v>
      </c>
      <c r="B208" s="46" t="s">
        <v>404</v>
      </c>
      <c r="C208" s="46" t="s">
        <v>409</v>
      </c>
      <c r="D208" s="46">
        <v>50</v>
      </c>
      <c r="E208" s="46" t="s">
        <v>195</v>
      </c>
      <c r="F208" s="46">
        <v>48</v>
      </c>
      <c r="G208" s="46" t="s">
        <v>206</v>
      </c>
      <c r="H208" s="46">
        <v>31</v>
      </c>
      <c r="I208" s="46" t="s">
        <v>222</v>
      </c>
      <c r="J208" s="48">
        <v>50</v>
      </c>
      <c r="K208">
        <v>21</v>
      </c>
      <c r="L208" t="s">
        <v>235</v>
      </c>
      <c r="P208">
        <v>636</v>
      </c>
      <c r="Q208">
        <v>1</v>
      </c>
      <c r="R208">
        <v>637</v>
      </c>
    </row>
    <row r="209" spans="1:18" ht="19.899999999999999" customHeight="1" x14ac:dyDescent="0.25">
      <c r="A209" t="str">
        <f t="shared" si="3"/>
        <v>IJ#2MTR</v>
      </c>
      <c r="B209" s="46" t="s">
        <v>404</v>
      </c>
      <c r="C209" s="46" t="s">
        <v>209</v>
      </c>
      <c r="D209" s="46">
        <v>486</v>
      </c>
      <c r="E209" s="46" t="s">
        <v>195</v>
      </c>
      <c r="F209" s="46">
        <v>509</v>
      </c>
      <c r="G209" s="46" t="s">
        <v>195</v>
      </c>
      <c r="H209" s="46">
        <v>468</v>
      </c>
      <c r="I209" s="46" t="s">
        <v>195</v>
      </c>
      <c r="J209" s="48">
        <v>509</v>
      </c>
      <c r="K209" t="s">
        <v>196</v>
      </c>
      <c r="L209" t="s">
        <v>196</v>
      </c>
      <c r="P209">
        <v>1988</v>
      </c>
      <c r="Q209">
        <v>9</v>
      </c>
      <c r="R209">
        <v>1997</v>
      </c>
    </row>
    <row r="210" spans="1:18" ht="19.899999999999999" customHeight="1" x14ac:dyDescent="0.25">
      <c r="A210" t="str">
        <f t="shared" si="3"/>
        <v>IJ26</v>
      </c>
      <c r="B210" s="46" t="s">
        <v>404</v>
      </c>
      <c r="C210" s="46" t="s">
        <v>410</v>
      </c>
      <c r="D210" s="46">
        <v>51</v>
      </c>
      <c r="E210" s="46" t="s">
        <v>204</v>
      </c>
      <c r="F210" s="46">
        <v>45</v>
      </c>
      <c r="G210" s="46" t="s">
        <v>199</v>
      </c>
      <c r="H210" s="46">
        <v>47</v>
      </c>
      <c r="I210" s="46" t="s">
        <v>199</v>
      </c>
      <c r="J210" s="48">
        <v>51</v>
      </c>
      <c r="K210">
        <v>28</v>
      </c>
      <c r="L210" t="s">
        <v>213</v>
      </c>
      <c r="P210">
        <v>1487</v>
      </c>
      <c r="Q210">
        <v>3</v>
      </c>
      <c r="R210">
        <v>1490</v>
      </c>
    </row>
    <row r="211" spans="1:18" ht="19.899999999999999" customHeight="1" x14ac:dyDescent="0.25">
      <c r="A211" t="str">
        <f t="shared" si="3"/>
        <v>IJ29</v>
      </c>
      <c r="B211" s="46" t="s">
        <v>404</v>
      </c>
      <c r="C211" s="46" t="s">
        <v>411</v>
      </c>
      <c r="D211" s="46">
        <v>48</v>
      </c>
      <c r="E211" s="46" t="s">
        <v>202</v>
      </c>
      <c r="F211" s="46">
        <v>37</v>
      </c>
      <c r="G211" s="46" t="s">
        <v>202</v>
      </c>
      <c r="H211" s="46">
        <v>27</v>
      </c>
      <c r="I211" s="46" t="s">
        <v>199</v>
      </c>
      <c r="J211" s="48">
        <v>48</v>
      </c>
      <c r="K211">
        <v>36</v>
      </c>
      <c r="L211" t="s">
        <v>227</v>
      </c>
      <c r="P211">
        <v>348</v>
      </c>
      <c r="Q211">
        <v>17</v>
      </c>
      <c r="R211">
        <v>365</v>
      </c>
    </row>
    <row r="212" spans="1:18" ht="19.899999999999999" customHeight="1" x14ac:dyDescent="0.25">
      <c r="A212" t="str">
        <f t="shared" si="3"/>
        <v>IJ28</v>
      </c>
      <c r="B212" s="46" t="s">
        <v>404</v>
      </c>
      <c r="C212" s="46" t="s">
        <v>412</v>
      </c>
      <c r="D212" s="46">
        <v>141</v>
      </c>
      <c r="E212" s="46" t="s">
        <v>200</v>
      </c>
      <c r="F212" s="46">
        <v>164</v>
      </c>
      <c r="G212" s="46" t="s">
        <v>213</v>
      </c>
      <c r="H212" s="46">
        <v>153</v>
      </c>
      <c r="I212" s="46" t="s">
        <v>200</v>
      </c>
      <c r="J212" s="48">
        <v>164</v>
      </c>
      <c r="K212">
        <v>41</v>
      </c>
      <c r="L212" t="s">
        <v>199</v>
      </c>
      <c r="P212">
        <v>1106</v>
      </c>
      <c r="Q212" t="s">
        <v>192</v>
      </c>
      <c r="R212">
        <v>1106</v>
      </c>
    </row>
    <row r="213" spans="1:18" ht="19.899999999999999" customHeight="1" x14ac:dyDescent="0.25">
      <c r="A213" t="str">
        <f t="shared" si="3"/>
        <v>IJ32</v>
      </c>
      <c r="B213" s="46" t="s">
        <v>404</v>
      </c>
      <c r="C213" s="46" t="s">
        <v>413</v>
      </c>
      <c r="D213" s="46">
        <v>157</v>
      </c>
      <c r="E213" s="46" t="s">
        <v>206</v>
      </c>
      <c r="F213" s="46">
        <v>155</v>
      </c>
      <c r="G213" s="46" t="s">
        <v>195</v>
      </c>
      <c r="H213" s="46">
        <v>141</v>
      </c>
      <c r="I213" s="46" t="s">
        <v>195</v>
      </c>
      <c r="J213" s="48">
        <v>157</v>
      </c>
      <c r="K213">
        <v>35</v>
      </c>
      <c r="L213" t="s">
        <v>222</v>
      </c>
      <c r="P213">
        <v>1839</v>
      </c>
      <c r="Q213">
        <v>4</v>
      </c>
      <c r="R213">
        <v>1843</v>
      </c>
    </row>
    <row r="214" spans="1:18" ht="19.899999999999999" customHeight="1" x14ac:dyDescent="0.25">
      <c r="A214" t="str">
        <f t="shared" si="3"/>
        <v>IJ20</v>
      </c>
      <c r="B214" s="46" t="s">
        <v>404</v>
      </c>
      <c r="C214" s="46" t="s">
        <v>414</v>
      </c>
      <c r="D214" s="46">
        <v>146</v>
      </c>
      <c r="E214" s="46" t="s">
        <v>204</v>
      </c>
      <c r="F214" s="46">
        <v>143</v>
      </c>
      <c r="G214" s="46" t="s">
        <v>199</v>
      </c>
      <c r="H214" s="46">
        <v>148</v>
      </c>
      <c r="I214" s="46" t="s">
        <v>204</v>
      </c>
      <c r="J214" s="48">
        <v>148</v>
      </c>
      <c r="K214">
        <v>19</v>
      </c>
      <c r="L214" t="s">
        <v>204</v>
      </c>
      <c r="P214">
        <v>4841</v>
      </c>
      <c r="Q214">
        <v>3</v>
      </c>
      <c r="R214">
        <v>4844</v>
      </c>
    </row>
    <row r="215" spans="1:18" ht="19.899999999999999" customHeight="1" x14ac:dyDescent="0.25">
      <c r="A215" t="str">
        <f t="shared" si="3"/>
        <v>IJ#3MTR</v>
      </c>
      <c r="B215" s="46" t="s">
        <v>404</v>
      </c>
      <c r="C215" s="46" t="s">
        <v>217</v>
      </c>
      <c r="D215" s="46">
        <v>304</v>
      </c>
      <c r="E215" s="46" t="s">
        <v>199</v>
      </c>
      <c r="F215" s="46">
        <v>337</v>
      </c>
      <c r="G215" s="46" t="s">
        <v>199</v>
      </c>
      <c r="H215" s="46">
        <v>314</v>
      </c>
      <c r="I215" s="46" t="s">
        <v>202</v>
      </c>
      <c r="J215" s="48">
        <v>337</v>
      </c>
      <c r="K215" t="s">
        <v>196</v>
      </c>
      <c r="L215" t="s">
        <v>196</v>
      </c>
      <c r="P215">
        <v>5066</v>
      </c>
      <c r="Q215">
        <v>2</v>
      </c>
      <c r="R215">
        <v>5068</v>
      </c>
    </row>
    <row r="216" spans="1:18" ht="19.899999999999999" customHeight="1" x14ac:dyDescent="0.25">
      <c r="A216" t="str">
        <f t="shared" si="3"/>
        <v>IJ31</v>
      </c>
      <c r="B216" s="46" t="s">
        <v>404</v>
      </c>
      <c r="C216" s="46" t="s">
        <v>415</v>
      </c>
      <c r="D216" s="46">
        <v>75</v>
      </c>
      <c r="E216" s="46" t="s">
        <v>195</v>
      </c>
      <c r="F216" s="46">
        <v>90</v>
      </c>
      <c r="G216" s="46" t="s">
        <v>235</v>
      </c>
      <c r="H216" s="46">
        <v>52</v>
      </c>
      <c r="I216" s="46" t="s">
        <v>231</v>
      </c>
      <c r="J216" s="48">
        <v>90</v>
      </c>
      <c r="K216">
        <v>40</v>
      </c>
      <c r="L216" t="s">
        <v>235</v>
      </c>
      <c r="P216">
        <v>1237</v>
      </c>
      <c r="Q216" t="s">
        <v>192</v>
      </c>
      <c r="R216">
        <v>1237</v>
      </c>
    </row>
    <row r="217" spans="1:18" ht="19.899999999999999" customHeight="1" x14ac:dyDescent="0.25">
      <c r="A217" t="str">
        <f t="shared" si="3"/>
        <v>IJ24</v>
      </c>
      <c r="B217" s="46" t="s">
        <v>404</v>
      </c>
      <c r="C217" s="46" t="s">
        <v>416</v>
      </c>
      <c r="D217" s="46">
        <v>115</v>
      </c>
      <c r="E217" s="46" t="s">
        <v>200</v>
      </c>
      <c r="F217" s="46">
        <v>110</v>
      </c>
      <c r="G217" s="46" t="s">
        <v>200</v>
      </c>
      <c r="H217" s="46">
        <v>125</v>
      </c>
      <c r="I217" s="46" t="s">
        <v>200</v>
      </c>
      <c r="J217" s="48">
        <v>125</v>
      </c>
      <c r="K217">
        <v>21</v>
      </c>
      <c r="L217" t="s">
        <v>200</v>
      </c>
      <c r="P217" t="s">
        <v>192</v>
      </c>
      <c r="Q217" t="s">
        <v>192</v>
      </c>
      <c r="R217">
        <v>0</v>
      </c>
    </row>
    <row r="218" spans="1:18" ht="19.899999999999999" customHeight="1" x14ac:dyDescent="0.25">
      <c r="A218" t="str">
        <f t="shared" si="3"/>
        <v>IJ25</v>
      </c>
      <c r="B218" s="46" t="s">
        <v>404</v>
      </c>
      <c r="C218" s="46" t="s">
        <v>417</v>
      </c>
      <c r="D218" s="46">
        <v>36</v>
      </c>
      <c r="E218" s="46" t="s">
        <v>227</v>
      </c>
      <c r="F218" s="46">
        <v>18</v>
      </c>
      <c r="G218" s="46" t="s">
        <v>204</v>
      </c>
      <c r="H218" s="46">
        <v>39</v>
      </c>
      <c r="I218" s="46" t="s">
        <v>198</v>
      </c>
      <c r="J218" s="48">
        <v>39</v>
      </c>
      <c r="K218">
        <v>41</v>
      </c>
      <c r="L218" t="s">
        <v>227</v>
      </c>
      <c r="P218">
        <v>1670</v>
      </c>
      <c r="Q218">
        <v>4</v>
      </c>
      <c r="R218">
        <v>1674</v>
      </c>
    </row>
    <row r="219" spans="1:18" ht="19.899999999999999" customHeight="1" x14ac:dyDescent="0.25">
      <c r="A219" t="str">
        <f t="shared" si="3"/>
        <v>IJ21</v>
      </c>
      <c r="B219" s="46" t="s">
        <v>404</v>
      </c>
      <c r="C219" s="46" t="s">
        <v>418</v>
      </c>
      <c r="D219" s="46">
        <v>83</v>
      </c>
      <c r="E219" s="46" t="s">
        <v>199</v>
      </c>
      <c r="F219" s="46">
        <v>107</v>
      </c>
      <c r="G219" s="46" t="s">
        <v>199</v>
      </c>
      <c r="H219" s="46">
        <v>82</v>
      </c>
      <c r="I219" s="46" t="s">
        <v>199</v>
      </c>
      <c r="J219" s="48">
        <v>107</v>
      </c>
      <c r="K219">
        <v>37</v>
      </c>
      <c r="L219" t="s">
        <v>199</v>
      </c>
      <c r="P219">
        <v>2960</v>
      </c>
      <c r="Q219">
        <v>6</v>
      </c>
      <c r="R219">
        <v>2966</v>
      </c>
    </row>
    <row r="220" spans="1:18" ht="19.899999999999999" customHeight="1" x14ac:dyDescent="0.25">
      <c r="A220" t="str">
        <f t="shared" si="3"/>
        <v>IJ27</v>
      </c>
      <c r="B220" s="46" t="s">
        <v>404</v>
      </c>
      <c r="C220" s="46" t="s">
        <v>419</v>
      </c>
      <c r="D220" s="46">
        <v>31</v>
      </c>
      <c r="E220" s="46" t="s">
        <v>198</v>
      </c>
      <c r="F220" s="46">
        <v>46</v>
      </c>
      <c r="G220" s="46" t="s">
        <v>198</v>
      </c>
      <c r="H220" s="46">
        <v>47</v>
      </c>
      <c r="I220" s="46" t="s">
        <v>195</v>
      </c>
      <c r="J220" s="48">
        <v>47</v>
      </c>
      <c r="K220">
        <v>24</v>
      </c>
      <c r="L220" t="s">
        <v>195</v>
      </c>
      <c r="P220">
        <v>661</v>
      </c>
      <c r="Q220">
        <v>3</v>
      </c>
      <c r="R220">
        <v>664</v>
      </c>
    </row>
    <row r="221" spans="1:18" ht="19.899999999999999" customHeight="1" x14ac:dyDescent="0.25">
      <c r="A221" t="str">
        <f t="shared" si="3"/>
        <v>IR#1MTR</v>
      </c>
      <c r="B221" s="46" t="s">
        <v>420</v>
      </c>
      <c r="C221" s="46" t="s">
        <v>194</v>
      </c>
      <c r="D221" s="46">
        <v>643</v>
      </c>
      <c r="E221" s="46" t="s">
        <v>199</v>
      </c>
      <c r="F221" s="46">
        <v>638</v>
      </c>
      <c r="G221" s="46" t="s">
        <v>199</v>
      </c>
      <c r="H221" s="46">
        <v>612</v>
      </c>
      <c r="I221" s="46" t="s">
        <v>199</v>
      </c>
      <c r="J221" s="48">
        <v>643</v>
      </c>
      <c r="K221" t="s">
        <v>196</v>
      </c>
      <c r="L221" t="s">
        <v>196</v>
      </c>
      <c r="P221">
        <v>589</v>
      </c>
      <c r="Q221" t="s">
        <v>192</v>
      </c>
      <c r="R221">
        <v>589</v>
      </c>
    </row>
    <row r="222" spans="1:18" ht="19.899999999999999" customHeight="1" x14ac:dyDescent="0.25">
      <c r="A222" t="str">
        <f t="shared" si="3"/>
        <v>IR21</v>
      </c>
      <c r="B222" s="46" t="s">
        <v>420</v>
      </c>
      <c r="C222" s="46" t="s">
        <v>421</v>
      </c>
      <c r="D222" s="46">
        <v>198</v>
      </c>
      <c r="E222" s="46" t="s">
        <v>195</v>
      </c>
      <c r="F222" s="46">
        <v>171</v>
      </c>
      <c r="G222" s="46" t="s">
        <v>195</v>
      </c>
      <c r="H222" s="46">
        <v>158</v>
      </c>
      <c r="I222" s="46" t="s">
        <v>206</v>
      </c>
      <c r="J222" s="48">
        <v>198</v>
      </c>
      <c r="K222">
        <v>50</v>
      </c>
      <c r="L222" t="s">
        <v>238</v>
      </c>
      <c r="P222">
        <v>1242</v>
      </c>
      <c r="Q222">
        <v>2</v>
      </c>
      <c r="R222">
        <v>1244</v>
      </c>
    </row>
    <row r="223" spans="1:18" ht="19.899999999999999" customHeight="1" x14ac:dyDescent="0.25">
      <c r="A223" t="str">
        <f t="shared" si="3"/>
        <v>IR31</v>
      </c>
      <c r="B223" s="46" t="s">
        <v>420</v>
      </c>
      <c r="C223" s="46" t="s">
        <v>422</v>
      </c>
      <c r="D223" s="46">
        <v>149</v>
      </c>
      <c r="E223" s="46" t="s">
        <v>199</v>
      </c>
      <c r="F223" s="46">
        <v>159</v>
      </c>
      <c r="G223" s="46" t="s">
        <v>199</v>
      </c>
      <c r="H223" s="46">
        <v>120</v>
      </c>
      <c r="I223" s="46" t="s">
        <v>199</v>
      </c>
      <c r="J223" s="48">
        <v>159</v>
      </c>
      <c r="K223">
        <v>52</v>
      </c>
      <c r="L223" t="s">
        <v>222</v>
      </c>
      <c r="P223">
        <v>2384</v>
      </c>
      <c r="Q223">
        <v>1</v>
      </c>
      <c r="R223">
        <v>2385</v>
      </c>
    </row>
    <row r="224" spans="1:18" ht="19.899999999999999" customHeight="1" x14ac:dyDescent="0.25">
      <c r="A224" t="str">
        <f t="shared" si="3"/>
        <v>IR32</v>
      </c>
      <c r="B224" s="46" t="s">
        <v>420</v>
      </c>
      <c r="C224" s="46" t="s">
        <v>423</v>
      </c>
      <c r="D224" s="46">
        <v>100</v>
      </c>
      <c r="E224" s="46" t="s">
        <v>204</v>
      </c>
      <c r="F224" s="46">
        <v>118</v>
      </c>
      <c r="G224" s="46" t="s">
        <v>199</v>
      </c>
      <c r="H224" s="46">
        <v>125</v>
      </c>
      <c r="I224" s="46" t="s">
        <v>200</v>
      </c>
      <c r="J224" s="48">
        <v>125</v>
      </c>
      <c r="K224">
        <v>52</v>
      </c>
      <c r="L224" t="s">
        <v>218</v>
      </c>
      <c r="P224">
        <v>2691</v>
      </c>
      <c r="Q224">
        <v>7</v>
      </c>
      <c r="R224">
        <v>2698</v>
      </c>
    </row>
    <row r="225" spans="1:18" ht="19.899999999999999" customHeight="1" x14ac:dyDescent="0.25">
      <c r="A225" t="str">
        <f t="shared" si="3"/>
        <v>IR33</v>
      </c>
      <c r="B225" s="46" t="s">
        <v>420</v>
      </c>
      <c r="C225" s="46" t="s">
        <v>424</v>
      </c>
      <c r="D225" s="46">
        <v>121</v>
      </c>
      <c r="E225" s="46" t="s">
        <v>195</v>
      </c>
      <c r="F225" s="46">
        <v>121</v>
      </c>
      <c r="G225" s="46" t="s">
        <v>195</v>
      </c>
      <c r="H225" s="46">
        <v>156</v>
      </c>
      <c r="I225" s="46" t="s">
        <v>195</v>
      </c>
      <c r="J225" s="48">
        <v>156</v>
      </c>
      <c r="K225">
        <v>42</v>
      </c>
      <c r="L225" t="s">
        <v>198</v>
      </c>
      <c r="P225">
        <v>333</v>
      </c>
      <c r="Q225">
        <v>4</v>
      </c>
      <c r="R225">
        <v>337</v>
      </c>
    </row>
    <row r="226" spans="1:18" ht="19.899999999999999" customHeight="1" x14ac:dyDescent="0.25">
      <c r="A226" t="str">
        <f t="shared" si="3"/>
        <v>IR34</v>
      </c>
      <c r="B226" s="46" t="s">
        <v>420</v>
      </c>
      <c r="C226" s="46" t="s">
        <v>425</v>
      </c>
      <c r="D226" s="46">
        <v>107</v>
      </c>
      <c r="E226" s="46" t="s">
        <v>199</v>
      </c>
      <c r="F226" s="46">
        <v>94</v>
      </c>
      <c r="G226" s="46" t="s">
        <v>204</v>
      </c>
      <c r="H226" s="46">
        <v>88</v>
      </c>
      <c r="I226" s="46" t="s">
        <v>227</v>
      </c>
      <c r="J226" s="48">
        <v>107</v>
      </c>
      <c r="K226">
        <v>37</v>
      </c>
      <c r="L226" t="s">
        <v>200</v>
      </c>
      <c r="P226">
        <v>173</v>
      </c>
      <c r="Q226">
        <v>2</v>
      </c>
      <c r="R226">
        <v>175</v>
      </c>
    </row>
    <row r="227" spans="1:18" ht="19.899999999999999" customHeight="1" x14ac:dyDescent="0.25">
      <c r="A227" t="str">
        <f t="shared" si="3"/>
        <v>IR#2MTR</v>
      </c>
      <c r="B227" s="46" t="s">
        <v>420</v>
      </c>
      <c r="C227" s="46" t="s">
        <v>209</v>
      </c>
      <c r="D227" s="46">
        <v>0</v>
      </c>
      <c r="E227" s="46" t="s">
        <v>215</v>
      </c>
      <c r="F227" s="46">
        <v>0</v>
      </c>
      <c r="G227" s="46" t="s">
        <v>215</v>
      </c>
      <c r="H227" s="46">
        <v>0</v>
      </c>
      <c r="I227" s="46" t="s">
        <v>215</v>
      </c>
      <c r="J227" s="48">
        <v>0</v>
      </c>
      <c r="K227" t="s">
        <v>196</v>
      </c>
      <c r="L227" t="s">
        <v>196</v>
      </c>
      <c r="P227">
        <v>131</v>
      </c>
      <c r="Q227">
        <v>1</v>
      </c>
      <c r="R227">
        <v>132</v>
      </c>
    </row>
    <row r="228" spans="1:18" ht="19.899999999999999" customHeight="1" x14ac:dyDescent="0.25">
      <c r="A228" t="str">
        <f t="shared" si="3"/>
        <v>IR35</v>
      </c>
      <c r="B228" s="46" t="s">
        <v>420</v>
      </c>
      <c r="C228" s="46" t="s">
        <v>426</v>
      </c>
      <c r="D228" s="46">
        <v>0</v>
      </c>
      <c r="E228" s="46" t="s">
        <v>215</v>
      </c>
      <c r="F228" s="46">
        <v>0</v>
      </c>
      <c r="G228" s="46" t="s">
        <v>215</v>
      </c>
      <c r="H228" s="46">
        <v>0</v>
      </c>
      <c r="I228" s="46" t="s">
        <v>215</v>
      </c>
      <c r="J228" s="48">
        <v>0</v>
      </c>
      <c r="K228">
        <v>0</v>
      </c>
      <c r="L228" t="s">
        <v>215</v>
      </c>
      <c r="P228">
        <v>2291</v>
      </c>
      <c r="Q228">
        <v>2</v>
      </c>
      <c r="R228">
        <v>2293</v>
      </c>
    </row>
    <row r="229" spans="1:18" ht="19.899999999999999" customHeight="1" x14ac:dyDescent="0.25">
      <c r="A229" t="str">
        <f t="shared" si="3"/>
        <v>IR25</v>
      </c>
      <c r="B229" s="46" t="s">
        <v>420</v>
      </c>
      <c r="C229" s="46" t="s">
        <v>427</v>
      </c>
      <c r="D229" s="46">
        <v>0</v>
      </c>
      <c r="E229" s="46" t="s">
        <v>215</v>
      </c>
      <c r="F229" s="46">
        <v>0</v>
      </c>
      <c r="G229" s="46" t="s">
        <v>215</v>
      </c>
      <c r="H229" s="46">
        <v>0</v>
      </c>
      <c r="I229" s="46" t="s">
        <v>215</v>
      </c>
      <c r="J229" s="48">
        <v>0</v>
      </c>
      <c r="K229">
        <v>0</v>
      </c>
      <c r="L229" t="s">
        <v>215</v>
      </c>
      <c r="P229">
        <v>1329</v>
      </c>
      <c r="Q229">
        <v>7</v>
      </c>
      <c r="R229">
        <v>1336</v>
      </c>
    </row>
    <row r="230" spans="1:18" ht="19.899999999999999" customHeight="1" x14ac:dyDescent="0.25">
      <c r="A230" t="str">
        <f t="shared" si="3"/>
        <v>IR26</v>
      </c>
      <c r="B230" s="46" t="s">
        <v>420</v>
      </c>
      <c r="C230" s="46" t="s">
        <v>428</v>
      </c>
      <c r="D230" s="46">
        <v>0</v>
      </c>
      <c r="E230" s="46" t="s">
        <v>215</v>
      </c>
      <c r="F230" s="46">
        <v>0</v>
      </c>
      <c r="G230" s="46" t="s">
        <v>215</v>
      </c>
      <c r="H230" s="46">
        <v>0</v>
      </c>
      <c r="I230" s="46" t="s">
        <v>215</v>
      </c>
      <c r="J230" s="48">
        <v>0</v>
      </c>
      <c r="K230">
        <v>0</v>
      </c>
      <c r="L230" t="s">
        <v>215</v>
      </c>
      <c r="P230">
        <v>2194</v>
      </c>
      <c r="Q230">
        <v>2</v>
      </c>
      <c r="R230">
        <v>2196</v>
      </c>
    </row>
    <row r="231" spans="1:18" ht="19.899999999999999" customHeight="1" x14ac:dyDescent="0.25">
      <c r="A231" t="str">
        <f t="shared" si="3"/>
        <v>IR20</v>
      </c>
      <c r="B231" s="46" t="s">
        <v>420</v>
      </c>
      <c r="C231" s="46" t="s">
        <v>429</v>
      </c>
      <c r="D231" s="46">
        <v>0</v>
      </c>
      <c r="E231" s="46" t="s">
        <v>215</v>
      </c>
      <c r="F231" s="46">
        <v>0</v>
      </c>
      <c r="G231" s="46" t="s">
        <v>215</v>
      </c>
      <c r="H231" s="46">
        <v>0</v>
      </c>
      <c r="I231" s="46" t="s">
        <v>215</v>
      </c>
      <c r="J231" s="48">
        <v>0</v>
      </c>
      <c r="K231">
        <v>0</v>
      </c>
      <c r="L231" t="s">
        <v>215</v>
      </c>
      <c r="P231" t="s">
        <v>192</v>
      </c>
      <c r="Q231" t="s">
        <v>192</v>
      </c>
      <c r="R231">
        <v>0</v>
      </c>
    </row>
    <row r="232" spans="1:18" ht="19.899999999999999" customHeight="1" x14ac:dyDescent="0.25">
      <c r="A232" t="str">
        <f t="shared" si="3"/>
        <v>IR27</v>
      </c>
      <c r="B232" s="46" t="s">
        <v>420</v>
      </c>
      <c r="C232" s="46" t="s">
        <v>430</v>
      </c>
      <c r="D232" s="46">
        <v>0</v>
      </c>
      <c r="E232" s="46" t="s">
        <v>215</v>
      </c>
      <c r="F232" s="46">
        <v>0</v>
      </c>
      <c r="G232" s="46" t="s">
        <v>215</v>
      </c>
      <c r="H232" s="46">
        <v>0</v>
      </c>
      <c r="I232" s="46" t="s">
        <v>215</v>
      </c>
      <c r="J232" s="48">
        <v>0</v>
      </c>
      <c r="K232">
        <v>0</v>
      </c>
      <c r="L232" t="s">
        <v>215</v>
      </c>
      <c r="P232">
        <v>360</v>
      </c>
      <c r="Q232">
        <v>1</v>
      </c>
      <c r="R232">
        <v>361</v>
      </c>
    </row>
    <row r="233" spans="1:18" ht="19.899999999999999" customHeight="1" x14ac:dyDescent="0.25">
      <c r="A233" t="str">
        <f t="shared" si="3"/>
        <v>IR#3MTR</v>
      </c>
      <c r="B233" s="46" t="s">
        <v>420</v>
      </c>
      <c r="C233" s="46" t="s">
        <v>217</v>
      </c>
      <c r="D233" s="46">
        <v>544</v>
      </c>
      <c r="E233" s="46" t="s">
        <v>195</v>
      </c>
      <c r="F233" s="46">
        <v>527</v>
      </c>
      <c r="G233" s="46" t="s">
        <v>195</v>
      </c>
      <c r="H233" s="46">
        <v>556</v>
      </c>
      <c r="I233" s="46" t="s">
        <v>195</v>
      </c>
      <c r="J233" s="48">
        <v>556</v>
      </c>
      <c r="K233" t="s">
        <v>196</v>
      </c>
      <c r="L233" t="s">
        <v>196</v>
      </c>
      <c r="P233">
        <v>955</v>
      </c>
      <c r="Q233">
        <v>11</v>
      </c>
      <c r="R233">
        <v>966</v>
      </c>
    </row>
    <row r="234" spans="1:18" ht="19.899999999999999" customHeight="1" x14ac:dyDescent="0.25">
      <c r="A234" t="str">
        <f t="shared" si="3"/>
        <v>IR37</v>
      </c>
      <c r="B234" s="46" t="s">
        <v>420</v>
      </c>
      <c r="C234" s="46" t="s">
        <v>431</v>
      </c>
      <c r="D234" s="46">
        <v>132</v>
      </c>
      <c r="E234" s="46" t="s">
        <v>195</v>
      </c>
      <c r="F234" s="46">
        <v>115</v>
      </c>
      <c r="G234" s="46" t="s">
        <v>206</v>
      </c>
      <c r="H234" s="46">
        <v>87</v>
      </c>
      <c r="I234" s="46" t="s">
        <v>195</v>
      </c>
      <c r="J234" s="48">
        <v>132</v>
      </c>
      <c r="K234">
        <v>42</v>
      </c>
      <c r="L234" t="s">
        <v>195</v>
      </c>
      <c r="P234">
        <v>1864</v>
      </c>
      <c r="Q234">
        <v>4</v>
      </c>
      <c r="R234">
        <v>1868</v>
      </c>
    </row>
    <row r="235" spans="1:18" ht="19.899999999999999" customHeight="1" x14ac:dyDescent="0.25">
      <c r="A235" t="str">
        <f t="shared" si="3"/>
        <v>IR38</v>
      </c>
      <c r="B235" s="46" t="s">
        <v>420</v>
      </c>
      <c r="C235" s="46" t="s">
        <v>432</v>
      </c>
      <c r="D235" s="46">
        <v>100</v>
      </c>
      <c r="E235" s="46" t="s">
        <v>198</v>
      </c>
      <c r="F235" s="46">
        <v>88</v>
      </c>
      <c r="G235" s="46" t="s">
        <v>195</v>
      </c>
      <c r="H235" s="46">
        <v>111</v>
      </c>
      <c r="I235" s="46" t="s">
        <v>195</v>
      </c>
      <c r="J235" s="48">
        <v>111</v>
      </c>
      <c r="K235">
        <v>44</v>
      </c>
      <c r="L235" t="s">
        <v>199</v>
      </c>
      <c r="P235">
        <v>1713</v>
      </c>
      <c r="Q235">
        <v>3</v>
      </c>
      <c r="R235">
        <v>1716</v>
      </c>
    </row>
    <row r="236" spans="1:18" ht="19.899999999999999" customHeight="1" x14ac:dyDescent="0.25">
      <c r="A236" t="str">
        <f t="shared" si="3"/>
        <v>IR39</v>
      </c>
      <c r="B236" s="46" t="s">
        <v>420</v>
      </c>
      <c r="C236" s="46" t="s">
        <v>433</v>
      </c>
      <c r="D236" s="46">
        <v>126</v>
      </c>
      <c r="E236" s="46" t="s">
        <v>195</v>
      </c>
      <c r="F236" s="46">
        <v>141</v>
      </c>
      <c r="G236" s="46" t="s">
        <v>195</v>
      </c>
      <c r="H236" s="46">
        <v>166</v>
      </c>
      <c r="I236" s="46" t="s">
        <v>195</v>
      </c>
      <c r="J236" s="48">
        <v>166</v>
      </c>
      <c r="K236">
        <v>54</v>
      </c>
      <c r="L236" t="s">
        <v>202</v>
      </c>
      <c r="P236">
        <v>1131</v>
      </c>
      <c r="Q236" t="s">
        <v>192</v>
      </c>
      <c r="R236">
        <v>1131</v>
      </c>
    </row>
    <row r="237" spans="1:18" ht="19.899999999999999" customHeight="1" x14ac:dyDescent="0.25">
      <c r="A237" t="str">
        <f t="shared" si="3"/>
        <v>IR36</v>
      </c>
      <c r="B237" s="46" t="s">
        <v>420</v>
      </c>
      <c r="C237" s="46" t="s">
        <v>434</v>
      </c>
      <c r="D237" s="46">
        <v>163</v>
      </c>
      <c r="E237" s="46" t="s">
        <v>218</v>
      </c>
      <c r="F237" s="46">
        <v>149</v>
      </c>
      <c r="G237" s="46" t="s">
        <v>218</v>
      </c>
      <c r="H237" s="46">
        <v>132</v>
      </c>
      <c r="I237" s="46" t="s">
        <v>218</v>
      </c>
      <c r="J237" s="48">
        <v>163</v>
      </c>
      <c r="K237">
        <v>48</v>
      </c>
      <c r="L237" t="s">
        <v>227</v>
      </c>
      <c r="P237">
        <v>3109</v>
      </c>
      <c r="Q237">
        <v>6</v>
      </c>
      <c r="R237">
        <v>3115</v>
      </c>
    </row>
    <row r="238" spans="1:18" ht="19.899999999999999" customHeight="1" x14ac:dyDescent="0.25">
      <c r="A238" t="str">
        <f t="shared" si="3"/>
        <v>IR40</v>
      </c>
      <c r="B238" s="46" t="s">
        <v>420</v>
      </c>
      <c r="C238" s="46" t="s">
        <v>435</v>
      </c>
      <c r="D238" s="46">
        <v>136</v>
      </c>
      <c r="E238" s="46" t="s">
        <v>199</v>
      </c>
      <c r="F238" s="46">
        <v>129</v>
      </c>
      <c r="G238" s="46" t="s">
        <v>199</v>
      </c>
      <c r="H238" s="46">
        <v>147</v>
      </c>
      <c r="I238" s="46" t="s">
        <v>204</v>
      </c>
      <c r="J238" s="48">
        <v>147</v>
      </c>
      <c r="K238">
        <v>48</v>
      </c>
      <c r="L238" t="s">
        <v>227</v>
      </c>
      <c r="P238">
        <v>1864</v>
      </c>
      <c r="Q238">
        <v>1</v>
      </c>
      <c r="R238">
        <v>1865</v>
      </c>
    </row>
    <row r="239" spans="1:18" ht="19.899999999999999" customHeight="1" x14ac:dyDescent="0.25">
      <c r="A239" t="str">
        <f t="shared" si="3"/>
        <v>IR#4MTR</v>
      </c>
      <c r="B239" s="46" t="s">
        <v>420</v>
      </c>
      <c r="C239" s="46" t="s">
        <v>436</v>
      </c>
      <c r="D239" s="46">
        <v>689</v>
      </c>
      <c r="E239" s="46" t="s">
        <v>199</v>
      </c>
      <c r="F239" s="46">
        <v>698</v>
      </c>
      <c r="G239" s="46" t="s">
        <v>195</v>
      </c>
      <c r="H239" s="46">
        <v>683</v>
      </c>
      <c r="I239" s="46" t="s">
        <v>199</v>
      </c>
      <c r="J239" s="48">
        <v>698</v>
      </c>
      <c r="K239" t="s">
        <v>196</v>
      </c>
      <c r="L239" t="s">
        <v>196</v>
      </c>
      <c r="P239">
        <v>108</v>
      </c>
      <c r="Q239">
        <v>1</v>
      </c>
      <c r="R239">
        <v>109</v>
      </c>
    </row>
    <row r="240" spans="1:18" ht="19.899999999999999" customHeight="1" x14ac:dyDescent="0.25">
      <c r="A240" t="str">
        <f t="shared" si="3"/>
        <v>IR23</v>
      </c>
      <c r="B240" s="46" t="s">
        <v>420</v>
      </c>
      <c r="C240" s="46" t="s">
        <v>437</v>
      </c>
      <c r="D240" s="46">
        <v>81</v>
      </c>
      <c r="E240" s="46" t="s">
        <v>195</v>
      </c>
      <c r="F240" s="46">
        <v>90</v>
      </c>
      <c r="G240" s="46" t="s">
        <v>195</v>
      </c>
      <c r="H240" s="46">
        <v>77</v>
      </c>
      <c r="I240" s="46" t="s">
        <v>195</v>
      </c>
      <c r="J240" s="48">
        <v>90</v>
      </c>
      <c r="K240">
        <v>39</v>
      </c>
      <c r="L240" t="s">
        <v>200</v>
      </c>
      <c r="P240">
        <v>840</v>
      </c>
      <c r="Q240">
        <v>1</v>
      </c>
      <c r="R240">
        <v>841</v>
      </c>
    </row>
    <row r="241" spans="1:18" ht="19.899999999999999" customHeight="1" x14ac:dyDescent="0.25">
      <c r="A241" t="str">
        <f t="shared" si="3"/>
        <v>IR28</v>
      </c>
      <c r="B241" s="46" t="s">
        <v>420</v>
      </c>
      <c r="C241" s="46" t="s">
        <v>438</v>
      </c>
      <c r="D241" s="46">
        <v>194</v>
      </c>
      <c r="E241" s="46" t="s">
        <v>199</v>
      </c>
      <c r="F241" s="46">
        <v>200</v>
      </c>
      <c r="G241" s="46" t="s">
        <v>199</v>
      </c>
      <c r="H241" s="46">
        <v>179</v>
      </c>
      <c r="I241" s="46" t="s">
        <v>199</v>
      </c>
      <c r="J241" s="48">
        <v>200</v>
      </c>
      <c r="K241">
        <v>60</v>
      </c>
      <c r="L241" t="s">
        <v>198</v>
      </c>
      <c r="P241">
        <v>206</v>
      </c>
      <c r="Q241">
        <v>3</v>
      </c>
      <c r="R241">
        <v>209</v>
      </c>
    </row>
    <row r="242" spans="1:18" ht="19.899999999999999" customHeight="1" x14ac:dyDescent="0.25">
      <c r="A242" t="str">
        <f t="shared" si="3"/>
        <v>IR22</v>
      </c>
      <c r="B242" s="46" t="s">
        <v>420</v>
      </c>
      <c r="C242" s="46" t="s">
        <v>439</v>
      </c>
      <c r="D242" s="46">
        <v>113</v>
      </c>
      <c r="E242" s="46" t="s">
        <v>202</v>
      </c>
      <c r="F242" s="46">
        <v>100</v>
      </c>
      <c r="G242" s="46" t="s">
        <v>195</v>
      </c>
      <c r="H242" s="46">
        <v>105</v>
      </c>
      <c r="I242" s="46" t="s">
        <v>195</v>
      </c>
      <c r="J242" s="48">
        <v>113</v>
      </c>
      <c r="K242">
        <v>45</v>
      </c>
      <c r="L242" t="s">
        <v>213</v>
      </c>
      <c r="P242">
        <v>2277</v>
      </c>
      <c r="Q242">
        <v>6</v>
      </c>
      <c r="R242">
        <v>2283</v>
      </c>
    </row>
    <row r="243" spans="1:18" ht="19.899999999999999" customHeight="1" x14ac:dyDescent="0.25">
      <c r="A243" t="str">
        <f t="shared" si="3"/>
        <v>IR29</v>
      </c>
      <c r="B243" s="46" t="s">
        <v>420</v>
      </c>
      <c r="C243" s="46" t="s">
        <v>440</v>
      </c>
      <c r="D243" s="46">
        <v>184</v>
      </c>
      <c r="E243" s="46" t="s">
        <v>199</v>
      </c>
      <c r="F243" s="46">
        <v>194</v>
      </c>
      <c r="G243" s="46" t="s">
        <v>199</v>
      </c>
      <c r="H243" s="46">
        <v>185</v>
      </c>
      <c r="I243" s="46" t="s">
        <v>199</v>
      </c>
      <c r="J243" s="48">
        <v>194</v>
      </c>
      <c r="K243">
        <v>28</v>
      </c>
      <c r="L243" t="s">
        <v>302</v>
      </c>
      <c r="P243">
        <v>690</v>
      </c>
      <c r="Q243">
        <v>2</v>
      </c>
      <c r="R243">
        <v>692</v>
      </c>
    </row>
    <row r="244" spans="1:18" ht="19.899999999999999" customHeight="1" x14ac:dyDescent="0.25">
      <c r="A244" t="str">
        <f t="shared" si="3"/>
        <v>IR24</v>
      </c>
      <c r="B244" s="46" t="s">
        <v>420</v>
      </c>
      <c r="C244" s="46" t="s">
        <v>441</v>
      </c>
      <c r="D244" s="46">
        <v>161</v>
      </c>
      <c r="E244" s="46" t="s">
        <v>199</v>
      </c>
      <c r="F244" s="46">
        <v>159</v>
      </c>
      <c r="G244" s="46" t="s">
        <v>199</v>
      </c>
      <c r="H244" s="46">
        <v>189</v>
      </c>
      <c r="I244" s="46" t="s">
        <v>199</v>
      </c>
      <c r="J244" s="48">
        <v>189</v>
      </c>
      <c r="K244">
        <v>66</v>
      </c>
      <c r="L244" t="s">
        <v>204</v>
      </c>
      <c r="P244">
        <v>1098</v>
      </c>
      <c r="Q244">
        <v>4</v>
      </c>
      <c r="R244">
        <v>1102</v>
      </c>
    </row>
    <row r="245" spans="1:18" ht="19.899999999999999" customHeight="1" x14ac:dyDescent="0.25">
      <c r="A245" t="str">
        <f t="shared" si="3"/>
        <v>IY#1MTR</v>
      </c>
      <c r="B245" s="46" t="s">
        <v>442</v>
      </c>
      <c r="C245" s="46" t="s">
        <v>194</v>
      </c>
      <c r="D245" s="46">
        <v>852</v>
      </c>
      <c r="E245" s="46" t="s">
        <v>195</v>
      </c>
      <c r="F245" s="46">
        <v>804</v>
      </c>
      <c r="G245" s="46" t="s">
        <v>195</v>
      </c>
      <c r="H245" s="46">
        <v>845</v>
      </c>
      <c r="I245" s="46" t="s">
        <v>195</v>
      </c>
      <c r="J245" s="48">
        <v>852</v>
      </c>
      <c r="K245" t="s">
        <v>196</v>
      </c>
      <c r="L245" t="s">
        <v>196</v>
      </c>
      <c r="P245">
        <v>3318</v>
      </c>
      <c r="Q245">
        <v>1</v>
      </c>
      <c r="R245">
        <v>3319</v>
      </c>
    </row>
    <row r="246" spans="1:18" ht="19.899999999999999" customHeight="1" x14ac:dyDescent="0.25">
      <c r="A246" t="str">
        <f t="shared" si="3"/>
        <v>IY31</v>
      </c>
      <c r="B246" s="46" t="s">
        <v>442</v>
      </c>
      <c r="C246" s="46" t="s">
        <v>443</v>
      </c>
      <c r="D246" s="46">
        <v>63</v>
      </c>
      <c r="E246" s="46" t="s">
        <v>198</v>
      </c>
      <c r="F246" s="46">
        <v>38</v>
      </c>
      <c r="G246" s="46" t="s">
        <v>231</v>
      </c>
      <c r="H246" s="46">
        <v>33</v>
      </c>
      <c r="I246" s="46" t="s">
        <v>195</v>
      </c>
      <c r="J246" s="48">
        <v>63</v>
      </c>
      <c r="K246">
        <v>26</v>
      </c>
      <c r="L246" t="s">
        <v>198</v>
      </c>
      <c r="P246">
        <v>4223</v>
      </c>
      <c r="Q246">
        <v>1</v>
      </c>
      <c r="R246">
        <v>4224</v>
      </c>
    </row>
    <row r="247" spans="1:18" ht="19.899999999999999" customHeight="1" x14ac:dyDescent="0.25">
      <c r="A247" t="str">
        <f t="shared" si="3"/>
        <v>IY21</v>
      </c>
      <c r="B247" s="46" t="s">
        <v>442</v>
      </c>
      <c r="C247" s="46" t="s">
        <v>444</v>
      </c>
      <c r="D247" s="46">
        <v>195</v>
      </c>
      <c r="E247" s="46" t="s">
        <v>195</v>
      </c>
      <c r="F247" s="46">
        <v>204</v>
      </c>
      <c r="G247" s="46" t="s">
        <v>195</v>
      </c>
      <c r="H247" s="46">
        <v>201</v>
      </c>
      <c r="I247" s="46" t="s">
        <v>195</v>
      </c>
      <c r="J247" s="48">
        <v>204</v>
      </c>
      <c r="K247">
        <v>0</v>
      </c>
      <c r="L247" t="s">
        <v>215</v>
      </c>
      <c r="P247">
        <v>2050</v>
      </c>
      <c r="Q247">
        <v>2</v>
      </c>
      <c r="R247">
        <v>2052</v>
      </c>
    </row>
    <row r="248" spans="1:18" ht="19.899999999999999" customHeight="1" x14ac:dyDescent="0.25">
      <c r="A248" t="str">
        <f t="shared" si="3"/>
        <v>IY32</v>
      </c>
      <c r="B248" s="46" t="s">
        <v>442</v>
      </c>
      <c r="C248" s="46" t="s">
        <v>445</v>
      </c>
      <c r="D248" s="46">
        <v>183</v>
      </c>
      <c r="E248" s="46" t="s">
        <v>224</v>
      </c>
      <c r="F248" s="46">
        <v>184</v>
      </c>
      <c r="G248" s="46" t="s">
        <v>224</v>
      </c>
      <c r="H248" s="46">
        <v>183</v>
      </c>
      <c r="I248" s="46" t="s">
        <v>195</v>
      </c>
      <c r="J248" s="48">
        <v>184</v>
      </c>
      <c r="K248">
        <v>2</v>
      </c>
      <c r="L248" t="s">
        <v>213</v>
      </c>
      <c r="P248">
        <v>5019</v>
      </c>
      <c r="Q248">
        <v>2</v>
      </c>
      <c r="R248">
        <v>5021</v>
      </c>
    </row>
    <row r="249" spans="1:18" ht="19.899999999999999" customHeight="1" x14ac:dyDescent="0.25">
      <c r="A249" t="str">
        <f t="shared" si="3"/>
        <v>IY28</v>
      </c>
      <c r="B249" s="46" t="s">
        <v>442</v>
      </c>
      <c r="C249" s="46" t="s">
        <v>446</v>
      </c>
      <c r="D249" s="46">
        <v>129</v>
      </c>
      <c r="E249" s="46" t="s">
        <v>202</v>
      </c>
      <c r="F249" s="46">
        <v>137</v>
      </c>
      <c r="G249" s="46" t="s">
        <v>206</v>
      </c>
      <c r="H249" s="46">
        <v>133</v>
      </c>
      <c r="I249" s="46" t="s">
        <v>199</v>
      </c>
      <c r="J249" s="48">
        <v>137</v>
      </c>
      <c r="K249">
        <v>6</v>
      </c>
      <c r="L249" t="s">
        <v>231</v>
      </c>
      <c r="P249">
        <v>3040</v>
      </c>
      <c r="Q249">
        <v>3</v>
      </c>
      <c r="R249">
        <v>3043</v>
      </c>
    </row>
    <row r="250" spans="1:18" ht="19.899999999999999" customHeight="1" x14ac:dyDescent="0.25">
      <c r="A250" t="str">
        <f t="shared" si="3"/>
        <v>IY29</v>
      </c>
      <c r="B250" s="46" t="s">
        <v>442</v>
      </c>
      <c r="C250" s="46" t="s">
        <v>447</v>
      </c>
      <c r="D250" s="46">
        <v>171</v>
      </c>
      <c r="E250" s="46" t="s">
        <v>204</v>
      </c>
      <c r="F250" s="46">
        <v>179</v>
      </c>
      <c r="G250" s="46" t="s">
        <v>204</v>
      </c>
      <c r="H250" s="46">
        <v>173</v>
      </c>
      <c r="I250" s="46" t="s">
        <v>204</v>
      </c>
      <c r="J250" s="48">
        <v>179</v>
      </c>
      <c r="K250">
        <v>0</v>
      </c>
      <c r="L250" t="s">
        <v>215</v>
      </c>
      <c r="P250">
        <v>2194</v>
      </c>
      <c r="Q250">
        <v>3</v>
      </c>
      <c r="R250">
        <v>2197</v>
      </c>
    </row>
    <row r="251" spans="1:18" ht="19.899999999999999" customHeight="1" x14ac:dyDescent="0.25">
      <c r="A251" t="str">
        <f t="shared" si="3"/>
        <v>IY#2MTR</v>
      </c>
      <c r="B251" s="46" t="s">
        <v>442</v>
      </c>
      <c r="C251" s="46" t="s">
        <v>209</v>
      </c>
      <c r="D251" s="46">
        <v>893</v>
      </c>
      <c r="E251" s="46" t="s">
        <v>195</v>
      </c>
      <c r="F251" s="46">
        <v>893</v>
      </c>
      <c r="G251" s="46" t="s">
        <v>195</v>
      </c>
      <c r="H251" s="46">
        <v>926</v>
      </c>
      <c r="I251" s="46" t="s">
        <v>195</v>
      </c>
      <c r="J251" s="48">
        <v>926</v>
      </c>
      <c r="K251" t="s">
        <v>196</v>
      </c>
      <c r="L251" t="s">
        <v>196</v>
      </c>
      <c r="P251">
        <v>243</v>
      </c>
      <c r="Q251">
        <v>3</v>
      </c>
      <c r="R251">
        <v>246</v>
      </c>
    </row>
    <row r="252" spans="1:18" ht="19.899999999999999" customHeight="1" x14ac:dyDescent="0.25">
      <c r="A252" t="str">
        <f t="shared" si="3"/>
        <v>IY33</v>
      </c>
      <c r="B252" s="46" t="s">
        <v>442</v>
      </c>
      <c r="C252" s="46" t="s">
        <v>448</v>
      </c>
      <c r="D252" s="46">
        <v>211</v>
      </c>
      <c r="E252" s="46" t="s">
        <v>222</v>
      </c>
      <c r="F252" s="46">
        <v>209</v>
      </c>
      <c r="G252" s="46" t="s">
        <v>222</v>
      </c>
      <c r="H252" s="46">
        <v>209</v>
      </c>
      <c r="I252" s="46" t="s">
        <v>222</v>
      </c>
      <c r="J252" s="48">
        <v>211</v>
      </c>
      <c r="K252">
        <v>40</v>
      </c>
      <c r="L252" t="s">
        <v>206</v>
      </c>
      <c r="P252">
        <v>1668</v>
      </c>
      <c r="Q252">
        <v>1</v>
      </c>
      <c r="R252">
        <v>1669</v>
      </c>
    </row>
    <row r="253" spans="1:18" ht="19.899999999999999" customHeight="1" x14ac:dyDescent="0.25">
      <c r="A253" t="str">
        <f t="shared" si="3"/>
        <v>IY20</v>
      </c>
      <c r="B253" s="46" t="s">
        <v>442</v>
      </c>
      <c r="C253" s="46" t="s">
        <v>449</v>
      </c>
      <c r="D253" s="46">
        <v>0</v>
      </c>
      <c r="E253" s="46" t="s">
        <v>215</v>
      </c>
      <c r="F253" s="46">
        <v>0</v>
      </c>
      <c r="G253" s="46" t="s">
        <v>215</v>
      </c>
      <c r="H253" s="46">
        <v>0</v>
      </c>
      <c r="I253" s="46" t="s">
        <v>215</v>
      </c>
      <c r="J253" s="48">
        <v>0</v>
      </c>
      <c r="K253">
        <v>0</v>
      </c>
      <c r="L253" t="s">
        <v>215</v>
      </c>
      <c r="P253">
        <v>148</v>
      </c>
      <c r="Q253">
        <v>1</v>
      </c>
      <c r="R253">
        <v>149</v>
      </c>
    </row>
    <row r="254" spans="1:18" ht="19.899999999999999" customHeight="1" x14ac:dyDescent="0.25">
      <c r="A254" t="str">
        <f t="shared" si="3"/>
        <v>IY34</v>
      </c>
      <c r="B254" s="46" t="s">
        <v>442</v>
      </c>
      <c r="C254" s="46" t="s">
        <v>450</v>
      </c>
      <c r="D254" s="46">
        <v>156</v>
      </c>
      <c r="E254" s="46" t="s">
        <v>222</v>
      </c>
      <c r="F254" s="46">
        <v>149</v>
      </c>
      <c r="G254" s="46" t="s">
        <v>222</v>
      </c>
      <c r="H254" s="46">
        <v>141</v>
      </c>
      <c r="I254" s="46" t="s">
        <v>222</v>
      </c>
      <c r="J254" s="48">
        <v>156</v>
      </c>
      <c r="K254">
        <v>28</v>
      </c>
      <c r="L254" t="s">
        <v>206</v>
      </c>
      <c r="P254" t="s">
        <v>192</v>
      </c>
      <c r="Q254">
        <v>0</v>
      </c>
      <c r="R254">
        <v>0</v>
      </c>
    </row>
    <row r="255" spans="1:18" ht="19.899999999999999" customHeight="1" x14ac:dyDescent="0.25">
      <c r="A255" t="str">
        <f t="shared" si="3"/>
        <v>IY35</v>
      </c>
      <c r="B255" s="46" t="s">
        <v>442</v>
      </c>
      <c r="C255" s="46" t="s">
        <v>451</v>
      </c>
      <c r="D255" s="46">
        <v>82</v>
      </c>
      <c r="E255" s="46" t="s">
        <v>222</v>
      </c>
      <c r="F255" s="46">
        <v>90</v>
      </c>
      <c r="G255" s="46" t="s">
        <v>222</v>
      </c>
      <c r="H255" s="46">
        <v>75</v>
      </c>
      <c r="I255" s="46" t="s">
        <v>222</v>
      </c>
      <c r="J255" s="48">
        <v>90</v>
      </c>
      <c r="K255">
        <v>30</v>
      </c>
      <c r="L255" t="s">
        <v>199</v>
      </c>
      <c r="P255">
        <v>494</v>
      </c>
      <c r="Q255">
        <v>1</v>
      </c>
      <c r="R255">
        <v>495</v>
      </c>
    </row>
    <row r="256" spans="1:18" ht="19.899999999999999" customHeight="1" x14ac:dyDescent="0.25">
      <c r="A256" t="str">
        <f t="shared" si="3"/>
        <v>IY24</v>
      </c>
      <c r="B256" s="46" t="s">
        <v>442</v>
      </c>
      <c r="C256" s="46" t="s">
        <v>452</v>
      </c>
      <c r="D256" s="46">
        <v>152</v>
      </c>
      <c r="E256" s="46" t="s">
        <v>195</v>
      </c>
      <c r="F256" s="46">
        <v>154</v>
      </c>
      <c r="G256" s="46" t="s">
        <v>195</v>
      </c>
      <c r="H256" s="46">
        <v>176</v>
      </c>
      <c r="I256" s="46" t="s">
        <v>195</v>
      </c>
      <c r="J256" s="48">
        <v>176</v>
      </c>
      <c r="K256">
        <v>34</v>
      </c>
      <c r="L256" t="s">
        <v>235</v>
      </c>
      <c r="P256">
        <v>2059</v>
      </c>
      <c r="Q256">
        <v>6</v>
      </c>
      <c r="R256">
        <v>2065</v>
      </c>
    </row>
    <row r="257" spans="1:18" ht="19.899999999999999" customHeight="1" x14ac:dyDescent="0.25">
      <c r="A257" t="str">
        <f t="shared" si="3"/>
        <v>IY#3MTR</v>
      </c>
      <c r="B257" s="46" t="s">
        <v>442</v>
      </c>
      <c r="C257" s="46" t="s">
        <v>217</v>
      </c>
      <c r="D257" s="46">
        <v>0</v>
      </c>
      <c r="E257" s="46" t="s">
        <v>215</v>
      </c>
      <c r="F257" s="46">
        <v>0</v>
      </c>
      <c r="G257" s="46" t="s">
        <v>215</v>
      </c>
      <c r="H257" s="46">
        <v>0</v>
      </c>
      <c r="I257" s="46" t="s">
        <v>215</v>
      </c>
      <c r="J257" s="48">
        <v>0</v>
      </c>
      <c r="K257" t="s">
        <v>196</v>
      </c>
      <c r="L257" t="s">
        <v>196</v>
      </c>
      <c r="P257">
        <v>2835</v>
      </c>
      <c r="Q257">
        <v>1</v>
      </c>
      <c r="R257">
        <v>2836</v>
      </c>
    </row>
    <row r="258" spans="1:18" ht="19.899999999999999" customHeight="1" x14ac:dyDescent="0.25">
      <c r="A258" t="str">
        <f t="shared" si="3"/>
        <v>IY27</v>
      </c>
      <c r="B258" s="46" t="s">
        <v>442</v>
      </c>
      <c r="C258" s="46" t="s">
        <v>453</v>
      </c>
      <c r="D258" s="46">
        <v>128</v>
      </c>
      <c r="E258" s="46" t="s">
        <v>206</v>
      </c>
      <c r="F258" s="46">
        <v>127</v>
      </c>
      <c r="G258" s="46" t="s">
        <v>202</v>
      </c>
      <c r="H258" s="46">
        <v>128</v>
      </c>
      <c r="I258" s="46" t="s">
        <v>202</v>
      </c>
      <c r="J258" s="48">
        <v>128</v>
      </c>
      <c r="K258">
        <v>0</v>
      </c>
      <c r="L258" t="s">
        <v>215</v>
      </c>
      <c r="P258">
        <v>1285</v>
      </c>
      <c r="Q258">
        <v>3</v>
      </c>
      <c r="R258">
        <v>1288</v>
      </c>
    </row>
    <row r="259" spans="1:18" ht="19.899999999999999" customHeight="1" x14ac:dyDescent="0.25">
      <c r="A259" t="str">
        <f t="shared" si="3"/>
        <v>IY26</v>
      </c>
      <c r="B259" s="46" t="s">
        <v>442</v>
      </c>
      <c r="C259" s="46" t="s">
        <v>454</v>
      </c>
      <c r="D259" s="46">
        <v>247</v>
      </c>
      <c r="E259" s="46" t="s">
        <v>222</v>
      </c>
      <c r="F259" s="46">
        <v>245</v>
      </c>
      <c r="G259" s="46" t="s">
        <v>199</v>
      </c>
      <c r="H259" s="46">
        <v>245</v>
      </c>
      <c r="I259" s="46" t="s">
        <v>231</v>
      </c>
      <c r="J259" s="48">
        <v>247</v>
      </c>
      <c r="K259">
        <v>3</v>
      </c>
      <c r="L259" t="s">
        <v>220</v>
      </c>
      <c r="P259">
        <v>1771</v>
      </c>
      <c r="Q259">
        <v>1</v>
      </c>
      <c r="R259">
        <v>1772</v>
      </c>
    </row>
    <row r="260" spans="1:18" ht="19.899999999999999" customHeight="1" x14ac:dyDescent="0.25">
      <c r="A260" t="str">
        <f t="shared" ref="A260:A323" si="4">IF(COUNTIF(C260,"*TR*")&gt;0,SUBSTITUTE(RIGHT(B260,3) &amp; C260," ",""),MID(C260,FIND("(",C260)+1,4))</f>
        <v>IY22</v>
      </c>
      <c r="B260" s="46" t="s">
        <v>442</v>
      </c>
      <c r="C260" s="46" t="s">
        <v>455</v>
      </c>
      <c r="D260" s="46">
        <v>77</v>
      </c>
      <c r="E260" s="46" t="s">
        <v>208</v>
      </c>
      <c r="F260" s="46">
        <v>82</v>
      </c>
      <c r="G260" s="46" t="s">
        <v>208</v>
      </c>
      <c r="H260" s="46">
        <v>81</v>
      </c>
      <c r="I260" s="46" t="s">
        <v>208</v>
      </c>
      <c r="J260" s="48">
        <v>82</v>
      </c>
      <c r="K260">
        <v>6</v>
      </c>
      <c r="L260" t="s">
        <v>200</v>
      </c>
      <c r="P260">
        <v>2266</v>
      </c>
      <c r="Q260" t="s">
        <v>192</v>
      </c>
      <c r="R260">
        <v>2266</v>
      </c>
    </row>
    <row r="261" spans="1:18" ht="19.899999999999999" customHeight="1" x14ac:dyDescent="0.25">
      <c r="A261" t="str">
        <f t="shared" si="4"/>
        <v>IY23</v>
      </c>
      <c r="B261" s="46" t="s">
        <v>442</v>
      </c>
      <c r="C261" s="46" t="s">
        <v>456</v>
      </c>
      <c r="D261" s="46">
        <v>183</v>
      </c>
      <c r="E261" s="46" t="s">
        <v>215</v>
      </c>
      <c r="F261" s="46">
        <v>177</v>
      </c>
      <c r="G261" s="46" t="s">
        <v>215</v>
      </c>
      <c r="H261" s="46">
        <v>181</v>
      </c>
      <c r="I261" s="46" t="s">
        <v>215</v>
      </c>
      <c r="J261" s="48">
        <v>183</v>
      </c>
      <c r="K261">
        <v>2</v>
      </c>
      <c r="L261" t="s">
        <v>222</v>
      </c>
      <c r="P261">
        <v>1057</v>
      </c>
      <c r="Q261" t="s">
        <v>192</v>
      </c>
      <c r="R261">
        <v>1057</v>
      </c>
    </row>
    <row r="262" spans="1:18" ht="19.899999999999999" customHeight="1" x14ac:dyDescent="0.25">
      <c r="A262" t="str">
        <f t="shared" si="4"/>
        <v>IY25</v>
      </c>
      <c r="B262" s="46" t="s">
        <v>442</v>
      </c>
      <c r="C262" s="46" t="s">
        <v>457</v>
      </c>
      <c r="D262" s="46">
        <v>223</v>
      </c>
      <c r="E262" s="46" t="s">
        <v>199</v>
      </c>
      <c r="F262" s="46">
        <v>240</v>
      </c>
      <c r="G262" s="46" t="s">
        <v>199</v>
      </c>
      <c r="H262" s="46">
        <v>236</v>
      </c>
      <c r="I262" s="46" t="s">
        <v>199</v>
      </c>
      <c r="J262" s="48">
        <v>240</v>
      </c>
      <c r="K262">
        <v>7</v>
      </c>
      <c r="L262" t="s">
        <v>458</v>
      </c>
      <c r="P262">
        <v>906</v>
      </c>
      <c r="Q262">
        <v>8</v>
      </c>
      <c r="R262">
        <v>914</v>
      </c>
    </row>
    <row r="263" spans="1:18" ht="19.899999999999999" customHeight="1" x14ac:dyDescent="0.25">
      <c r="A263" t="str">
        <f t="shared" si="4"/>
        <v>9P#1DTR(A)</v>
      </c>
      <c r="B263" s="46" t="s">
        <v>459</v>
      </c>
      <c r="C263" s="46" t="s">
        <v>272</v>
      </c>
      <c r="D263" s="46">
        <v>312</v>
      </c>
      <c r="E263" s="46" t="s">
        <v>199</v>
      </c>
      <c r="F263" s="46">
        <v>295</v>
      </c>
      <c r="G263" s="46" t="s">
        <v>199</v>
      </c>
      <c r="H263" s="46">
        <v>340</v>
      </c>
      <c r="I263" s="46" t="s">
        <v>218</v>
      </c>
      <c r="J263" s="48">
        <v>340</v>
      </c>
      <c r="K263" t="s">
        <v>196</v>
      </c>
      <c r="L263" t="s">
        <v>196</v>
      </c>
      <c r="P263">
        <v>1878</v>
      </c>
      <c r="Q263" t="s">
        <v>192</v>
      </c>
      <c r="R263">
        <v>1878</v>
      </c>
    </row>
    <row r="264" spans="1:18" ht="19.899999999999999" customHeight="1" x14ac:dyDescent="0.25">
      <c r="A264" t="str">
        <f t="shared" si="4"/>
        <v>9P10</v>
      </c>
      <c r="B264" s="46" t="s">
        <v>459</v>
      </c>
      <c r="C264" s="46" t="s">
        <v>460</v>
      </c>
      <c r="D264" s="46">
        <v>107</v>
      </c>
      <c r="E264" s="46" t="s">
        <v>198</v>
      </c>
      <c r="F264" s="46">
        <v>91</v>
      </c>
      <c r="G264" s="46" t="s">
        <v>199</v>
      </c>
      <c r="H264" s="46">
        <v>94</v>
      </c>
      <c r="I264" s="46" t="s">
        <v>195</v>
      </c>
      <c r="J264" s="48">
        <v>107</v>
      </c>
      <c r="K264">
        <v>36</v>
      </c>
      <c r="L264" t="s">
        <v>198</v>
      </c>
      <c r="P264">
        <v>787</v>
      </c>
      <c r="Q264">
        <v>3</v>
      </c>
      <c r="R264">
        <v>790</v>
      </c>
    </row>
    <row r="265" spans="1:18" ht="19.899999999999999" customHeight="1" x14ac:dyDescent="0.25">
      <c r="A265" t="str">
        <f t="shared" si="4"/>
        <v>9P11</v>
      </c>
      <c r="B265" s="46" t="s">
        <v>459</v>
      </c>
      <c r="C265" s="46" t="s">
        <v>461</v>
      </c>
      <c r="D265" s="46">
        <v>118</v>
      </c>
      <c r="E265" s="46" t="s">
        <v>199</v>
      </c>
      <c r="F265" s="46">
        <v>99</v>
      </c>
      <c r="G265" s="46" t="s">
        <v>204</v>
      </c>
      <c r="H265" s="46">
        <v>136</v>
      </c>
      <c r="I265" s="46" t="s">
        <v>199</v>
      </c>
      <c r="J265" s="48">
        <v>136</v>
      </c>
      <c r="K265">
        <v>45</v>
      </c>
      <c r="L265" t="s">
        <v>199</v>
      </c>
      <c r="P265">
        <v>605</v>
      </c>
      <c r="Q265">
        <v>2</v>
      </c>
      <c r="R265">
        <v>607</v>
      </c>
    </row>
    <row r="266" spans="1:18" ht="19.899999999999999" customHeight="1" x14ac:dyDescent="0.25">
      <c r="A266" t="str">
        <f t="shared" si="4"/>
        <v>9P12</v>
      </c>
      <c r="B266" s="46" t="s">
        <v>459</v>
      </c>
      <c r="C266" s="46" t="s">
        <v>462</v>
      </c>
      <c r="D266" s="46">
        <v>79</v>
      </c>
      <c r="E266" s="46" t="s">
        <v>204</v>
      </c>
      <c r="F266" s="46">
        <v>66</v>
      </c>
      <c r="G266" s="46" t="s">
        <v>199</v>
      </c>
      <c r="H266" s="46">
        <v>78</v>
      </c>
      <c r="I266" s="46" t="s">
        <v>199</v>
      </c>
      <c r="J266" s="48">
        <v>79</v>
      </c>
      <c r="K266">
        <v>32</v>
      </c>
      <c r="L266" t="s">
        <v>200</v>
      </c>
      <c r="P266">
        <v>186</v>
      </c>
      <c r="Q266">
        <v>1</v>
      </c>
      <c r="R266">
        <v>187</v>
      </c>
    </row>
    <row r="267" spans="1:18" ht="19.899999999999999" customHeight="1" x14ac:dyDescent="0.25">
      <c r="A267" t="str">
        <f t="shared" si="4"/>
        <v>9P13</v>
      </c>
      <c r="B267" s="46" t="s">
        <v>459</v>
      </c>
      <c r="C267" s="46" t="s">
        <v>463</v>
      </c>
      <c r="D267" s="46">
        <v>45</v>
      </c>
      <c r="E267" s="46" t="s">
        <v>218</v>
      </c>
      <c r="F267" s="46">
        <v>47</v>
      </c>
      <c r="G267" s="46" t="s">
        <v>218</v>
      </c>
      <c r="H267" s="46">
        <v>48</v>
      </c>
      <c r="I267" s="46" t="s">
        <v>218</v>
      </c>
      <c r="J267" s="48">
        <v>48</v>
      </c>
      <c r="K267">
        <v>6</v>
      </c>
      <c r="L267" t="s">
        <v>231</v>
      </c>
      <c r="P267">
        <v>4616</v>
      </c>
      <c r="Q267">
        <v>6</v>
      </c>
      <c r="R267">
        <v>4622</v>
      </c>
    </row>
    <row r="268" spans="1:18" ht="19.899999999999999" customHeight="1" x14ac:dyDescent="0.25">
      <c r="A268" t="str">
        <f t="shared" si="4"/>
        <v>9P14</v>
      </c>
      <c r="B268" s="46" t="s">
        <v>459</v>
      </c>
      <c r="C268" s="46" t="s">
        <v>464</v>
      </c>
      <c r="D268" s="46">
        <v>5</v>
      </c>
      <c r="E268" s="46" t="s">
        <v>200</v>
      </c>
      <c r="F268" s="46">
        <v>9</v>
      </c>
      <c r="G268" s="46" t="s">
        <v>227</v>
      </c>
      <c r="H268" s="46">
        <v>9</v>
      </c>
      <c r="I268" s="46" t="s">
        <v>199</v>
      </c>
      <c r="J268" s="48">
        <v>9</v>
      </c>
      <c r="K268">
        <v>10</v>
      </c>
      <c r="L268" t="s">
        <v>227</v>
      </c>
      <c r="P268">
        <v>1828</v>
      </c>
      <c r="Q268">
        <v>3</v>
      </c>
      <c r="R268">
        <v>1831</v>
      </c>
    </row>
    <row r="269" spans="1:18" ht="19.899999999999999" customHeight="1" x14ac:dyDescent="0.25">
      <c r="A269" t="str">
        <f t="shared" si="4"/>
        <v>9P#1DTR(B)</v>
      </c>
      <c r="B269" s="46" t="s">
        <v>459</v>
      </c>
      <c r="C269" s="46" t="s">
        <v>279</v>
      </c>
      <c r="D269" s="46">
        <v>303</v>
      </c>
      <c r="E269" s="46" t="s">
        <v>227</v>
      </c>
      <c r="F269" s="46">
        <v>293</v>
      </c>
      <c r="G269" s="46" t="s">
        <v>227</v>
      </c>
      <c r="H269" s="46">
        <v>295</v>
      </c>
      <c r="I269" s="46" t="s">
        <v>227</v>
      </c>
      <c r="J269" s="48">
        <v>303</v>
      </c>
      <c r="K269" t="s">
        <v>196</v>
      </c>
      <c r="L269" t="s">
        <v>196</v>
      </c>
      <c r="P269">
        <v>2312</v>
      </c>
      <c r="Q269">
        <v>2</v>
      </c>
      <c r="R269">
        <v>2314</v>
      </c>
    </row>
    <row r="270" spans="1:18" ht="19.899999999999999" customHeight="1" x14ac:dyDescent="0.25">
      <c r="A270" t="str">
        <f t="shared" si="4"/>
        <v>9P15</v>
      </c>
      <c r="B270" s="46" t="s">
        <v>459</v>
      </c>
      <c r="C270" s="46" t="s">
        <v>465</v>
      </c>
      <c r="D270" s="46">
        <v>173</v>
      </c>
      <c r="E270" s="46" t="s">
        <v>222</v>
      </c>
      <c r="F270" s="46">
        <v>192</v>
      </c>
      <c r="G270" s="46" t="s">
        <v>222</v>
      </c>
      <c r="H270" s="46">
        <v>187</v>
      </c>
      <c r="I270" s="46" t="s">
        <v>227</v>
      </c>
      <c r="J270" s="48">
        <v>192</v>
      </c>
      <c r="K270">
        <v>28</v>
      </c>
      <c r="L270" t="s">
        <v>200</v>
      </c>
      <c r="P270">
        <v>682</v>
      </c>
      <c r="Q270">
        <v>3</v>
      </c>
      <c r="R270">
        <v>685</v>
      </c>
    </row>
    <row r="271" spans="1:18" ht="19.899999999999999" customHeight="1" x14ac:dyDescent="0.25">
      <c r="A271" t="str">
        <f t="shared" si="4"/>
        <v>9P16</v>
      </c>
      <c r="B271" s="46" t="s">
        <v>459</v>
      </c>
      <c r="C271" s="46" t="s">
        <v>466</v>
      </c>
      <c r="D271" s="46">
        <v>146</v>
      </c>
      <c r="E271" s="46" t="s">
        <v>227</v>
      </c>
      <c r="F271" s="46">
        <v>145</v>
      </c>
      <c r="G271" s="46" t="s">
        <v>204</v>
      </c>
      <c r="H271" s="46">
        <v>124</v>
      </c>
      <c r="I271" s="46" t="s">
        <v>204</v>
      </c>
      <c r="J271" s="48">
        <v>146</v>
      </c>
      <c r="K271">
        <v>44</v>
      </c>
      <c r="L271" t="s">
        <v>213</v>
      </c>
      <c r="P271">
        <v>4380</v>
      </c>
      <c r="Q271" t="s">
        <v>192</v>
      </c>
      <c r="R271">
        <v>4380</v>
      </c>
    </row>
    <row r="272" spans="1:18" ht="19.899999999999999" customHeight="1" x14ac:dyDescent="0.25">
      <c r="A272" t="str">
        <f t="shared" si="4"/>
        <v>9P17</v>
      </c>
      <c r="B272" s="46" t="s">
        <v>459</v>
      </c>
      <c r="C272" s="46" t="s">
        <v>467</v>
      </c>
      <c r="D272" s="46">
        <v>98</v>
      </c>
      <c r="E272" s="46" t="s">
        <v>199</v>
      </c>
      <c r="F272" s="46">
        <v>87</v>
      </c>
      <c r="G272" s="46" t="s">
        <v>200</v>
      </c>
      <c r="H272" s="46">
        <v>110</v>
      </c>
      <c r="I272" s="46" t="s">
        <v>199</v>
      </c>
      <c r="J272" s="48">
        <v>110</v>
      </c>
      <c r="K272">
        <v>36</v>
      </c>
      <c r="L272" t="s">
        <v>199</v>
      </c>
      <c r="P272" t="s">
        <v>192</v>
      </c>
      <c r="Q272" t="s">
        <v>192</v>
      </c>
      <c r="R272">
        <v>0</v>
      </c>
    </row>
    <row r="273" spans="1:18" ht="19.899999999999999" customHeight="1" x14ac:dyDescent="0.25">
      <c r="A273" t="str">
        <f t="shared" si="4"/>
        <v>9P18</v>
      </c>
      <c r="B273" s="46" t="s">
        <v>459</v>
      </c>
      <c r="C273" s="46" t="s">
        <v>468</v>
      </c>
      <c r="D273" s="46">
        <v>0</v>
      </c>
      <c r="E273" s="46" t="s">
        <v>215</v>
      </c>
      <c r="F273" s="46">
        <v>0</v>
      </c>
      <c r="G273" s="46" t="s">
        <v>215</v>
      </c>
      <c r="H273" s="46">
        <v>0</v>
      </c>
      <c r="I273" s="46" t="s">
        <v>215</v>
      </c>
      <c r="J273" s="48">
        <v>0</v>
      </c>
      <c r="K273">
        <v>0</v>
      </c>
      <c r="L273" t="s">
        <v>215</v>
      </c>
      <c r="P273">
        <v>1962</v>
      </c>
      <c r="Q273">
        <v>1</v>
      </c>
      <c r="R273">
        <v>1963</v>
      </c>
    </row>
    <row r="274" spans="1:18" ht="19.899999999999999" customHeight="1" x14ac:dyDescent="0.25">
      <c r="A274" t="str">
        <f t="shared" si="4"/>
        <v>9P19</v>
      </c>
      <c r="B274" s="46" t="s">
        <v>459</v>
      </c>
      <c r="C274" s="46" t="s">
        <v>469</v>
      </c>
      <c r="D274" s="46">
        <v>41</v>
      </c>
      <c r="E274" s="46" t="s">
        <v>199</v>
      </c>
      <c r="F274" s="46">
        <v>22</v>
      </c>
      <c r="G274" s="46" t="s">
        <v>204</v>
      </c>
      <c r="H274" s="46">
        <v>33</v>
      </c>
      <c r="I274" s="46" t="s">
        <v>200</v>
      </c>
      <c r="J274" s="48">
        <v>41</v>
      </c>
      <c r="K274">
        <v>36</v>
      </c>
      <c r="L274" t="s">
        <v>206</v>
      </c>
      <c r="P274" t="s">
        <v>192</v>
      </c>
      <c r="Q274" t="s">
        <v>192</v>
      </c>
      <c r="R274">
        <v>0</v>
      </c>
    </row>
    <row r="275" spans="1:18" ht="19.899999999999999" customHeight="1" x14ac:dyDescent="0.25">
      <c r="A275" t="str">
        <f t="shared" si="4"/>
        <v>9P#2DTR(A)</v>
      </c>
      <c r="B275" s="46" t="s">
        <v>459</v>
      </c>
      <c r="C275" s="46" t="s">
        <v>289</v>
      </c>
      <c r="D275" s="46">
        <v>390</v>
      </c>
      <c r="E275" s="46" t="s">
        <v>227</v>
      </c>
      <c r="F275" s="46">
        <v>376</v>
      </c>
      <c r="G275" s="46" t="s">
        <v>204</v>
      </c>
      <c r="H275" s="46">
        <v>429</v>
      </c>
      <c r="I275" s="46" t="s">
        <v>199</v>
      </c>
      <c r="J275" s="48">
        <v>429</v>
      </c>
      <c r="K275" t="s">
        <v>196</v>
      </c>
      <c r="L275" t="s">
        <v>196</v>
      </c>
      <c r="P275">
        <v>136</v>
      </c>
      <c r="Q275">
        <v>3</v>
      </c>
      <c r="R275">
        <v>139</v>
      </c>
    </row>
    <row r="276" spans="1:18" ht="19.899999999999999" customHeight="1" x14ac:dyDescent="0.25">
      <c r="A276" t="str">
        <f t="shared" si="4"/>
        <v>9P20</v>
      </c>
      <c r="B276" s="46" t="s">
        <v>459</v>
      </c>
      <c r="C276" s="46" t="s">
        <v>470</v>
      </c>
      <c r="D276" s="46">
        <v>158</v>
      </c>
      <c r="E276" s="46" t="s">
        <v>200</v>
      </c>
      <c r="F276" s="46">
        <v>156</v>
      </c>
      <c r="G276" s="46" t="s">
        <v>200</v>
      </c>
      <c r="H276" s="46">
        <v>161</v>
      </c>
      <c r="I276" s="46" t="s">
        <v>200</v>
      </c>
      <c r="J276" s="48">
        <v>161</v>
      </c>
      <c r="K276">
        <v>39</v>
      </c>
      <c r="L276" t="s">
        <v>206</v>
      </c>
      <c r="P276">
        <v>810</v>
      </c>
      <c r="Q276" t="s">
        <v>192</v>
      </c>
      <c r="R276">
        <v>810</v>
      </c>
    </row>
    <row r="277" spans="1:18" ht="19.899999999999999" customHeight="1" x14ac:dyDescent="0.25">
      <c r="A277" t="str">
        <f t="shared" si="4"/>
        <v>9P21</v>
      </c>
      <c r="B277" s="46" t="s">
        <v>459</v>
      </c>
      <c r="C277" s="46" t="s">
        <v>471</v>
      </c>
      <c r="D277" s="46">
        <v>153</v>
      </c>
      <c r="E277" s="46" t="s">
        <v>204</v>
      </c>
      <c r="F277" s="46">
        <v>149</v>
      </c>
      <c r="G277" s="46" t="s">
        <v>204</v>
      </c>
      <c r="H277" s="46">
        <v>147</v>
      </c>
      <c r="I277" s="46" t="s">
        <v>218</v>
      </c>
      <c r="J277" s="48">
        <v>153</v>
      </c>
      <c r="K277">
        <v>29</v>
      </c>
      <c r="L277" t="s">
        <v>204</v>
      </c>
      <c r="P277">
        <v>1276</v>
      </c>
      <c r="Q277">
        <v>2</v>
      </c>
      <c r="R277">
        <v>1278</v>
      </c>
    </row>
    <row r="278" spans="1:18" ht="19.899999999999999" customHeight="1" x14ac:dyDescent="0.25">
      <c r="A278" t="str">
        <f t="shared" si="4"/>
        <v>9P22</v>
      </c>
      <c r="B278" s="46" t="s">
        <v>459</v>
      </c>
      <c r="C278" s="46" t="s">
        <v>472</v>
      </c>
      <c r="D278" s="46">
        <v>0</v>
      </c>
      <c r="E278" s="46" t="s">
        <v>215</v>
      </c>
      <c r="F278" s="46">
        <v>0</v>
      </c>
      <c r="G278" s="46" t="s">
        <v>215</v>
      </c>
      <c r="H278" s="46">
        <v>0</v>
      </c>
      <c r="I278" s="46" t="s">
        <v>215</v>
      </c>
      <c r="J278" s="48">
        <v>0</v>
      </c>
      <c r="K278">
        <v>0</v>
      </c>
      <c r="L278" t="s">
        <v>215</v>
      </c>
      <c r="P278">
        <v>4961</v>
      </c>
      <c r="Q278">
        <v>2</v>
      </c>
      <c r="R278">
        <v>4963</v>
      </c>
    </row>
    <row r="279" spans="1:18" ht="19.899999999999999" customHeight="1" x14ac:dyDescent="0.25">
      <c r="A279" t="str">
        <f t="shared" si="4"/>
        <v>9P23</v>
      </c>
      <c r="B279" s="46" t="s">
        <v>459</v>
      </c>
      <c r="C279" s="46" t="s">
        <v>473</v>
      </c>
      <c r="D279" s="46">
        <v>68</v>
      </c>
      <c r="E279" s="46" t="s">
        <v>204</v>
      </c>
      <c r="F279" s="46">
        <v>83</v>
      </c>
      <c r="G279" s="46" t="s">
        <v>227</v>
      </c>
      <c r="H279" s="46">
        <v>91</v>
      </c>
      <c r="I279" s="46" t="s">
        <v>195</v>
      </c>
      <c r="J279" s="48">
        <v>91</v>
      </c>
      <c r="K279">
        <v>40</v>
      </c>
      <c r="L279" t="s">
        <v>238</v>
      </c>
      <c r="P279">
        <v>2581</v>
      </c>
      <c r="Q279">
        <v>0</v>
      </c>
      <c r="R279">
        <v>2581</v>
      </c>
    </row>
    <row r="280" spans="1:18" ht="19.899999999999999" customHeight="1" x14ac:dyDescent="0.25">
      <c r="A280" t="str">
        <f t="shared" si="4"/>
        <v>9P24</v>
      </c>
      <c r="B280" s="46" t="s">
        <v>459</v>
      </c>
      <c r="C280" s="46" t="s">
        <v>474</v>
      </c>
      <c r="D280" s="46">
        <v>46</v>
      </c>
      <c r="E280" s="46" t="s">
        <v>195</v>
      </c>
      <c r="F280" s="46">
        <v>21</v>
      </c>
      <c r="G280" s="46" t="s">
        <v>198</v>
      </c>
      <c r="H280" s="46">
        <v>60</v>
      </c>
      <c r="I280" s="46" t="s">
        <v>195</v>
      </c>
      <c r="J280" s="48">
        <v>60</v>
      </c>
      <c r="K280">
        <v>57</v>
      </c>
      <c r="L280" t="s">
        <v>199</v>
      </c>
      <c r="P280">
        <v>1259</v>
      </c>
      <c r="Q280">
        <v>2</v>
      </c>
      <c r="R280">
        <v>1261</v>
      </c>
    </row>
    <row r="281" spans="1:18" ht="19.899999999999999" customHeight="1" x14ac:dyDescent="0.25">
      <c r="A281" t="str">
        <f t="shared" si="4"/>
        <v>9P#2DTR(B)</v>
      </c>
      <c r="B281" s="46" t="s">
        <v>459</v>
      </c>
      <c r="C281" s="46" t="s">
        <v>300</v>
      </c>
      <c r="D281" s="46">
        <v>408</v>
      </c>
      <c r="E281" s="46" t="s">
        <v>199</v>
      </c>
      <c r="F281" s="46">
        <v>423</v>
      </c>
      <c r="G281" s="46" t="s">
        <v>199</v>
      </c>
      <c r="H281" s="46">
        <v>385</v>
      </c>
      <c r="I281" s="46" t="s">
        <v>199</v>
      </c>
      <c r="J281" s="48">
        <v>423</v>
      </c>
      <c r="K281" t="s">
        <v>196</v>
      </c>
      <c r="L281" t="s">
        <v>196</v>
      </c>
      <c r="P281">
        <v>213</v>
      </c>
      <c r="Q281" t="s">
        <v>192</v>
      </c>
      <c r="R281">
        <v>213</v>
      </c>
    </row>
    <row r="282" spans="1:18" ht="19.899999999999999" customHeight="1" x14ac:dyDescent="0.25">
      <c r="A282" t="str">
        <f t="shared" si="4"/>
        <v>9P25</v>
      </c>
      <c r="B282" s="46" t="s">
        <v>459</v>
      </c>
      <c r="C282" s="46" t="s">
        <v>475</v>
      </c>
      <c r="D282" s="46">
        <v>139</v>
      </c>
      <c r="E282" s="46" t="s">
        <v>199</v>
      </c>
      <c r="F282" s="46">
        <v>145</v>
      </c>
      <c r="G282" s="46" t="s">
        <v>198</v>
      </c>
      <c r="H282" s="46">
        <v>115</v>
      </c>
      <c r="I282" s="46" t="s">
        <v>199</v>
      </c>
      <c r="J282" s="48">
        <v>145</v>
      </c>
      <c r="K282">
        <v>61</v>
      </c>
      <c r="L282" t="s">
        <v>198</v>
      </c>
      <c r="P282">
        <v>2977</v>
      </c>
      <c r="Q282">
        <v>5</v>
      </c>
      <c r="R282">
        <v>2982</v>
      </c>
    </row>
    <row r="283" spans="1:18" ht="19.899999999999999" customHeight="1" x14ac:dyDescent="0.25">
      <c r="A283" t="str">
        <f t="shared" si="4"/>
        <v>9P26</v>
      </c>
      <c r="B283" s="46" t="s">
        <v>459</v>
      </c>
      <c r="C283" s="46" t="s">
        <v>476</v>
      </c>
      <c r="D283" s="46">
        <v>120</v>
      </c>
      <c r="E283" s="46" t="s">
        <v>199</v>
      </c>
      <c r="F283" s="46">
        <v>124</v>
      </c>
      <c r="G283" s="46" t="s">
        <v>204</v>
      </c>
      <c r="H283" s="46">
        <v>115</v>
      </c>
      <c r="I283" s="46" t="s">
        <v>199</v>
      </c>
      <c r="J283" s="48">
        <v>124</v>
      </c>
      <c r="K283">
        <v>35</v>
      </c>
      <c r="L283" t="s">
        <v>204</v>
      </c>
      <c r="P283">
        <v>2839</v>
      </c>
      <c r="Q283">
        <v>2</v>
      </c>
      <c r="R283">
        <v>2841</v>
      </c>
    </row>
    <row r="284" spans="1:18" ht="19.899999999999999" customHeight="1" x14ac:dyDescent="0.25">
      <c r="A284" t="str">
        <f t="shared" si="4"/>
        <v>9P27</v>
      </c>
      <c r="B284" s="46" t="s">
        <v>459</v>
      </c>
      <c r="C284" s="46" t="s">
        <v>477</v>
      </c>
      <c r="D284" s="46">
        <v>30</v>
      </c>
      <c r="E284" s="46" t="s">
        <v>199</v>
      </c>
      <c r="F284" s="46">
        <v>36</v>
      </c>
      <c r="G284" s="46" t="s">
        <v>200</v>
      </c>
      <c r="H284" s="46">
        <v>25</v>
      </c>
      <c r="I284" s="46" t="s">
        <v>227</v>
      </c>
      <c r="J284" s="48">
        <v>36</v>
      </c>
      <c r="K284">
        <v>23</v>
      </c>
      <c r="L284" t="s">
        <v>213</v>
      </c>
      <c r="P284">
        <v>1643</v>
      </c>
      <c r="Q284">
        <v>7</v>
      </c>
      <c r="R284">
        <v>1650</v>
      </c>
    </row>
    <row r="285" spans="1:18" ht="19.899999999999999" customHeight="1" x14ac:dyDescent="0.25">
      <c r="A285" t="str">
        <f t="shared" si="4"/>
        <v>9P28</v>
      </c>
      <c r="B285" s="46" t="s">
        <v>459</v>
      </c>
      <c r="C285" s="46" t="s">
        <v>478</v>
      </c>
      <c r="D285" s="46">
        <v>17</v>
      </c>
      <c r="E285" s="46" t="s">
        <v>198</v>
      </c>
      <c r="F285" s="46">
        <v>36</v>
      </c>
      <c r="G285" s="46" t="s">
        <v>195</v>
      </c>
      <c r="H285" s="46">
        <v>35</v>
      </c>
      <c r="I285" s="46" t="s">
        <v>202</v>
      </c>
      <c r="J285" s="48">
        <v>36</v>
      </c>
      <c r="K285">
        <v>35</v>
      </c>
      <c r="L285" t="s">
        <v>204</v>
      </c>
      <c r="P285">
        <v>1624</v>
      </c>
      <c r="Q285">
        <v>1</v>
      </c>
      <c r="R285">
        <v>1625</v>
      </c>
    </row>
    <row r="286" spans="1:18" ht="19.899999999999999" customHeight="1" x14ac:dyDescent="0.25">
      <c r="A286" t="str">
        <f t="shared" si="4"/>
        <v>9P29</v>
      </c>
      <c r="B286" s="46" t="s">
        <v>459</v>
      </c>
      <c r="C286" s="46" t="s">
        <v>479</v>
      </c>
      <c r="D286" s="46">
        <v>112</v>
      </c>
      <c r="E286" s="46" t="s">
        <v>200</v>
      </c>
      <c r="F286" s="46">
        <v>91</v>
      </c>
      <c r="G286" s="46" t="s">
        <v>199</v>
      </c>
      <c r="H286" s="46">
        <v>101</v>
      </c>
      <c r="I286" s="46" t="s">
        <v>200</v>
      </c>
      <c r="J286" s="48">
        <v>112</v>
      </c>
      <c r="K286">
        <v>40</v>
      </c>
      <c r="L286" t="s">
        <v>218</v>
      </c>
      <c r="P286">
        <v>915</v>
      </c>
      <c r="Q286">
        <v>5</v>
      </c>
      <c r="R286">
        <v>920</v>
      </c>
    </row>
    <row r="287" spans="1:18" ht="19.899999999999999" customHeight="1" x14ac:dyDescent="0.25">
      <c r="A287" t="str">
        <f t="shared" si="4"/>
        <v>IU#1DTR(A)</v>
      </c>
      <c r="B287" s="46" t="s">
        <v>480</v>
      </c>
      <c r="C287" s="46" t="s">
        <v>272</v>
      </c>
      <c r="D287" s="46">
        <v>564</v>
      </c>
      <c r="E287" s="46" t="s">
        <v>202</v>
      </c>
      <c r="F287" s="46">
        <v>625</v>
      </c>
      <c r="G287" s="46" t="s">
        <v>195</v>
      </c>
      <c r="H287" s="46">
        <v>574</v>
      </c>
      <c r="I287" s="46" t="s">
        <v>202</v>
      </c>
      <c r="J287" s="48">
        <v>625</v>
      </c>
      <c r="K287" t="s">
        <v>196</v>
      </c>
      <c r="L287" t="s">
        <v>196</v>
      </c>
      <c r="P287">
        <v>110</v>
      </c>
      <c r="Q287">
        <v>1</v>
      </c>
      <c r="R287">
        <v>111</v>
      </c>
    </row>
    <row r="288" spans="1:18" ht="19.899999999999999" customHeight="1" x14ac:dyDescent="0.25">
      <c r="A288" t="str">
        <f t="shared" si="4"/>
        <v>IU21</v>
      </c>
      <c r="B288" s="46" t="s">
        <v>480</v>
      </c>
      <c r="C288" s="46" t="s">
        <v>481</v>
      </c>
      <c r="D288" s="46">
        <v>94</v>
      </c>
      <c r="E288" s="46" t="s">
        <v>218</v>
      </c>
      <c r="F288" s="46">
        <v>121</v>
      </c>
      <c r="G288" s="46" t="s">
        <v>202</v>
      </c>
      <c r="H288" s="46">
        <v>99</v>
      </c>
      <c r="I288" s="46" t="s">
        <v>218</v>
      </c>
      <c r="J288" s="48">
        <v>121</v>
      </c>
      <c r="K288">
        <v>32</v>
      </c>
      <c r="L288" t="s">
        <v>202</v>
      </c>
      <c r="P288" t="s">
        <v>192</v>
      </c>
      <c r="Q288" t="s">
        <v>192</v>
      </c>
      <c r="R288">
        <v>0</v>
      </c>
    </row>
    <row r="289" spans="1:18" ht="19.899999999999999" customHeight="1" x14ac:dyDescent="0.25">
      <c r="A289" t="str">
        <f t="shared" si="4"/>
        <v>IU22</v>
      </c>
      <c r="B289" s="46" t="s">
        <v>480</v>
      </c>
      <c r="C289" s="46" t="s">
        <v>482</v>
      </c>
      <c r="D289" s="46">
        <v>141</v>
      </c>
      <c r="E289" s="46" t="s">
        <v>202</v>
      </c>
      <c r="F289" s="46">
        <v>149</v>
      </c>
      <c r="G289" s="46" t="s">
        <v>202</v>
      </c>
      <c r="H289" s="46">
        <v>143</v>
      </c>
      <c r="I289" s="46" t="s">
        <v>202</v>
      </c>
      <c r="J289" s="48">
        <v>149</v>
      </c>
      <c r="K289">
        <v>25</v>
      </c>
      <c r="L289" t="s">
        <v>206</v>
      </c>
      <c r="P289" t="s">
        <v>192</v>
      </c>
      <c r="Q289" t="s">
        <v>192</v>
      </c>
      <c r="R289">
        <v>0</v>
      </c>
    </row>
    <row r="290" spans="1:18" ht="19.899999999999999" customHeight="1" x14ac:dyDescent="0.25">
      <c r="A290" t="str">
        <f t="shared" si="4"/>
        <v>IU23</v>
      </c>
      <c r="B290" s="46" t="s">
        <v>480</v>
      </c>
      <c r="C290" s="46" t="s">
        <v>483</v>
      </c>
      <c r="D290" s="46">
        <v>86</v>
      </c>
      <c r="E290" s="46" t="s">
        <v>227</v>
      </c>
      <c r="F290" s="46">
        <v>92</v>
      </c>
      <c r="G290" s="46" t="s">
        <v>199</v>
      </c>
      <c r="H290" s="46">
        <v>106</v>
      </c>
      <c r="I290" s="46" t="s">
        <v>204</v>
      </c>
      <c r="J290" s="48">
        <v>106</v>
      </c>
      <c r="K290">
        <v>43</v>
      </c>
      <c r="L290" t="s">
        <v>202</v>
      </c>
      <c r="P290" t="s">
        <v>192</v>
      </c>
      <c r="Q290" t="s">
        <v>192</v>
      </c>
      <c r="R290">
        <v>0</v>
      </c>
    </row>
    <row r="291" spans="1:18" ht="19.899999999999999" customHeight="1" x14ac:dyDescent="0.25">
      <c r="A291" t="str">
        <f t="shared" si="4"/>
        <v>IU24</v>
      </c>
      <c r="B291" s="46" t="s">
        <v>480</v>
      </c>
      <c r="C291" s="46" t="s">
        <v>484</v>
      </c>
      <c r="D291" s="46">
        <v>72</v>
      </c>
      <c r="E291" s="46" t="s">
        <v>200</v>
      </c>
      <c r="F291" s="46">
        <v>80</v>
      </c>
      <c r="G291" s="46" t="s">
        <v>238</v>
      </c>
      <c r="H291" s="46">
        <v>75</v>
      </c>
      <c r="I291" s="46" t="s">
        <v>200</v>
      </c>
      <c r="J291" s="48">
        <v>80</v>
      </c>
      <c r="K291">
        <v>24</v>
      </c>
      <c r="L291" t="s">
        <v>238</v>
      </c>
      <c r="P291" t="s">
        <v>192</v>
      </c>
      <c r="Q291" t="s">
        <v>192</v>
      </c>
      <c r="R291">
        <v>0</v>
      </c>
    </row>
    <row r="292" spans="1:18" ht="19.899999999999999" customHeight="1" x14ac:dyDescent="0.25">
      <c r="A292" t="str">
        <f t="shared" si="4"/>
        <v>IU25</v>
      </c>
      <c r="B292" s="46" t="s">
        <v>480</v>
      </c>
      <c r="C292" s="46" t="s">
        <v>485</v>
      </c>
      <c r="D292" s="46">
        <v>134</v>
      </c>
      <c r="E292" s="46" t="s">
        <v>195</v>
      </c>
      <c r="F292" s="46">
        <v>143</v>
      </c>
      <c r="G292" s="46" t="s">
        <v>195</v>
      </c>
      <c r="H292" s="46">
        <v>121</v>
      </c>
      <c r="I292" s="46" t="s">
        <v>198</v>
      </c>
      <c r="J292" s="48">
        <v>143</v>
      </c>
      <c r="K292">
        <v>0</v>
      </c>
      <c r="L292" t="s">
        <v>215</v>
      </c>
      <c r="P292" t="s">
        <v>192</v>
      </c>
      <c r="Q292" t="s">
        <v>192</v>
      </c>
      <c r="R292">
        <v>0</v>
      </c>
    </row>
    <row r="293" spans="1:18" ht="19.899999999999999" customHeight="1" x14ac:dyDescent="0.25">
      <c r="A293" t="str">
        <f t="shared" si="4"/>
        <v>IU26</v>
      </c>
      <c r="B293" s="46" t="s">
        <v>480</v>
      </c>
      <c r="C293" s="46" t="s">
        <v>486</v>
      </c>
      <c r="D293" s="46">
        <v>93</v>
      </c>
      <c r="E293" s="46" t="s">
        <v>198</v>
      </c>
      <c r="F293" s="46">
        <v>102</v>
      </c>
      <c r="G293" s="46" t="s">
        <v>198</v>
      </c>
      <c r="H293" s="46">
        <v>75</v>
      </c>
      <c r="I293" s="46" t="s">
        <v>235</v>
      </c>
      <c r="J293" s="48">
        <v>102</v>
      </c>
      <c r="K293">
        <v>46</v>
      </c>
      <c r="L293" t="s">
        <v>198</v>
      </c>
      <c r="P293" t="s">
        <v>192</v>
      </c>
      <c r="Q293" t="s">
        <v>192</v>
      </c>
      <c r="R293">
        <v>0</v>
      </c>
    </row>
    <row r="294" spans="1:18" ht="19.899999999999999" customHeight="1" x14ac:dyDescent="0.25">
      <c r="A294" t="str">
        <f t="shared" si="4"/>
        <v>IU#1DTR(B)</v>
      </c>
      <c r="B294" s="46" t="s">
        <v>480</v>
      </c>
      <c r="C294" s="46" t="s">
        <v>279</v>
      </c>
      <c r="D294" s="46">
        <v>432</v>
      </c>
      <c r="E294" s="46" t="s">
        <v>195</v>
      </c>
      <c r="F294" s="46">
        <v>396</v>
      </c>
      <c r="G294" s="46" t="s">
        <v>195</v>
      </c>
      <c r="H294" s="46">
        <v>414</v>
      </c>
      <c r="I294" s="46" t="s">
        <v>195</v>
      </c>
      <c r="J294" s="48">
        <v>432</v>
      </c>
      <c r="K294" t="s">
        <v>196</v>
      </c>
      <c r="L294" t="s">
        <v>196</v>
      </c>
      <c r="P294" t="s">
        <v>192</v>
      </c>
      <c r="Q294" t="s">
        <v>192</v>
      </c>
      <c r="R294">
        <v>0</v>
      </c>
    </row>
    <row r="295" spans="1:18" ht="19.899999999999999" customHeight="1" x14ac:dyDescent="0.25">
      <c r="A295" t="str">
        <f t="shared" si="4"/>
        <v>IU31</v>
      </c>
      <c r="B295" s="46" t="s">
        <v>480</v>
      </c>
      <c r="C295" s="46" t="s">
        <v>487</v>
      </c>
      <c r="D295" s="46">
        <v>107</v>
      </c>
      <c r="E295" s="46" t="s">
        <v>227</v>
      </c>
      <c r="F295" s="46">
        <v>88</v>
      </c>
      <c r="G295" s="46" t="s">
        <v>199</v>
      </c>
      <c r="H295" s="46">
        <v>99</v>
      </c>
      <c r="I295" s="46" t="s">
        <v>227</v>
      </c>
      <c r="J295" s="48">
        <v>107</v>
      </c>
      <c r="K295">
        <v>34</v>
      </c>
      <c r="L295" t="s">
        <v>206</v>
      </c>
      <c r="P295" t="s">
        <v>192</v>
      </c>
      <c r="Q295" t="s">
        <v>192</v>
      </c>
      <c r="R295">
        <v>0</v>
      </c>
    </row>
    <row r="296" spans="1:18" ht="19.899999999999999" customHeight="1" x14ac:dyDescent="0.25">
      <c r="A296" t="str">
        <f t="shared" si="4"/>
        <v>IU32</v>
      </c>
      <c r="B296" s="46" t="s">
        <v>480</v>
      </c>
      <c r="C296" s="46" t="s">
        <v>488</v>
      </c>
      <c r="D296" s="46">
        <v>103</v>
      </c>
      <c r="E296" s="46" t="s">
        <v>204</v>
      </c>
      <c r="F296" s="46">
        <v>96</v>
      </c>
      <c r="G296" s="46" t="s">
        <v>202</v>
      </c>
      <c r="H296" s="46">
        <v>98</v>
      </c>
      <c r="I296" s="46" t="s">
        <v>195</v>
      </c>
      <c r="J296" s="48">
        <v>103</v>
      </c>
      <c r="K296">
        <v>38</v>
      </c>
      <c r="L296" t="s">
        <v>199</v>
      </c>
      <c r="P296" t="s">
        <v>192</v>
      </c>
      <c r="Q296" t="s">
        <v>192</v>
      </c>
      <c r="R296">
        <v>0</v>
      </c>
    </row>
    <row r="297" spans="1:18" ht="19.899999999999999" customHeight="1" x14ac:dyDescent="0.25">
      <c r="A297" t="str">
        <f t="shared" si="4"/>
        <v>IU33</v>
      </c>
      <c r="B297" s="46" t="s">
        <v>480</v>
      </c>
      <c r="C297" s="46" t="s">
        <v>489</v>
      </c>
      <c r="D297" s="46">
        <v>125</v>
      </c>
      <c r="E297" s="46" t="s">
        <v>206</v>
      </c>
      <c r="F297" s="46">
        <v>148</v>
      </c>
      <c r="G297" s="46" t="s">
        <v>206</v>
      </c>
      <c r="H297" s="46">
        <v>145</v>
      </c>
      <c r="I297" s="46" t="s">
        <v>206</v>
      </c>
      <c r="J297" s="48">
        <v>148</v>
      </c>
      <c r="K297">
        <v>43</v>
      </c>
      <c r="L297" t="s">
        <v>200</v>
      </c>
      <c r="P297" t="s">
        <v>192</v>
      </c>
      <c r="Q297" t="s">
        <v>192</v>
      </c>
      <c r="R297">
        <v>0</v>
      </c>
    </row>
    <row r="298" spans="1:18" ht="19.899999999999999" customHeight="1" x14ac:dyDescent="0.25">
      <c r="A298" t="str">
        <f t="shared" si="4"/>
        <v>IU34</v>
      </c>
      <c r="B298" s="46" t="s">
        <v>480</v>
      </c>
      <c r="C298" s="46" t="s">
        <v>490</v>
      </c>
      <c r="D298" s="46">
        <v>119</v>
      </c>
      <c r="E298" s="46" t="s">
        <v>198</v>
      </c>
      <c r="F298" s="46">
        <v>94</v>
      </c>
      <c r="G298" s="46" t="s">
        <v>198</v>
      </c>
      <c r="H298" s="46">
        <v>98</v>
      </c>
      <c r="I298" s="46" t="s">
        <v>206</v>
      </c>
      <c r="J298" s="48">
        <v>119</v>
      </c>
      <c r="K298">
        <v>41</v>
      </c>
      <c r="L298" t="s">
        <v>198</v>
      </c>
      <c r="P298" t="s">
        <v>192</v>
      </c>
      <c r="Q298" t="s">
        <v>192</v>
      </c>
      <c r="R298">
        <v>0</v>
      </c>
    </row>
    <row r="299" spans="1:18" ht="19.899999999999999" customHeight="1" x14ac:dyDescent="0.25">
      <c r="A299" t="str">
        <f t="shared" si="4"/>
        <v>IU#2DTR(A)</v>
      </c>
      <c r="B299" s="46" t="s">
        <v>480</v>
      </c>
      <c r="C299" s="46" t="s">
        <v>289</v>
      </c>
      <c r="D299" s="46">
        <v>478</v>
      </c>
      <c r="E299" s="46" t="s">
        <v>199</v>
      </c>
      <c r="F299" s="46">
        <v>468</v>
      </c>
      <c r="G299" s="46" t="s">
        <v>206</v>
      </c>
      <c r="H299" s="46">
        <v>480</v>
      </c>
      <c r="I299" s="46" t="s">
        <v>202</v>
      </c>
      <c r="J299" s="48">
        <v>480</v>
      </c>
      <c r="K299" t="s">
        <v>196</v>
      </c>
      <c r="L299" t="s">
        <v>196</v>
      </c>
      <c r="P299" t="s">
        <v>192</v>
      </c>
      <c r="Q299" t="s">
        <v>192</v>
      </c>
      <c r="R299">
        <v>0</v>
      </c>
    </row>
    <row r="300" spans="1:18" ht="19.899999999999999" customHeight="1" x14ac:dyDescent="0.25">
      <c r="A300" t="str">
        <f t="shared" si="4"/>
        <v>IU27</v>
      </c>
      <c r="B300" s="46" t="s">
        <v>480</v>
      </c>
      <c r="C300" s="46" t="s">
        <v>491</v>
      </c>
      <c r="D300" s="46">
        <v>100</v>
      </c>
      <c r="E300" s="46" t="s">
        <v>199</v>
      </c>
      <c r="F300" s="46">
        <v>97</v>
      </c>
      <c r="G300" s="46" t="s">
        <v>199</v>
      </c>
      <c r="H300" s="46">
        <v>77</v>
      </c>
      <c r="I300" s="46" t="s">
        <v>202</v>
      </c>
      <c r="J300" s="48">
        <v>100</v>
      </c>
      <c r="K300">
        <v>53</v>
      </c>
      <c r="L300" t="s">
        <v>302</v>
      </c>
      <c r="P300" t="s">
        <v>192</v>
      </c>
      <c r="Q300" t="s">
        <v>192</v>
      </c>
      <c r="R300">
        <v>0</v>
      </c>
    </row>
    <row r="301" spans="1:18" ht="19.899999999999999" customHeight="1" x14ac:dyDescent="0.25">
      <c r="A301" t="str">
        <f t="shared" si="4"/>
        <v>IU28</v>
      </c>
      <c r="B301" s="46" t="s">
        <v>480</v>
      </c>
      <c r="C301" s="46" t="s">
        <v>492</v>
      </c>
      <c r="D301" s="46">
        <v>209</v>
      </c>
      <c r="E301" s="46" t="s">
        <v>199</v>
      </c>
      <c r="F301" s="46">
        <v>184</v>
      </c>
      <c r="G301" s="46" t="s">
        <v>199</v>
      </c>
      <c r="H301" s="46">
        <v>214</v>
      </c>
      <c r="I301" s="46" t="s">
        <v>199</v>
      </c>
      <c r="J301" s="48">
        <v>214</v>
      </c>
      <c r="K301">
        <v>60</v>
      </c>
      <c r="L301" t="s">
        <v>213</v>
      </c>
      <c r="P301" t="s">
        <v>192</v>
      </c>
      <c r="Q301" t="s">
        <v>192</v>
      </c>
      <c r="R301">
        <v>0</v>
      </c>
    </row>
    <row r="302" spans="1:18" ht="19.899999999999999" customHeight="1" x14ac:dyDescent="0.25">
      <c r="A302" t="str">
        <f t="shared" si="4"/>
        <v>IU29</v>
      </c>
      <c r="B302" s="46" t="s">
        <v>480</v>
      </c>
      <c r="C302" s="46" t="s">
        <v>493</v>
      </c>
      <c r="D302" s="46">
        <v>132</v>
      </c>
      <c r="E302" s="46" t="s">
        <v>195</v>
      </c>
      <c r="F302" s="46">
        <v>154</v>
      </c>
      <c r="G302" s="46" t="s">
        <v>206</v>
      </c>
      <c r="H302" s="46">
        <v>111</v>
      </c>
      <c r="I302" s="46" t="s">
        <v>195</v>
      </c>
      <c r="J302" s="48">
        <v>154</v>
      </c>
      <c r="K302">
        <v>62</v>
      </c>
      <c r="L302" t="s">
        <v>206</v>
      </c>
      <c r="P302" t="s">
        <v>192</v>
      </c>
      <c r="Q302" t="s">
        <v>192</v>
      </c>
      <c r="R302">
        <v>0</v>
      </c>
    </row>
    <row r="303" spans="1:18" ht="19.899999999999999" customHeight="1" x14ac:dyDescent="0.25">
      <c r="A303" t="str">
        <f t="shared" si="4"/>
        <v>IU30</v>
      </c>
      <c r="B303" s="46" t="s">
        <v>480</v>
      </c>
      <c r="C303" s="46" t="s">
        <v>494</v>
      </c>
      <c r="D303" s="46">
        <v>89</v>
      </c>
      <c r="E303" s="46" t="s">
        <v>206</v>
      </c>
      <c r="F303" s="46">
        <v>70</v>
      </c>
      <c r="G303" s="46" t="s">
        <v>195</v>
      </c>
      <c r="H303" s="46">
        <v>115</v>
      </c>
      <c r="I303" s="46" t="s">
        <v>202</v>
      </c>
      <c r="J303" s="48">
        <v>115</v>
      </c>
      <c r="K303">
        <v>47</v>
      </c>
      <c r="L303" t="s">
        <v>202</v>
      </c>
      <c r="P303" t="s">
        <v>192</v>
      </c>
      <c r="Q303" t="s">
        <v>192</v>
      </c>
      <c r="R303">
        <v>0</v>
      </c>
    </row>
    <row r="304" spans="1:18" ht="19.899999999999999" customHeight="1" x14ac:dyDescent="0.25">
      <c r="A304" t="str">
        <f t="shared" si="4"/>
        <v>IU#2DTR(B)</v>
      </c>
      <c r="B304" s="46" t="s">
        <v>480</v>
      </c>
      <c r="C304" s="46" t="s">
        <v>300</v>
      </c>
      <c r="D304" s="46">
        <v>463</v>
      </c>
      <c r="E304" s="46" t="s">
        <v>195</v>
      </c>
      <c r="F304" s="46">
        <v>518</v>
      </c>
      <c r="G304" s="46" t="s">
        <v>195</v>
      </c>
      <c r="H304" s="46">
        <v>491</v>
      </c>
      <c r="I304" s="46" t="s">
        <v>195</v>
      </c>
      <c r="J304" s="48">
        <v>518</v>
      </c>
      <c r="K304" t="s">
        <v>196</v>
      </c>
      <c r="L304" t="s">
        <v>196</v>
      </c>
      <c r="P304" t="s">
        <v>192</v>
      </c>
      <c r="Q304" t="s">
        <v>192</v>
      </c>
      <c r="R304">
        <v>0</v>
      </c>
    </row>
    <row r="305" spans="1:18" ht="19.899999999999999" customHeight="1" x14ac:dyDescent="0.25">
      <c r="A305" t="str">
        <f t="shared" si="4"/>
        <v>IU35</v>
      </c>
      <c r="B305" s="46" t="s">
        <v>480</v>
      </c>
      <c r="C305" s="46" t="s">
        <v>495</v>
      </c>
      <c r="D305" s="46">
        <v>120</v>
      </c>
      <c r="E305" s="46" t="s">
        <v>195</v>
      </c>
      <c r="F305" s="46">
        <v>155</v>
      </c>
      <c r="G305" s="46" t="s">
        <v>206</v>
      </c>
      <c r="H305" s="46">
        <v>125</v>
      </c>
      <c r="I305" s="46" t="s">
        <v>195</v>
      </c>
      <c r="J305" s="48">
        <v>155</v>
      </c>
      <c r="K305">
        <v>54</v>
      </c>
      <c r="L305" t="s">
        <v>206</v>
      </c>
      <c r="P305" t="s">
        <v>192</v>
      </c>
      <c r="Q305" t="s">
        <v>192</v>
      </c>
      <c r="R305">
        <v>0</v>
      </c>
    </row>
    <row r="306" spans="1:18" ht="19.899999999999999" customHeight="1" x14ac:dyDescent="0.25">
      <c r="A306" t="str">
        <f t="shared" si="4"/>
        <v>IU36</v>
      </c>
      <c r="B306" s="46" t="s">
        <v>480</v>
      </c>
      <c r="C306" s="46" t="s">
        <v>496</v>
      </c>
      <c r="D306" s="46">
        <v>77</v>
      </c>
      <c r="E306" s="46" t="s">
        <v>199</v>
      </c>
      <c r="F306" s="46">
        <v>90</v>
      </c>
      <c r="G306" s="46" t="s">
        <v>199</v>
      </c>
      <c r="H306" s="46">
        <v>68</v>
      </c>
      <c r="I306" s="46" t="s">
        <v>227</v>
      </c>
      <c r="J306" s="48">
        <v>90</v>
      </c>
      <c r="K306">
        <v>33</v>
      </c>
      <c r="L306" t="s">
        <v>213</v>
      </c>
      <c r="P306" t="s">
        <v>192</v>
      </c>
      <c r="Q306" t="s">
        <v>192</v>
      </c>
      <c r="R306">
        <v>0</v>
      </c>
    </row>
    <row r="307" spans="1:18" ht="19.899999999999999" customHeight="1" x14ac:dyDescent="0.25">
      <c r="A307" t="str">
        <f t="shared" si="4"/>
        <v>IU37</v>
      </c>
      <c r="B307" s="46" t="s">
        <v>480</v>
      </c>
      <c r="C307" s="46" t="s">
        <v>497</v>
      </c>
      <c r="D307" s="46">
        <v>33</v>
      </c>
      <c r="E307" s="46" t="s">
        <v>206</v>
      </c>
      <c r="F307" s="46">
        <v>28</v>
      </c>
      <c r="G307" s="46" t="s">
        <v>202</v>
      </c>
      <c r="H307" s="46">
        <v>34</v>
      </c>
      <c r="I307" s="46" t="s">
        <v>195</v>
      </c>
      <c r="J307" s="48">
        <v>34</v>
      </c>
      <c r="K307">
        <v>20</v>
      </c>
      <c r="L307" t="s">
        <v>227</v>
      </c>
      <c r="P307" t="s">
        <v>192</v>
      </c>
      <c r="Q307" t="s">
        <v>192</v>
      </c>
      <c r="R307">
        <v>0</v>
      </c>
    </row>
    <row r="308" spans="1:18" ht="19.899999999999999" customHeight="1" x14ac:dyDescent="0.25">
      <c r="A308" t="str">
        <f t="shared" si="4"/>
        <v>IU38</v>
      </c>
      <c r="B308" s="46" t="s">
        <v>480</v>
      </c>
      <c r="C308" s="46" t="s">
        <v>498</v>
      </c>
      <c r="D308" s="46">
        <v>150</v>
      </c>
      <c r="E308" s="46" t="s">
        <v>200</v>
      </c>
      <c r="F308" s="46">
        <v>160</v>
      </c>
      <c r="G308" s="46" t="s">
        <v>204</v>
      </c>
      <c r="H308" s="46">
        <v>179</v>
      </c>
      <c r="I308" s="46" t="s">
        <v>204</v>
      </c>
      <c r="J308" s="48">
        <v>179</v>
      </c>
      <c r="K308">
        <v>37</v>
      </c>
      <c r="L308" t="s">
        <v>200</v>
      </c>
      <c r="P308" t="s">
        <v>192</v>
      </c>
      <c r="Q308" t="s">
        <v>192</v>
      </c>
      <c r="R308">
        <v>0</v>
      </c>
    </row>
    <row r="309" spans="1:18" ht="19.899999999999999" customHeight="1" x14ac:dyDescent="0.25">
      <c r="A309" t="str">
        <f t="shared" si="4"/>
        <v>IU39</v>
      </c>
      <c r="B309" s="46" t="s">
        <v>480</v>
      </c>
      <c r="C309" s="46" t="s">
        <v>499</v>
      </c>
      <c r="D309" s="46">
        <v>40</v>
      </c>
      <c r="E309" s="46" t="s">
        <v>198</v>
      </c>
      <c r="F309" s="46">
        <v>33</v>
      </c>
      <c r="G309" s="46" t="s">
        <v>198</v>
      </c>
      <c r="H309" s="46">
        <v>58</v>
      </c>
      <c r="I309" s="46" t="s">
        <v>238</v>
      </c>
      <c r="J309" s="48">
        <v>58</v>
      </c>
      <c r="K309">
        <v>26</v>
      </c>
      <c r="L309" t="s">
        <v>238</v>
      </c>
      <c r="P309" t="s">
        <v>192</v>
      </c>
      <c r="Q309" t="s">
        <v>192</v>
      </c>
      <c r="R309">
        <v>0</v>
      </c>
    </row>
    <row r="310" spans="1:18" ht="19.899999999999999" customHeight="1" x14ac:dyDescent="0.25">
      <c r="A310" t="str">
        <f t="shared" si="4"/>
        <v>IU40</v>
      </c>
      <c r="B310" s="46" t="s">
        <v>480</v>
      </c>
      <c r="C310" s="46" t="s">
        <v>500</v>
      </c>
      <c r="D310" s="46">
        <v>107</v>
      </c>
      <c r="E310" s="46" t="s">
        <v>206</v>
      </c>
      <c r="F310" s="46">
        <v>138</v>
      </c>
      <c r="G310" s="46" t="s">
        <v>206</v>
      </c>
      <c r="H310" s="46">
        <v>103</v>
      </c>
      <c r="I310" s="46" t="s">
        <v>206</v>
      </c>
      <c r="J310" s="48">
        <v>138</v>
      </c>
      <c r="K310">
        <v>41</v>
      </c>
      <c r="L310" t="s">
        <v>235</v>
      </c>
      <c r="P310" t="s">
        <v>192</v>
      </c>
      <c r="Q310" t="s">
        <v>192</v>
      </c>
      <c r="R310">
        <v>0</v>
      </c>
    </row>
    <row r="311" spans="1:18" ht="19.899999999999999" customHeight="1" x14ac:dyDescent="0.25">
      <c r="A311" t="str">
        <f t="shared" si="4"/>
        <v>9C#1DTR(A)</v>
      </c>
      <c r="B311" s="46" t="s">
        <v>501</v>
      </c>
      <c r="C311" s="46" t="s">
        <v>272</v>
      </c>
      <c r="D311" s="46">
        <v>519</v>
      </c>
      <c r="E311" s="46" t="s">
        <v>195</v>
      </c>
      <c r="F311" s="46">
        <v>538</v>
      </c>
      <c r="G311" s="46" t="s">
        <v>195</v>
      </c>
      <c r="H311" s="46">
        <v>549</v>
      </c>
      <c r="I311" s="46" t="s">
        <v>195</v>
      </c>
      <c r="J311" s="48">
        <v>549</v>
      </c>
      <c r="K311" t="s">
        <v>196</v>
      </c>
      <c r="L311" t="s">
        <v>196</v>
      </c>
      <c r="P311" t="s">
        <v>192</v>
      </c>
      <c r="Q311" t="s">
        <v>192</v>
      </c>
      <c r="R311">
        <v>0</v>
      </c>
    </row>
    <row r="312" spans="1:18" ht="19.899999999999999" customHeight="1" x14ac:dyDescent="0.25">
      <c r="A312" t="str">
        <f t="shared" si="4"/>
        <v>9C20</v>
      </c>
      <c r="B312" s="46" t="s">
        <v>501</v>
      </c>
      <c r="C312" s="46" t="s">
        <v>502</v>
      </c>
      <c r="D312" s="46">
        <v>69</v>
      </c>
      <c r="E312" s="46" t="s">
        <v>227</v>
      </c>
      <c r="F312" s="46">
        <v>95</v>
      </c>
      <c r="G312" s="46" t="s">
        <v>231</v>
      </c>
      <c r="H312" s="46">
        <v>81</v>
      </c>
      <c r="I312" s="46" t="s">
        <v>195</v>
      </c>
      <c r="J312" s="48">
        <v>95</v>
      </c>
      <c r="K312">
        <v>44</v>
      </c>
      <c r="L312" t="s">
        <v>213</v>
      </c>
      <c r="P312" t="s">
        <v>192</v>
      </c>
      <c r="Q312" t="s">
        <v>192</v>
      </c>
      <c r="R312">
        <v>0</v>
      </c>
    </row>
    <row r="313" spans="1:18" ht="19.899999999999999" customHeight="1" x14ac:dyDescent="0.25">
      <c r="A313" t="str">
        <f t="shared" si="4"/>
        <v>9C21</v>
      </c>
      <c r="B313" s="46" t="s">
        <v>501</v>
      </c>
      <c r="C313" s="46" t="s">
        <v>503</v>
      </c>
      <c r="D313" s="46">
        <v>0</v>
      </c>
      <c r="E313" s="46" t="s">
        <v>215</v>
      </c>
      <c r="F313" s="46">
        <v>0</v>
      </c>
      <c r="G313" s="46" t="s">
        <v>215</v>
      </c>
      <c r="H313" s="46">
        <v>0</v>
      </c>
      <c r="I313" s="46" t="s">
        <v>215</v>
      </c>
      <c r="J313" s="48">
        <v>0</v>
      </c>
      <c r="K313">
        <v>0</v>
      </c>
      <c r="L313" t="s">
        <v>215</v>
      </c>
      <c r="P313" t="s">
        <v>192</v>
      </c>
      <c r="Q313" t="s">
        <v>192</v>
      </c>
      <c r="R313">
        <v>0</v>
      </c>
    </row>
    <row r="314" spans="1:18" ht="19.899999999999999" customHeight="1" x14ac:dyDescent="0.25">
      <c r="A314" t="str">
        <f t="shared" si="4"/>
        <v>9C22</v>
      </c>
      <c r="B314" s="46" t="s">
        <v>501</v>
      </c>
      <c r="C314" s="46" t="s">
        <v>504</v>
      </c>
      <c r="D314" s="46">
        <v>133</v>
      </c>
      <c r="E314" s="46" t="s">
        <v>195</v>
      </c>
      <c r="F314" s="46">
        <v>106</v>
      </c>
      <c r="G314" s="46" t="s">
        <v>195</v>
      </c>
      <c r="H314" s="46">
        <v>111</v>
      </c>
      <c r="I314" s="46" t="s">
        <v>195</v>
      </c>
      <c r="J314" s="48">
        <v>133</v>
      </c>
      <c r="K314">
        <v>30</v>
      </c>
      <c r="L314" t="s">
        <v>195</v>
      </c>
      <c r="P314">
        <v>3203</v>
      </c>
      <c r="Q314">
        <v>8</v>
      </c>
      <c r="R314">
        <v>3211</v>
      </c>
    </row>
    <row r="315" spans="1:18" ht="19.899999999999999" customHeight="1" x14ac:dyDescent="0.25">
      <c r="A315" t="str">
        <f t="shared" si="4"/>
        <v>9C23</v>
      </c>
      <c r="B315" s="46" t="s">
        <v>501</v>
      </c>
      <c r="C315" s="46" t="s">
        <v>505</v>
      </c>
      <c r="D315" s="46">
        <v>236</v>
      </c>
      <c r="E315" s="46" t="s">
        <v>195</v>
      </c>
      <c r="F315" s="46">
        <v>250</v>
      </c>
      <c r="G315" s="46" t="s">
        <v>195</v>
      </c>
      <c r="H315" s="46">
        <v>265</v>
      </c>
      <c r="I315" s="46" t="s">
        <v>195</v>
      </c>
      <c r="J315" s="48">
        <v>265</v>
      </c>
      <c r="K315">
        <v>66</v>
      </c>
      <c r="L315" t="s">
        <v>231</v>
      </c>
      <c r="P315">
        <v>3010</v>
      </c>
      <c r="Q315">
        <v>4</v>
      </c>
      <c r="R315">
        <v>3014</v>
      </c>
    </row>
    <row r="316" spans="1:18" ht="19.899999999999999" customHeight="1" x14ac:dyDescent="0.25">
      <c r="A316" t="str">
        <f t="shared" si="4"/>
        <v>9C24</v>
      </c>
      <c r="B316" s="46" t="s">
        <v>501</v>
      </c>
      <c r="C316" s="46" t="s">
        <v>506</v>
      </c>
      <c r="D316" s="46">
        <v>81</v>
      </c>
      <c r="E316" s="46" t="s">
        <v>206</v>
      </c>
      <c r="F316" s="46">
        <v>84</v>
      </c>
      <c r="G316" s="46" t="s">
        <v>195</v>
      </c>
      <c r="H316" s="46">
        <v>92</v>
      </c>
      <c r="I316" s="46" t="s">
        <v>195</v>
      </c>
      <c r="J316" s="48">
        <v>92</v>
      </c>
      <c r="K316">
        <v>30</v>
      </c>
      <c r="L316" t="s">
        <v>204</v>
      </c>
      <c r="P316">
        <v>586</v>
      </c>
      <c r="Q316">
        <v>1</v>
      </c>
      <c r="R316">
        <v>587</v>
      </c>
    </row>
    <row r="317" spans="1:18" ht="19.899999999999999" customHeight="1" x14ac:dyDescent="0.25">
      <c r="A317" t="str">
        <f t="shared" si="4"/>
        <v>9C#1DTR(B)</v>
      </c>
      <c r="B317" s="46" t="s">
        <v>501</v>
      </c>
      <c r="C317" s="46" t="s">
        <v>279</v>
      </c>
      <c r="D317" s="46">
        <v>346</v>
      </c>
      <c r="E317" s="46" t="s">
        <v>199</v>
      </c>
      <c r="F317" s="46">
        <v>333</v>
      </c>
      <c r="G317" s="46" t="s">
        <v>199</v>
      </c>
      <c r="H317" s="46">
        <v>330</v>
      </c>
      <c r="I317" s="46" t="s">
        <v>199</v>
      </c>
      <c r="J317" s="48">
        <v>346</v>
      </c>
      <c r="K317" t="s">
        <v>196</v>
      </c>
      <c r="L317" t="s">
        <v>196</v>
      </c>
      <c r="P317">
        <v>1430</v>
      </c>
      <c r="Q317">
        <v>1</v>
      </c>
      <c r="R317">
        <v>1431</v>
      </c>
    </row>
    <row r="318" spans="1:18" ht="19.899999999999999" customHeight="1" x14ac:dyDescent="0.25">
      <c r="A318" t="str">
        <f t="shared" si="4"/>
        <v>9C25</v>
      </c>
      <c r="B318" s="46" t="s">
        <v>501</v>
      </c>
      <c r="C318" s="46" t="s">
        <v>507</v>
      </c>
      <c r="D318" s="46">
        <v>56</v>
      </c>
      <c r="E318" s="46" t="s">
        <v>195</v>
      </c>
      <c r="F318" s="46">
        <v>50</v>
      </c>
      <c r="G318" s="46" t="s">
        <v>195</v>
      </c>
      <c r="H318" s="46">
        <v>35</v>
      </c>
      <c r="I318" s="46" t="s">
        <v>195</v>
      </c>
      <c r="J318" s="48">
        <v>56</v>
      </c>
      <c r="K318">
        <v>30</v>
      </c>
      <c r="L318" t="s">
        <v>195</v>
      </c>
      <c r="P318">
        <v>123</v>
      </c>
      <c r="Q318">
        <v>2</v>
      </c>
      <c r="R318">
        <v>125</v>
      </c>
    </row>
    <row r="319" spans="1:18" ht="19.899999999999999" customHeight="1" x14ac:dyDescent="0.25">
      <c r="A319" t="str">
        <f t="shared" si="4"/>
        <v>9C26</v>
      </c>
      <c r="B319" s="46" t="s">
        <v>501</v>
      </c>
      <c r="C319" s="46" t="s">
        <v>508</v>
      </c>
      <c r="D319" s="46">
        <v>0</v>
      </c>
      <c r="E319" s="46" t="s">
        <v>215</v>
      </c>
      <c r="F319" s="46">
        <v>0</v>
      </c>
      <c r="G319" s="46" t="s">
        <v>215</v>
      </c>
      <c r="H319" s="46">
        <v>0</v>
      </c>
      <c r="I319" s="46" t="s">
        <v>215</v>
      </c>
      <c r="J319" s="48">
        <v>0</v>
      </c>
      <c r="K319">
        <v>0</v>
      </c>
      <c r="L319" t="s">
        <v>215</v>
      </c>
      <c r="P319">
        <v>2153</v>
      </c>
      <c r="Q319" t="s">
        <v>192</v>
      </c>
      <c r="R319">
        <v>2153</v>
      </c>
    </row>
    <row r="320" spans="1:18" ht="19.899999999999999" customHeight="1" x14ac:dyDescent="0.25">
      <c r="A320" t="str">
        <f t="shared" si="4"/>
        <v>9C27</v>
      </c>
      <c r="B320" s="46" t="s">
        <v>501</v>
      </c>
      <c r="C320" s="46" t="s">
        <v>509</v>
      </c>
      <c r="D320" s="46">
        <v>180</v>
      </c>
      <c r="E320" s="46" t="s">
        <v>199</v>
      </c>
      <c r="F320" s="46">
        <v>193</v>
      </c>
      <c r="G320" s="46" t="s">
        <v>199</v>
      </c>
      <c r="H320" s="46">
        <v>202</v>
      </c>
      <c r="I320" s="46" t="s">
        <v>199</v>
      </c>
      <c r="J320" s="48">
        <v>202</v>
      </c>
      <c r="K320">
        <v>36</v>
      </c>
      <c r="L320" t="s">
        <v>202</v>
      </c>
      <c r="P320">
        <v>981</v>
      </c>
      <c r="Q320">
        <v>6</v>
      </c>
      <c r="R320">
        <v>987</v>
      </c>
    </row>
    <row r="321" spans="1:18" ht="19.899999999999999" customHeight="1" x14ac:dyDescent="0.25">
      <c r="A321" t="str">
        <f t="shared" si="4"/>
        <v>9C28</v>
      </c>
      <c r="B321" s="46" t="s">
        <v>501</v>
      </c>
      <c r="C321" s="46" t="s">
        <v>510</v>
      </c>
      <c r="D321" s="46">
        <v>143</v>
      </c>
      <c r="E321" s="46" t="s">
        <v>195</v>
      </c>
      <c r="F321" s="46">
        <v>131</v>
      </c>
      <c r="G321" s="46" t="s">
        <v>195</v>
      </c>
      <c r="H321" s="46">
        <v>116</v>
      </c>
      <c r="I321" s="46" t="s">
        <v>198</v>
      </c>
      <c r="J321" s="48">
        <v>143</v>
      </c>
      <c r="K321">
        <v>46</v>
      </c>
      <c r="L321" t="s">
        <v>195</v>
      </c>
      <c r="P321">
        <v>1177</v>
      </c>
      <c r="Q321">
        <v>9</v>
      </c>
      <c r="R321">
        <v>1186</v>
      </c>
    </row>
    <row r="322" spans="1:18" ht="19.899999999999999" customHeight="1" x14ac:dyDescent="0.25">
      <c r="A322" t="str">
        <f t="shared" si="4"/>
        <v>9C29</v>
      </c>
      <c r="B322" s="46" t="s">
        <v>501</v>
      </c>
      <c r="C322" s="46" t="s">
        <v>511</v>
      </c>
      <c r="D322" s="46">
        <v>4</v>
      </c>
      <c r="E322" s="46" t="s">
        <v>215</v>
      </c>
      <c r="F322" s="46">
        <v>4</v>
      </c>
      <c r="G322" s="46" t="s">
        <v>215</v>
      </c>
      <c r="H322" s="46">
        <v>4</v>
      </c>
      <c r="I322" s="46" t="s">
        <v>215</v>
      </c>
      <c r="J322" s="48">
        <v>4</v>
      </c>
      <c r="K322">
        <v>0</v>
      </c>
      <c r="L322" t="s">
        <v>215</v>
      </c>
      <c r="P322">
        <v>2584</v>
      </c>
      <c r="Q322" t="s">
        <v>192</v>
      </c>
      <c r="R322">
        <v>2584</v>
      </c>
    </row>
    <row r="323" spans="1:18" ht="19.899999999999999" customHeight="1" x14ac:dyDescent="0.25">
      <c r="A323" t="str">
        <f t="shared" si="4"/>
        <v>9C#2DTR(A)</v>
      </c>
      <c r="B323" s="46" t="s">
        <v>501</v>
      </c>
      <c r="C323" s="46" t="s">
        <v>289</v>
      </c>
      <c r="D323" s="46">
        <v>201</v>
      </c>
      <c r="E323" s="46" t="s">
        <v>199</v>
      </c>
      <c r="F323" s="46">
        <v>202</v>
      </c>
      <c r="G323" s="46" t="s">
        <v>213</v>
      </c>
      <c r="H323" s="46">
        <v>211</v>
      </c>
      <c r="I323" s="46" t="s">
        <v>199</v>
      </c>
      <c r="J323" s="48">
        <v>211</v>
      </c>
      <c r="K323" t="s">
        <v>196</v>
      </c>
      <c r="L323" t="s">
        <v>196</v>
      </c>
      <c r="P323">
        <v>3753</v>
      </c>
      <c r="Q323" t="s">
        <v>192</v>
      </c>
      <c r="R323">
        <v>3753</v>
      </c>
    </row>
    <row r="324" spans="1:18" ht="19.899999999999999" customHeight="1" x14ac:dyDescent="0.25">
      <c r="A324" t="str">
        <f t="shared" ref="A324:A387" si="5">IF(COUNTIF(C324,"*TR*")&gt;0,SUBSTITUTE(RIGHT(B324,3) &amp; C324," ",""),MID(C324,FIND("(",C324)+1,4))</f>
        <v>9C30</v>
      </c>
      <c r="B324" s="46" t="s">
        <v>501</v>
      </c>
      <c r="C324" s="46" t="s">
        <v>512</v>
      </c>
      <c r="D324" s="46">
        <v>73</v>
      </c>
      <c r="E324" s="46" t="s">
        <v>227</v>
      </c>
      <c r="F324" s="46">
        <v>71</v>
      </c>
      <c r="G324" s="46" t="s">
        <v>198</v>
      </c>
      <c r="H324" s="46">
        <v>50</v>
      </c>
      <c r="I324" s="46" t="s">
        <v>202</v>
      </c>
      <c r="J324" s="48">
        <v>73</v>
      </c>
      <c r="K324">
        <v>38</v>
      </c>
      <c r="L324" t="s">
        <v>238</v>
      </c>
      <c r="P324">
        <v>1710</v>
      </c>
      <c r="Q324">
        <v>1</v>
      </c>
      <c r="R324">
        <v>1711</v>
      </c>
    </row>
    <row r="325" spans="1:18" ht="19.899999999999999" customHeight="1" x14ac:dyDescent="0.25">
      <c r="A325" t="str">
        <f t="shared" si="5"/>
        <v>9C31</v>
      </c>
      <c r="B325" s="46" t="s">
        <v>501</v>
      </c>
      <c r="C325" s="46" t="s">
        <v>513</v>
      </c>
      <c r="D325" s="46">
        <v>107</v>
      </c>
      <c r="E325" s="46" t="s">
        <v>206</v>
      </c>
      <c r="F325" s="46">
        <v>107</v>
      </c>
      <c r="G325" s="46" t="s">
        <v>206</v>
      </c>
      <c r="H325" s="46">
        <v>84</v>
      </c>
      <c r="I325" s="46" t="s">
        <v>198</v>
      </c>
      <c r="J325" s="48">
        <v>107</v>
      </c>
      <c r="K325">
        <v>45</v>
      </c>
      <c r="L325" t="s">
        <v>206</v>
      </c>
      <c r="P325">
        <v>5294</v>
      </c>
      <c r="Q325">
        <v>5</v>
      </c>
      <c r="R325">
        <v>5299</v>
      </c>
    </row>
    <row r="326" spans="1:18" x14ac:dyDescent="0.25">
      <c r="A326" t="str">
        <f t="shared" si="5"/>
        <v>9C33</v>
      </c>
      <c r="B326" s="46" t="s">
        <v>501</v>
      </c>
      <c r="C326" s="46" t="s">
        <v>514</v>
      </c>
      <c r="D326" s="46">
        <v>32</v>
      </c>
      <c r="E326" s="46" t="s">
        <v>238</v>
      </c>
      <c r="F326" s="46">
        <v>40</v>
      </c>
      <c r="G326" s="46" t="s">
        <v>199</v>
      </c>
      <c r="H326" s="46">
        <v>49</v>
      </c>
      <c r="I326" s="46" t="s">
        <v>235</v>
      </c>
      <c r="J326" s="48">
        <v>49</v>
      </c>
      <c r="K326">
        <v>29</v>
      </c>
      <c r="L326" t="s">
        <v>235</v>
      </c>
      <c r="P326" t="s">
        <v>192</v>
      </c>
      <c r="Q326" t="s">
        <v>192</v>
      </c>
      <c r="R326">
        <v>0</v>
      </c>
    </row>
    <row r="327" spans="1:18" x14ac:dyDescent="0.25">
      <c r="A327" t="str">
        <f t="shared" si="5"/>
        <v>9C34</v>
      </c>
      <c r="B327" s="46" t="s">
        <v>501</v>
      </c>
      <c r="C327" s="46" t="s">
        <v>515</v>
      </c>
      <c r="D327" s="46">
        <v>181</v>
      </c>
      <c r="E327" s="46" t="s">
        <v>199</v>
      </c>
      <c r="F327" s="46">
        <v>169</v>
      </c>
      <c r="G327" s="46" t="s">
        <v>200</v>
      </c>
      <c r="H327" s="46">
        <v>178</v>
      </c>
      <c r="I327" s="46" t="s">
        <v>199</v>
      </c>
      <c r="J327" s="48">
        <v>181</v>
      </c>
      <c r="K327">
        <v>32</v>
      </c>
      <c r="L327" t="s">
        <v>206</v>
      </c>
      <c r="P327" t="s">
        <v>192</v>
      </c>
      <c r="Q327" t="s">
        <v>192</v>
      </c>
      <c r="R327">
        <v>0</v>
      </c>
    </row>
    <row r="328" spans="1:18" x14ac:dyDescent="0.25">
      <c r="A328" t="str">
        <f t="shared" si="5"/>
        <v>9C32</v>
      </c>
      <c r="B328" s="46" t="s">
        <v>501</v>
      </c>
      <c r="C328" s="46" t="s">
        <v>516</v>
      </c>
      <c r="D328" s="46">
        <v>122</v>
      </c>
      <c r="E328" s="46" t="s">
        <v>206</v>
      </c>
      <c r="F328" s="46">
        <v>137</v>
      </c>
      <c r="G328" s="46" t="s">
        <v>206</v>
      </c>
      <c r="H328" s="46">
        <v>104</v>
      </c>
      <c r="I328" s="46" t="s">
        <v>198</v>
      </c>
      <c r="J328" s="48">
        <v>137</v>
      </c>
      <c r="K328">
        <v>63</v>
      </c>
      <c r="L328" t="s">
        <v>218</v>
      </c>
      <c r="P328" t="s">
        <v>192</v>
      </c>
      <c r="Q328" t="s">
        <v>192</v>
      </c>
      <c r="R328">
        <v>0</v>
      </c>
    </row>
    <row r="329" spans="1:18" x14ac:dyDescent="0.25">
      <c r="A329" t="str">
        <f t="shared" si="5"/>
        <v>9C#2DTR(B)</v>
      </c>
      <c r="B329" s="46" t="s">
        <v>501</v>
      </c>
      <c r="C329" s="46" t="s">
        <v>300</v>
      </c>
      <c r="D329" s="46">
        <v>328</v>
      </c>
      <c r="E329" s="46" t="s">
        <v>202</v>
      </c>
      <c r="F329" s="46">
        <v>277</v>
      </c>
      <c r="G329" s="46" t="s">
        <v>202</v>
      </c>
      <c r="H329" s="46">
        <v>321</v>
      </c>
      <c r="I329" s="46" t="s">
        <v>202</v>
      </c>
      <c r="J329" s="48">
        <v>328</v>
      </c>
      <c r="K329" t="s">
        <v>196</v>
      </c>
      <c r="L329" t="s">
        <v>196</v>
      </c>
      <c r="P329" t="s">
        <v>192</v>
      </c>
      <c r="Q329" t="s">
        <v>192</v>
      </c>
      <c r="R329">
        <v>0</v>
      </c>
    </row>
    <row r="330" spans="1:18" ht="19.899999999999999" customHeight="1" x14ac:dyDescent="0.25">
      <c r="A330" t="str">
        <f t="shared" si="5"/>
        <v>9C35</v>
      </c>
      <c r="B330" s="46" t="s">
        <v>501</v>
      </c>
      <c r="C330" s="46" t="s">
        <v>517</v>
      </c>
      <c r="D330" s="46">
        <v>55</v>
      </c>
      <c r="E330" s="46" t="s">
        <v>195</v>
      </c>
      <c r="F330" s="46">
        <v>62</v>
      </c>
      <c r="G330" s="46" t="s">
        <v>199</v>
      </c>
      <c r="H330" s="46">
        <v>36</v>
      </c>
      <c r="I330" s="46" t="s">
        <v>204</v>
      </c>
      <c r="J330" s="48">
        <v>62</v>
      </c>
      <c r="K330">
        <v>44</v>
      </c>
      <c r="L330" t="s">
        <v>195</v>
      </c>
      <c r="P330">
        <v>1377</v>
      </c>
      <c r="Q330">
        <v>2</v>
      </c>
      <c r="R330">
        <v>1379</v>
      </c>
    </row>
    <row r="331" spans="1:18" ht="19.899999999999999" customHeight="1" x14ac:dyDescent="0.25">
      <c r="A331" t="str">
        <f t="shared" si="5"/>
        <v>9C36</v>
      </c>
      <c r="B331" s="46" t="s">
        <v>501</v>
      </c>
      <c r="C331" s="46" t="s">
        <v>518</v>
      </c>
      <c r="D331" s="46">
        <v>55</v>
      </c>
      <c r="E331" s="46" t="s">
        <v>235</v>
      </c>
      <c r="F331" s="46">
        <v>67</v>
      </c>
      <c r="G331" s="46" t="s">
        <v>198</v>
      </c>
      <c r="H331" s="46">
        <v>89</v>
      </c>
      <c r="I331" s="46" t="s">
        <v>235</v>
      </c>
      <c r="J331" s="48">
        <v>89</v>
      </c>
      <c r="K331">
        <v>38</v>
      </c>
      <c r="L331" t="s">
        <v>235</v>
      </c>
      <c r="P331">
        <v>462</v>
      </c>
      <c r="Q331">
        <v>1</v>
      </c>
      <c r="R331">
        <v>463</v>
      </c>
    </row>
    <row r="332" spans="1:18" ht="19.899999999999999" customHeight="1" x14ac:dyDescent="0.25">
      <c r="A332" t="str">
        <f t="shared" si="5"/>
        <v>9C37</v>
      </c>
      <c r="B332" s="46" t="s">
        <v>501</v>
      </c>
      <c r="C332" s="46" t="s">
        <v>519</v>
      </c>
      <c r="D332" s="46">
        <v>123</v>
      </c>
      <c r="E332" s="46" t="s">
        <v>204</v>
      </c>
      <c r="F332" s="46">
        <v>110</v>
      </c>
      <c r="G332" s="46" t="s">
        <v>199</v>
      </c>
      <c r="H332" s="46">
        <v>132</v>
      </c>
      <c r="I332" s="46" t="s">
        <v>204</v>
      </c>
      <c r="J332" s="48">
        <v>132</v>
      </c>
      <c r="K332">
        <v>38</v>
      </c>
      <c r="L332" t="s">
        <v>202</v>
      </c>
      <c r="P332">
        <v>3204</v>
      </c>
      <c r="Q332" t="s">
        <v>192</v>
      </c>
      <c r="R332">
        <v>3204</v>
      </c>
    </row>
    <row r="333" spans="1:18" ht="19.899999999999999" customHeight="1" x14ac:dyDescent="0.25">
      <c r="A333" t="str">
        <f t="shared" si="5"/>
        <v>9C38</v>
      </c>
      <c r="B333" s="46" t="s">
        <v>501</v>
      </c>
      <c r="C333" s="46" t="s">
        <v>520</v>
      </c>
      <c r="D333" s="46">
        <v>28</v>
      </c>
      <c r="E333" s="46" t="s">
        <v>202</v>
      </c>
      <c r="F333" s="46">
        <v>51</v>
      </c>
      <c r="G333" s="46" t="s">
        <v>195</v>
      </c>
      <c r="H333" s="46">
        <v>39</v>
      </c>
      <c r="I333" s="46" t="s">
        <v>195</v>
      </c>
      <c r="J333" s="48">
        <v>51</v>
      </c>
      <c r="K333">
        <v>22</v>
      </c>
      <c r="L333" t="s">
        <v>195</v>
      </c>
      <c r="P333">
        <v>2267</v>
      </c>
      <c r="Q333" t="s">
        <v>192</v>
      </c>
      <c r="R333">
        <v>2267</v>
      </c>
    </row>
    <row r="334" spans="1:18" ht="19.899999999999999" customHeight="1" x14ac:dyDescent="0.25">
      <c r="A334" t="str">
        <f t="shared" si="5"/>
        <v>9C39</v>
      </c>
      <c r="B334" s="46" t="s">
        <v>501</v>
      </c>
      <c r="C334" s="46" t="s">
        <v>521</v>
      </c>
      <c r="D334" s="46">
        <v>193</v>
      </c>
      <c r="E334" s="46" t="s">
        <v>195</v>
      </c>
      <c r="F334" s="46">
        <v>139</v>
      </c>
      <c r="G334" s="46" t="s">
        <v>206</v>
      </c>
      <c r="H334" s="46">
        <v>179</v>
      </c>
      <c r="I334" s="46" t="s">
        <v>195</v>
      </c>
      <c r="J334" s="48">
        <v>193</v>
      </c>
      <c r="K334">
        <v>63</v>
      </c>
      <c r="L334" t="s">
        <v>202</v>
      </c>
      <c r="P334">
        <v>1132</v>
      </c>
      <c r="Q334" t="s">
        <v>192</v>
      </c>
      <c r="R334">
        <v>1132</v>
      </c>
    </row>
    <row r="335" spans="1:18" ht="19.899999999999999" customHeight="1" x14ac:dyDescent="0.25">
      <c r="A335" t="str">
        <f t="shared" si="5"/>
        <v>9C#3DTR(A)</v>
      </c>
      <c r="B335" s="46" t="s">
        <v>501</v>
      </c>
      <c r="C335" s="46" t="s">
        <v>380</v>
      </c>
      <c r="D335" s="46">
        <v>591</v>
      </c>
      <c r="E335" s="46" t="s">
        <v>195</v>
      </c>
      <c r="F335" s="46">
        <v>549</v>
      </c>
      <c r="G335" s="46" t="s">
        <v>195</v>
      </c>
      <c r="H335" s="46">
        <v>571</v>
      </c>
      <c r="I335" s="46" t="s">
        <v>195</v>
      </c>
      <c r="J335" s="48">
        <v>591</v>
      </c>
      <c r="K335" t="s">
        <v>196</v>
      </c>
      <c r="L335" t="s">
        <v>196</v>
      </c>
      <c r="P335">
        <v>1127</v>
      </c>
      <c r="Q335">
        <v>5</v>
      </c>
      <c r="R335">
        <v>1132</v>
      </c>
    </row>
    <row r="336" spans="1:18" ht="19.899999999999999" customHeight="1" x14ac:dyDescent="0.25">
      <c r="A336" t="str">
        <f t="shared" si="5"/>
        <v>9C40</v>
      </c>
      <c r="B336" s="46" t="s">
        <v>501</v>
      </c>
      <c r="C336" s="46" t="s">
        <v>522</v>
      </c>
      <c r="D336" s="46">
        <v>70</v>
      </c>
      <c r="E336" s="46" t="s">
        <v>238</v>
      </c>
      <c r="F336" s="46">
        <v>52</v>
      </c>
      <c r="G336" s="46" t="s">
        <v>235</v>
      </c>
      <c r="H336" s="46">
        <v>65</v>
      </c>
      <c r="I336" s="46" t="s">
        <v>206</v>
      </c>
      <c r="J336" s="48">
        <v>70</v>
      </c>
      <c r="K336">
        <v>17</v>
      </c>
      <c r="L336" t="s">
        <v>204</v>
      </c>
      <c r="P336">
        <v>4834</v>
      </c>
      <c r="Q336">
        <v>1</v>
      </c>
      <c r="R336">
        <v>4835</v>
      </c>
    </row>
    <row r="337" spans="1:18" ht="19.899999999999999" customHeight="1" x14ac:dyDescent="0.25">
      <c r="A337" t="str">
        <f t="shared" si="5"/>
        <v>9C41</v>
      </c>
      <c r="B337" s="46" t="s">
        <v>501</v>
      </c>
      <c r="C337" s="46" t="s">
        <v>523</v>
      </c>
      <c r="D337" s="46">
        <v>233</v>
      </c>
      <c r="E337" s="46" t="s">
        <v>206</v>
      </c>
      <c r="F337" s="46">
        <v>234</v>
      </c>
      <c r="G337" s="46" t="s">
        <v>204</v>
      </c>
      <c r="H337" s="46">
        <v>242</v>
      </c>
      <c r="I337" s="46" t="s">
        <v>206</v>
      </c>
      <c r="J337" s="48">
        <v>242</v>
      </c>
      <c r="K337">
        <v>45</v>
      </c>
      <c r="L337" t="s">
        <v>206</v>
      </c>
      <c r="P337">
        <v>4629</v>
      </c>
      <c r="Q337">
        <v>4</v>
      </c>
      <c r="R337">
        <v>4633</v>
      </c>
    </row>
    <row r="338" spans="1:18" ht="19.899999999999999" customHeight="1" x14ac:dyDescent="0.25">
      <c r="A338" t="str">
        <f t="shared" si="5"/>
        <v>9C42</v>
      </c>
      <c r="B338" s="46" t="s">
        <v>501</v>
      </c>
      <c r="C338" s="46" t="s">
        <v>524</v>
      </c>
      <c r="D338" s="46">
        <v>0</v>
      </c>
      <c r="E338" s="46" t="s">
        <v>215</v>
      </c>
      <c r="F338" s="46">
        <v>0</v>
      </c>
      <c r="G338" s="46" t="s">
        <v>215</v>
      </c>
      <c r="H338" s="46">
        <v>0</v>
      </c>
      <c r="I338" s="46" t="s">
        <v>215</v>
      </c>
      <c r="J338" s="48">
        <v>0</v>
      </c>
      <c r="K338">
        <v>0</v>
      </c>
      <c r="L338" t="s">
        <v>215</v>
      </c>
      <c r="P338">
        <v>2420</v>
      </c>
      <c r="Q338">
        <v>1</v>
      </c>
      <c r="R338">
        <v>2421</v>
      </c>
    </row>
    <row r="339" spans="1:18" ht="19.899999999999999" customHeight="1" x14ac:dyDescent="0.25">
      <c r="A339" t="str">
        <f t="shared" si="5"/>
        <v>9C43</v>
      </c>
      <c r="B339" s="46" t="s">
        <v>501</v>
      </c>
      <c r="C339" s="46" t="s">
        <v>525</v>
      </c>
      <c r="D339" s="46">
        <v>134</v>
      </c>
      <c r="E339" s="46" t="s">
        <v>195</v>
      </c>
      <c r="F339" s="46">
        <v>134</v>
      </c>
      <c r="G339" s="46" t="s">
        <v>195</v>
      </c>
      <c r="H339" s="46">
        <v>136</v>
      </c>
      <c r="I339" s="46" t="s">
        <v>195</v>
      </c>
      <c r="J339" s="48">
        <v>136</v>
      </c>
      <c r="K339">
        <v>32</v>
      </c>
      <c r="L339" t="s">
        <v>218</v>
      </c>
      <c r="P339">
        <v>5383</v>
      </c>
      <c r="Q339">
        <v>2</v>
      </c>
      <c r="R339">
        <v>5385</v>
      </c>
    </row>
    <row r="340" spans="1:18" ht="19.899999999999999" customHeight="1" x14ac:dyDescent="0.25">
      <c r="A340" t="str">
        <f t="shared" si="5"/>
        <v>9C44</v>
      </c>
      <c r="B340" s="46" t="s">
        <v>501</v>
      </c>
      <c r="C340" s="46" t="s">
        <v>526</v>
      </c>
      <c r="D340" s="46">
        <v>171</v>
      </c>
      <c r="E340" s="46" t="s">
        <v>202</v>
      </c>
      <c r="F340" s="46">
        <v>149</v>
      </c>
      <c r="G340" s="46" t="s">
        <v>199</v>
      </c>
      <c r="H340" s="46">
        <v>143</v>
      </c>
      <c r="I340" s="46" t="s">
        <v>202</v>
      </c>
      <c r="J340" s="48">
        <v>171</v>
      </c>
      <c r="K340">
        <v>48</v>
      </c>
      <c r="L340" t="s">
        <v>235</v>
      </c>
      <c r="P340">
        <v>6139</v>
      </c>
      <c r="Q340">
        <v>6</v>
      </c>
      <c r="R340">
        <v>6145</v>
      </c>
    </row>
    <row r="341" spans="1:18" ht="19.899999999999999" customHeight="1" x14ac:dyDescent="0.25">
      <c r="A341" t="str">
        <f t="shared" si="5"/>
        <v>9C#3DTR(B)</v>
      </c>
      <c r="B341" s="46" t="s">
        <v>501</v>
      </c>
      <c r="C341" s="46" t="s">
        <v>384</v>
      </c>
      <c r="D341" s="46">
        <v>642</v>
      </c>
      <c r="E341" s="46" t="s">
        <v>199</v>
      </c>
      <c r="F341" s="46">
        <v>615</v>
      </c>
      <c r="G341" s="46" t="s">
        <v>199</v>
      </c>
      <c r="H341" s="46">
        <v>627</v>
      </c>
      <c r="I341" s="46" t="s">
        <v>199</v>
      </c>
      <c r="J341" s="48">
        <v>642</v>
      </c>
      <c r="K341" t="s">
        <v>196</v>
      </c>
      <c r="L341" t="s">
        <v>196</v>
      </c>
      <c r="P341">
        <v>669</v>
      </c>
      <c r="Q341" t="s">
        <v>192</v>
      </c>
      <c r="R341">
        <v>669</v>
      </c>
    </row>
    <row r="342" spans="1:18" ht="19.899999999999999" customHeight="1" x14ac:dyDescent="0.25">
      <c r="A342" t="str">
        <f t="shared" si="5"/>
        <v>9C45</v>
      </c>
      <c r="B342" s="46" t="s">
        <v>501</v>
      </c>
      <c r="C342" s="46" t="s">
        <v>527</v>
      </c>
      <c r="D342" s="46">
        <v>105</v>
      </c>
      <c r="E342" s="46" t="s">
        <v>198</v>
      </c>
      <c r="F342" s="46">
        <v>104</v>
      </c>
      <c r="G342" s="46" t="s">
        <v>206</v>
      </c>
      <c r="H342" s="46">
        <v>109</v>
      </c>
      <c r="I342" s="46" t="s">
        <v>198</v>
      </c>
      <c r="J342" s="48">
        <v>109</v>
      </c>
      <c r="K342">
        <v>33</v>
      </c>
      <c r="L342" t="s">
        <v>198</v>
      </c>
      <c r="P342">
        <v>19</v>
      </c>
      <c r="Q342">
        <v>3</v>
      </c>
      <c r="R342">
        <v>22</v>
      </c>
    </row>
    <row r="343" spans="1:18" ht="19.899999999999999" customHeight="1" x14ac:dyDescent="0.25">
      <c r="A343" t="str">
        <f t="shared" si="5"/>
        <v>9C46</v>
      </c>
      <c r="B343" s="46" t="s">
        <v>501</v>
      </c>
      <c r="C343" s="46" t="s">
        <v>528</v>
      </c>
      <c r="D343" s="46">
        <v>164</v>
      </c>
      <c r="E343" s="46" t="s">
        <v>199</v>
      </c>
      <c r="F343" s="46">
        <v>153</v>
      </c>
      <c r="G343" s="46" t="s">
        <v>199</v>
      </c>
      <c r="H343" s="46">
        <v>158</v>
      </c>
      <c r="I343" s="46" t="s">
        <v>199</v>
      </c>
      <c r="J343" s="48">
        <v>164</v>
      </c>
      <c r="K343">
        <v>25</v>
      </c>
      <c r="L343" t="s">
        <v>218</v>
      </c>
      <c r="P343">
        <v>3462</v>
      </c>
      <c r="Q343">
        <v>2</v>
      </c>
      <c r="R343">
        <v>3464</v>
      </c>
    </row>
    <row r="344" spans="1:18" ht="19.899999999999999" customHeight="1" x14ac:dyDescent="0.25">
      <c r="A344" t="str">
        <f t="shared" si="5"/>
        <v>9C47</v>
      </c>
      <c r="B344" s="46" t="s">
        <v>501</v>
      </c>
      <c r="C344" s="46" t="s">
        <v>529</v>
      </c>
      <c r="D344" s="46">
        <v>190</v>
      </c>
      <c r="E344" s="46" t="s">
        <v>199</v>
      </c>
      <c r="F344" s="46">
        <v>198</v>
      </c>
      <c r="G344" s="46" t="s">
        <v>199</v>
      </c>
      <c r="H344" s="46">
        <v>220</v>
      </c>
      <c r="I344" s="46" t="s">
        <v>202</v>
      </c>
      <c r="J344" s="48">
        <v>220</v>
      </c>
      <c r="K344">
        <v>47</v>
      </c>
      <c r="L344" t="s">
        <v>235</v>
      </c>
      <c r="P344">
        <v>1440</v>
      </c>
      <c r="Q344">
        <v>14</v>
      </c>
      <c r="R344">
        <v>1454</v>
      </c>
    </row>
    <row r="345" spans="1:18" ht="19.899999999999999" customHeight="1" x14ac:dyDescent="0.25">
      <c r="A345" t="str">
        <f t="shared" si="5"/>
        <v>9C48</v>
      </c>
      <c r="B345" s="46" t="s">
        <v>501</v>
      </c>
      <c r="C345" s="46" t="s">
        <v>530</v>
      </c>
      <c r="D345" s="46">
        <v>124</v>
      </c>
      <c r="E345" s="46" t="s">
        <v>200</v>
      </c>
      <c r="F345" s="46">
        <v>99</v>
      </c>
      <c r="G345" s="46" t="s">
        <v>199</v>
      </c>
      <c r="H345" s="46">
        <v>118</v>
      </c>
      <c r="I345" s="46" t="s">
        <v>213</v>
      </c>
      <c r="J345" s="48">
        <v>124</v>
      </c>
      <c r="K345">
        <v>45</v>
      </c>
      <c r="L345" t="s">
        <v>200</v>
      </c>
      <c r="P345">
        <v>1476</v>
      </c>
      <c r="Q345">
        <v>1</v>
      </c>
      <c r="R345">
        <v>1477</v>
      </c>
    </row>
    <row r="346" spans="1:18" ht="19.899999999999999" customHeight="1" x14ac:dyDescent="0.25">
      <c r="A346" t="str">
        <f t="shared" si="5"/>
        <v>9C49</v>
      </c>
      <c r="B346" s="46" t="s">
        <v>501</v>
      </c>
      <c r="C346" s="46" t="s">
        <v>531</v>
      </c>
      <c r="D346" s="46">
        <v>89</v>
      </c>
      <c r="E346" s="46" t="s">
        <v>227</v>
      </c>
      <c r="F346" s="46">
        <v>83</v>
      </c>
      <c r="G346" s="46" t="s">
        <v>198</v>
      </c>
      <c r="H346" s="46">
        <v>76</v>
      </c>
      <c r="I346" s="46" t="s">
        <v>198</v>
      </c>
      <c r="J346" s="48">
        <v>89</v>
      </c>
      <c r="K346">
        <v>25</v>
      </c>
      <c r="L346" t="s">
        <v>218</v>
      </c>
      <c r="P346">
        <v>1825</v>
      </c>
      <c r="Q346">
        <v>3</v>
      </c>
      <c r="R346">
        <v>1828</v>
      </c>
    </row>
    <row r="347" spans="1:18" ht="19.899999999999999" customHeight="1" x14ac:dyDescent="0.25">
      <c r="A347" t="str">
        <f t="shared" si="5"/>
        <v>IL#1MTR</v>
      </c>
      <c r="B347" s="46" t="s">
        <v>532</v>
      </c>
      <c r="C347" s="46" t="s">
        <v>194</v>
      </c>
      <c r="D347" s="46">
        <v>770</v>
      </c>
      <c r="E347" s="46" t="s">
        <v>199</v>
      </c>
      <c r="F347" s="46">
        <v>787</v>
      </c>
      <c r="G347" s="46" t="s">
        <v>199</v>
      </c>
      <c r="H347" s="46">
        <v>757</v>
      </c>
      <c r="I347" s="46" t="s">
        <v>199</v>
      </c>
      <c r="J347" s="48">
        <v>787</v>
      </c>
      <c r="K347" t="s">
        <v>196</v>
      </c>
      <c r="L347" t="s">
        <v>196</v>
      </c>
      <c r="P347">
        <v>1315</v>
      </c>
      <c r="Q347" t="s">
        <v>192</v>
      </c>
      <c r="R347">
        <v>1315</v>
      </c>
    </row>
    <row r="348" spans="1:18" ht="19.899999999999999" customHeight="1" x14ac:dyDescent="0.25">
      <c r="A348" t="str">
        <f t="shared" si="5"/>
        <v>IL27</v>
      </c>
      <c r="B348" s="46" t="s">
        <v>532</v>
      </c>
      <c r="C348" s="46" t="s">
        <v>533</v>
      </c>
      <c r="D348" s="46">
        <v>140</v>
      </c>
      <c r="E348" s="46" t="s">
        <v>222</v>
      </c>
      <c r="F348" s="46">
        <v>135</v>
      </c>
      <c r="G348" s="46" t="s">
        <v>222</v>
      </c>
      <c r="H348" s="46">
        <v>115</v>
      </c>
      <c r="I348" s="46" t="s">
        <v>222</v>
      </c>
      <c r="J348" s="48">
        <v>140</v>
      </c>
      <c r="K348">
        <v>47</v>
      </c>
      <c r="L348" t="s">
        <v>238</v>
      </c>
      <c r="P348">
        <v>3019</v>
      </c>
      <c r="Q348">
        <v>4</v>
      </c>
      <c r="R348">
        <v>3023</v>
      </c>
    </row>
    <row r="349" spans="1:18" ht="19.899999999999999" customHeight="1" x14ac:dyDescent="0.25">
      <c r="A349" t="str">
        <f t="shared" si="5"/>
        <v>IL22</v>
      </c>
      <c r="B349" s="46" t="s">
        <v>532</v>
      </c>
      <c r="C349" s="46" t="s">
        <v>534</v>
      </c>
      <c r="D349" s="46">
        <v>213</v>
      </c>
      <c r="E349" s="46" t="s">
        <v>199</v>
      </c>
      <c r="F349" s="46">
        <v>198</v>
      </c>
      <c r="G349" s="46" t="s">
        <v>199</v>
      </c>
      <c r="H349" s="46">
        <v>191</v>
      </c>
      <c r="I349" s="46" t="s">
        <v>199</v>
      </c>
      <c r="J349" s="48">
        <v>213</v>
      </c>
      <c r="K349">
        <v>66</v>
      </c>
      <c r="L349" t="s">
        <v>200</v>
      </c>
      <c r="P349">
        <v>367</v>
      </c>
      <c r="Q349">
        <v>7</v>
      </c>
      <c r="R349">
        <v>374</v>
      </c>
    </row>
    <row r="350" spans="1:18" ht="19.899999999999999" customHeight="1" x14ac:dyDescent="0.25">
      <c r="A350" t="str">
        <f t="shared" si="5"/>
        <v>IL21</v>
      </c>
      <c r="B350" s="46" t="s">
        <v>532</v>
      </c>
      <c r="C350" s="46" t="s">
        <v>535</v>
      </c>
      <c r="D350" s="46">
        <v>203</v>
      </c>
      <c r="E350" s="46" t="s">
        <v>199</v>
      </c>
      <c r="F350" s="46">
        <v>213</v>
      </c>
      <c r="G350" s="46" t="s">
        <v>199</v>
      </c>
      <c r="H350" s="46">
        <v>202</v>
      </c>
      <c r="I350" s="46" t="s">
        <v>199</v>
      </c>
      <c r="J350" s="48">
        <v>213</v>
      </c>
      <c r="K350">
        <v>45</v>
      </c>
      <c r="L350" t="s">
        <v>218</v>
      </c>
      <c r="P350">
        <v>3422</v>
      </c>
      <c r="Q350">
        <v>4</v>
      </c>
      <c r="R350">
        <v>3426</v>
      </c>
    </row>
    <row r="351" spans="1:18" ht="19.899999999999999" customHeight="1" x14ac:dyDescent="0.25">
      <c r="A351" t="str">
        <f t="shared" si="5"/>
        <v>IL23</v>
      </c>
      <c r="B351" s="46" t="s">
        <v>532</v>
      </c>
      <c r="C351" s="46" t="s">
        <v>536</v>
      </c>
      <c r="D351" s="46">
        <v>178</v>
      </c>
      <c r="E351" s="46" t="s">
        <v>200</v>
      </c>
      <c r="F351" s="46">
        <v>194</v>
      </c>
      <c r="G351" s="46" t="s">
        <v>200</v>
      </c>
      <c r="H351" s="46">
        <v>208</v>
      </c>
      <c r="I351" s="46" t="s">
        <v>200</v>
      </c>
      <c r="J351" s="48">
        <v>208</v>
      </c>
      <c r="K351">
        <v>50</v>
      </c>
      <c r="L351" t="s">
        <v>218</v>
      </c>
      <c r="P351">
        <v>1284</v>
      </c>
      <c r="Q351">
        <v>1</v>
      </c>
      <c r="R351">
        <v>1285</v>
      </c>
    </row>
    <row r="352" spans="1:18" ht="19.899999999999999" customHeight="1" x14ac:dyDescent="0.25">
      <c r="A352" t="str">
        <f t="shared" si="5"/>
        <v>IL24</v>
      </c>
      <c r="B352" s="46" t="s">
        <v>532</v>
      </c>
      <c r="C352" s="46" t="s">
        <v>537</v>
      </c>
      <c r="D352" s="46">
        <v>132</v>
      </c>
      <c r="E352" s="46" t="s">
        <v>218</v>
      </c>
      <c r="F352" s="46">
        <v>134</v>
      </c>
      <c r="G352" s="46" t="s">
        <v>218</v>
      </c>
      <c r="H352" s="46">
        <v>142</v>
      </c>
      <c r="I352" s="46" t="s">
        <v>218</v>
      </c>
      <c r="J352" s="48">
        <v>142</v>
      </c>
      <c r="K352">
        <v>5</v>
      </c>
      <c r="L352" t="s">
        <v>195</v>
      </c>
      <c r="P352">
        <v>1558</v>
      </c>
      <c r="Q352">
        <v>1</v>
      </c>
      <c r="R352">
        <v>1559</v>
      </c>
    </row>
    <row r="353" spans="1:18" ht="19.899999999999999" customHeight="1" x14ac:dyDescent="0.25">
      <c r="A353" t="str">
        <f t="shared" si="5"/>
        <v>F16)</v>
      </c>
      <c r="B353" s="46" t="s">
        <v>532</v>
      </c>
      <c r="C353" s="46" t="s">
        <v>538</v>
      </c>
      <c r="D353" s="46">
        <v>0</v>
      </c>
      <c r="E353" s="46" t="s">
        <v>215</v>
      </c>
      <c r="F353" s="46">
        <v>0</v>
      </c>
      <c r="G353" s="46" t="s">
        <v>215</v>
      </c>
      <c r="H353" s="46">
        <v>0</v>
      </c>
      <c r="I353" s="46" t="s">
        <v>215</v>
      </c>
      <c r="J353" s="48">
        <v>0</v>
      </c>
      <c r="K353">
        <v>0</v>
      </c>
      <c r="L353" t="s">
        <v>215</v>
      </c>
      <c r="P353" t="s">
        <v>192</v>
      </c>
      <c r="Q353" t="s">
        <v>192</v>
      </c>
      <c r="R353">
        <v>0</v>
      </c>
    </row>
    <row r="354" spans="1:18" ht="19.899999999999999" customHeight="1" x14ac:dyDescent="0.25">
      <c r="A354" t="str">
        <f t="shared" si="5"/>
        <v>IL#2MTR</v>
      </c>
      <c r="B354" s="46" t="s">
        <v>532</v>
      </c>
      <c r="C354" s="46" t="s">
        <v>209</v>
      </c>
      <c r="D354" s="46">
        <v>627</v>
      </c>
      <c r="E354" s="46" t="s">
        <v>204</v>
      </c>
      <c r="F354" s="46">
        <v>609</v>
      </c>
      <c r="G354" s="46" t="s">
        <v>227</v>
      </c>
      <c r="H354" s="46">
        <v>578</v>
      </c>
      <c r="I354" s="46" t="s">
        <v>199</v>
      </c>
      <c r="J354" s="48">
        <v>627</v>
      </c>
      <c r="K354" t="s">
        <v>196</v>
      </c>
      <c r="L354" t="s">
        <v>196</v>
      </c>
      <c r="P354">
        <v>70</v>
      </c>
      <c r="Q354">
        <v>1</v>
      </c>
      <c r="R354">
        <v>71</v>
      </c>
    </row>
    <row r="355" spans="1:18" ht="19.899999999999999" customHeight="1" x14ac:dyDescent="0.25">
      <c r="A355" t="str">
        <f t="shared" si="5"/>
        <v>IL32</v>
      </c>
      <c r="B355" s="46" t="s">
        <v>532</v>
      </c>
      <c r="C355" s="46" t="s">
        <v>539</v>
      </c>
      <c r="D355" s="46">
        <v>242</v>
      </c>
      <c r="E355" s="46" t="s">
        <v>204</v>
      </c>
      <c r="F355" s="46">
        <v>235</v>
      </c>
      <c r="G355" s="46" t="s">
        <v>199</v>
      </c>
      <c r="H355" s="46">
        <v>239</v>
      </c>
      <c r="I355" s="46" t="s">
        <v>218</v>
      </c>
      <c r="J355" s="48">
        <v>242</v>
      </c>
      <c r="K355">
        <v>44</v>
      </c>
      <c r="L355" t="s">
        <v>213</v>
      </c>
      <c r="P355">
        <v>380</v>
      </c>
      <c r="Q355" t="s">
        <v>192</v>
      </c>
      <c r="R355">
        <v>380</v>
      </c>
    </row>
    <row r="356" spans="1:18" ht="19.899999999999999" customHeight="1" x14ac:dyDescent="0.25">
      <c r="A356" t="str">
        <f t="shared" si="5"/>
        <v>IL29</v>
      </c>
      <c r="B356" s="46" t="s">
        <v>532</v>
      </c>
      <c r="C356" s="46" t="s">
        <v>540</v>
      </c>
      <c r="D356" s="46">
        <v>61</v>
      </c>
      <c r="E356" s="46" t="s">
        <v>199</v>
      </c>
      <c r="F356" s="46">
        <v>63</v>
      </c>
      <c r="G356" s="46" t="s">
        <v>199</v>
      </c>
      <c r="H356" s="46">
        <v>37</v>
      </c>
      <c r="I356" s="46" t="s">
        <v>198</v>
      </c>
      <c r="J356" s="48">
        <v>63</v>
      </c>
      <c r="K356">
        <v>53</v>
      </c>
      <c r="L356" t="s">
        <v>204</v>
      </c>
      <c r="P356">
        <v>2209</v>
      </c>
      <c r="Q356">
        <v>1</v>
      </c>
      <c r="R356">
        <v>2210</v>
      </c>
    </row>
    <row r="357" spans="1:18" ht="19.899999999999999" customHeight="1" x14ac:dyDescent="0.25">
      <c r="A357" t="str">
        <f t="shared" si="5"/>
        <v>IL20</v>
      </c>
      <c r="B357" s="46" t="s">
        <v>532</v>
      </c>
      <c r="C357" s="46" t="s">
        <v>541</v>
      </c>
      <c r="D357" s="46">
        <v>133</v>
      </c>
      <c r="E357" s="46" t="s">
        <v>227</v>
      </c>
      <c r="F357" s="46">
        <v>131</v>
      </c>
      <c r="G357" s="46" t="s">
        <v>227</v>
      </c>
      <c r="H357" s="46">
        <v>135</v>
      </c>
      <c r="I357" s="46" t="s">
        <v>227</v>
      </c>
      <c r="J357" s="48">
        <v>135</v>
      </c>
      <c r="K357">
        <v>0</v>
      </c>
      <c r="L357" t="s">
        <v>215</v>
      </c>
      <c r="P357">
        <v>4831</v>
      </c>
      <c r="Q357">
        <v>2</v>
      </c>
      <c r="R357">
        <v>4833</v>
      </c>
    </row>
    <row r="358" spans="1:18" ht="19.899999999999999" customHeight="1" x14ac:dyDescent="0.25">
      <c r="A358" t="str">
        <f t="shared" si="5"/>
        <v>IL25</v>
      </c>
      <c r="B358" s="46" t="s">
        <v>532</v>
      </c>
      <c r="C358" s="46" t="s">
        <v>542</v>
      </c>
      <c r="D358" s="46">
        <v>164</v>
      </c>
      <c r="E358" s="46" t="s">
        <v>195</v>
      </c>
      <c r="F358" s="46">
        <v>158</v>
      </c>
      <c r="G358" s="46" t="s">
        <v>195</v>
      </c>
      <c r="H358" s="46">
        <v>134</v>
      </c>
      <c r="I358" s="46" t="s">
        <v>198</v>
      </c>
      <c r="J358" s="48">
        <v>164</v>
      </c>
      <c r="K358">
        <v>42</v>
      </c>
      <c r="L358" t="s">
        <v>195</v>
      </c>
      <c r="P358">
        <v>3124</v>
      </c>
      <c r="Q358">
        <v>2</v>
      </c>
      <c r="R358">
        <v>3126</v>
      </c>
    </row>
    <row r="359" spans="1:18" ht="19.899999999999999" customHeight="1" x14ac:dyDescent="0.25">
      <c r="A359" t="str">
        <f t="shared" si="5"/>
        <v>IL26</v>
      </c>
      <c r="B359" s="46" t="s">
        <v>532</v>
      </c>
      <c r="C359" s="46" t="s">
        <v>543</v>
      </c>
      <c r="D359" s="46">
        <v>139</v>
      </c>
      <c r="E359" s="46" t="s">
        <v>204</v>
      </c>
      <c r="F359" s="46">
        <v>119</v>
      </c>
      <c r="G359" s="46" t="s">
        <v>204</v>
      </c>
      <c r="H359" s="46">
        <v>127</v>
      </c>
      <c r="I359" s="46" t="s">
        <v>204</v>
      </c>
      <c r="J359" s="48">
        <v>139</v>
      </c>
      <c r="K359">
        <v>42</v>
      </c>
      <c r="L359" t="s">
        <v>204</v>
      </c>
      <c r="P359">
        <v>2466</v>
      </c>
      <c r="Q359" t="s">
        <v>192</v>
      </c>
      <c r="R359">
        <v>2466</v>
      </c>
    </row>
    <row r="360" spans="1:18" ht="19.899999999999999" customHeight="1" x14ac:dyDescent="0.25">
      <c r="A360" t="str">
        <f t="shared" si="5"/>
        <v>IL#3MTR</v>
      </c>
      <c r="B360" s="46" t="s">
        <v>532</v>
      </c>
      <c r="C360" s="46" t="s">
        <v>217</v>
      </c>
      <c r="D360" s="46">
        <v>265</v>
      </c>
      <c r="E360" s="46" t="s">
        <v>227</v>
      </c>
      <c r="F360" s="46">
        <v>250</v>
      </c>
      <c r="G360" s="46" t="s">
        <v>227</v>
      </c>
      <c r="H360" s="46">
        <v>245</v>
      </c>
      <c r="I360" s="46" t="s">
        <v>227</v>
      </c>
      <c r="J360" s="48">
        <v>265</v>
      </c>
      <c r="K360" t="s">
        <v>196</v>
      </c>
      <c r="L360" t="s">
        <v>196</v>
      </c>
      <c r="P360" t="s">
        <v>192</v>
      </c>
      <c r="Q360" t="s">
        <v>192</v>
      </c>
      <c r="R360">
        <v>0</v>
      </c>
    </row>
    <row r="361" spans="1:18" ht="19.899999999999999" customHeight="1" x14ac:dyDescent="0.25">
      <c r="A361" t="str">
        <f t="shared" si="5"/>
        <v>F15)</v>
      </c>
      <c r="B361" s="46" t="s">
        <v>532</v>
      </c>
      <c r="C361" s="46" t="s">
        <v>544</v>
      </c>
      <c r="D361" s="46">
        <v>0</v>
      </c>
      <c r="E361" s="46" t="s">
        <v>215</v>
      </c>
      <c r="F361" s="46">
        <v>0</v>
      </c>
      <c r="G361" s="46" t="s">
        <v>215</v>
      </c>
      <c r="H361" s="46">
        <v>0</v>
      </c>
      <c r="I361" s="46" t="s">
        <v>215</v>
      </c>
      <c r="J361" s="48">
        <v>0</v>
      </c>
      <c r="K361">
        <v>0</v>
      </c>
      <c r="L361" t="s">
        <v>215</v>
      </c>
      <c r="P361" t="s">
        <v>192</v>
      </c>
      <c r="Q361">
        <v>1</v>
      </c>
      <c r="R361">
        <v>1</v>
      </c>
    </row>
    <row r="362" spans="1:18" ht="19.899999999999999" customHeight="1" x14ac:dyDescent="0.25">
      <c r="A362" t="str">
        <f t="shared" si="5"/>
        <v>F14)</v>
      </c>
      <c r="B362" s="46" t="s">
        <v>532</v>
      </c>
      <c r="C362" s="46" t="s">
        <v>545</v>
      </c>
      <c r="D362" s="46">
        <v>0</v>
      </c>
      <c r="E362" s="46" t="s">
        <v>215</v>
      </c>
      <c r="F362" s="46">
        <v>0</v>
      </c>
      <c r="G362" s="46" t="s">
        <v>215</v>
      </c>
      <c r="H362" s="46">
        <v>0</v>
      </c>
      <c r="I362" s="46" t="s">
        <v>215</v>
      </c>
      <c r="J362" s="48">
        <v>0</v>
      </c>
      <c r="K362">
        <v>0</v>
      </c>
      <c r="L362" t="s">
        <v>215</v>
      </c>
      <c r="P362" t="s">
        <v>192</v>
      </c>
      <c r="Q362" t="s">
        <v>192</v>
      </c>
      <c r="R362">
        <v>0</v>
      </c>
    </row>
    <row r="363" spans="1:18" ht="19.899999999999999" customHeight="1" x14ac:dyDescent="0.25">
      <c r="A363" t="str">
        <f t="shared" si="5"/>
        <v>IL30</v>
      </c>
      <c r="B363" s="46" t="s">
        <v>532</v>
      </c>
      <c r="C363" s="46" t="s">
        <v>546</v>
      </c>
      <c r="D363" s="46">
        <v>102</v>
      </c>
      <c r="E363" s="46" t="s">
        <v>235</v>
      </c>
      <c r="F363" s="46">
        <v>87</v>
      </c>
      <c r="G363" s="46" t="s">
        <v>227</v>
      </c>
      <c r="H363" s="46">
        <v>98</v>
      </c>
      <c r="I363" s="46" t="s">
        <v>195</v>
      </c>
      <c r="J363" s="48">
        <v>102</v>
      </c>
      <c r="K363">
        <v>36</v>
      </c>
      <c r="L363" t="s">
        <v>235</v>
      </c>
      <c r="P363" t="s">
        <v>192</v>
      </c>
      <c r="Q363" t="s">
        <v>192</v>
      </c>
      <c r="R363">
        <v>0</v>
      </c>
    </row>
    <row r="364" spans="1:18" ht="19.899999999999999" customHeight="1" x14ac:dyDescent="0.25">
      <c r="A364" t="str">
        <f t="shared" si="5"/>
        <v>IL28</v>
      </c>
      <c r="B364" s="46" t="s">
        <v>532</v>
      </c>
      <c r="C364" s="46" t="s">
        <v>547</v>
      </c>
      <c r="D364" s="46">
        <v>0</v>
      </c>
      <c r="E364" s="46" t="s">
        <v>215</v>
      </c>
      <c r="F364" s="46">
        <v>0</v>
      </c>
      <c r="G364" s="46" t="s">
        <v>215</v>
      </c>
      <c r="H364" s="46">
        <v>0</v>
      </c>
      <c r="I364" s="46" t="s">
        <v>215</v>
      </c>
      <c r="J364" s="48">
        <v>0</v>
      </c>
      <c r="K364">
        <v>0</v>
      </c>
      <c r="L364" t="s">
        <v>215</v>
      </c>
      <c r="P364" t="s">
        <v>192</v>
      </c>
      <c r="Q364" t="s">
        <v>192</v>
      </c>
      <c r="R364">
        <v>0</v>
      </c>
    </row>
    <row r="365" spans="1:18" ht="19.899999999999999" customHeight="1" x14ac:dyDescent="0.25">
      <c r="A365" t="str">
        <f t="shared" si="5"/>
        <v>IL31</v>
      </c>
      <c r="B365" s="46" t="s">
        <v>532</v>
      </c>
      <c r="C365" s="46" t="s">
        <v>548</v>
      </c>
      <c r="D365" s="46">
        <v>148</v>
      </c>
      <c r="E365" s="46" t="s">
        <v>227</v>
      </c>
      <c r="F365" s="46">
        <v>159</v>
      </c>
      <c r="G365" s="46" t="s">
        <v>227</v>
      </c>
      <c r="H365" s="46">
        <v>141</v>
      </c>
      <c r="I365" s="46" t="s">
        <v>227</v>
      </c>
      <c r="J365" s="48">
        <v>159</v>
      </c>
      <c r="K365">
        <v>52</v>
      </c>
      <c r="L365" t="s">
        <v>204</v>
      </c>
      <c r="P365" t="s">
        <v>192</v>
      </c>
      <c r="Q365" t="s">
        <v>192</v>
      </c>
      <c r="R365">
        <v>0</v>
      </c>
    </row>
    <row r="366" spans="1:18" ht="19.899999999999999" customHeight="1" x14ac:dyDescent="0.25">
      <c r="A366" t="str">
        <f t="shared" si="5"/>
        <v>9J#1MTR</v>
      </c>
      <c r="B366" s="46" t="s">
        <v>549</v>
      </c>
      <c r="C366" s="46" t="s">
        <v>194</v>
      </c>
      <c r="D366" s="46">
        <v>403</v>
      </c>
      <c r="E366" s="46" t="s">
        <v>195</v>
      </c>
      <c r="F366" s="46">
        <v>401</v>
      </c>
      <c r="G366" s="46" t="s">
        <v>199</v>
      </c>
      <c r="H366" s="46">
        <v>421</v>
      </c>
      <c r="I366" s="46" t="s">
        <v>195</v>
      </c>
      <c r="J366" s="48">
        <v>421</v>
      </c>
      <c r="K366" t="s">
        <v>196</v>
      </c>
      <c r="L366" t="s">
        <v>196</v>
      </c>
      <c r="P366" t="s">
        <v>192</v>
      </c>
      <c r="Q366" t="s">
        <v>192</v>
      </c>
      <c r="R366">
        <v>0</v>
      </c>
    </row>
    <row r="367" spans="1:18" ht="19.899999999999999" customHeight="1" x14ac:dyDescent="0.25">
      <c r="A367" t="str">
        <f t="shared" si="5"/>
        <v>9J11</v>
      </c>
      <c r="B367" s="46" t="s">
        <v>549</v>
      </c>
      <c r="C367" s="46" t="s">
        <v>550</v>
      </c>
      <c r="D367" s="46">
        <v>97</v>
      </c>
      <c r="E367" s="46" t="s">
        <v>199</v>
      </c>
      <c r="F367" s="46">
        <v>84</v>
      </c>
      <c r="G367" s="46" t="s">
        <v>213</v>
      </c>
      <c r="H367" s="46">
        <v>98</v>
      </c>
      <c r="I367" s="46" t="s">
        <v>213</v>
      </c>
      <c r="J367" s="48">
        <v>98</v>
      </c>
      <c r="K367">
        <v>49</v>
      </c>
      <c r="L367" t="s">
        <v>198</v>
      </c>
      <c r="P367" t="s">
        <v>192</v>
      </c>
      <c r="Q367" t="s">
        <v>192</v>
      </c>
      <c r="R367">
        <v>0</v>
      </c>
    </row>
    <row r="368" spans="1:18" ht="19.899999999999999" customHeight="1" x14ac:dyDescent="0.25">
      <c r="A368" t="str">
        <f t="shared" si="5"/>
        <v>9J12</v>
      </c>
      <c r="B368" s="46" t="s">
        <v>549</v>
      </c>
      <c r="C368" s="46" t="s">
        <v>551</v>
      </c>
      <c r="D368" s="46">
        <v>158</v>
      </c>
      <c r="E368" s="46" t="s">
        <v>195</v>
      </c>
      <c r="F368" s="46">
        <v>161</v>
      </c>
      <c r="G368" s="46" t="s">
        <v>204</v>
      </c>
      <c r="H368" s="46">
        <v>159</v>
      </c>
      <c r="I368" s="46" t="s">
        <v>200</v>
      </c>
      <c r="J368" s="48">
        <v>161</v>
      </c>
      <c r="K368">
        <v>49</v>
      </c>
      <c r="L368" t="s">
        <v>222</v>
      </c>
      <c r="P368" t="s">
        <v>192</v>
      </c>
      <c r="Q368" t="s">
        <v>192</v>
      </c>
      <c r="R368">
        <v>0</v>
      </c>
    </row>
    <row r="369" spans="1:18" ht="19.899999999999999" customHeight="1" x14ac:dyDescent="0.25">
      <c r="A369" t="str">
        <f t="shared" si="5"/>
        <v>9J13</v>
      </c>
      <c r="B369" s="46" t="s">
        <v>549</v>
      </c>
      <c r="C369" s="46" t="s">
        <v>552</v>
      </c>
      <c r="D369" s="46">
        <v>51</v>
      </c>
      <c r="E369" s="46" t="s">
        <v>198</v>
      </c>
      <c r="F369" s="46">
        <v>73</v>
      </c>
      <c r="G369" s="46" t="s">
        <v>199</v>
      </c>
      <c r="H369" s="46">
        <v>94</v>
      </c>
      <c r="I369" s="46" t="s">
        <v>206</v>
      </c>
      <c r="J369" s="48">
        <v>94</v>
      </c>
      <c r="K369">
        <v>50</v>
      </c>
      <c r="L369" t="s">
        <v>206</v>
      </c>
      <c r="P369" t="s">
        <v>192</v>
      </c>
      <c r="Q369" t="s">
        <v>192</v>
      </c>
      <c r="R369">
        <v>0</v>
      </c>
    </row>
    <row r="370" spans="1:18" ht="19.899999999999999" customHeight="1" x14ac:dyDescent="0.25">
      <c r="A370" t="str">
        <f t="shared" si="5"/>
        <v>9J14</v>
      </c>
      <c r="B370" s="46" t="s">
        <v>549</v>
      </c>
      <c r="C370" s="46" t="s">
        <v>553</v>
      </c>
      <c r="D370" s="46">
        <v>73</v>
      </c>
      <c r="E370" s="46" t="s">
        <v>202</v>
      </c>
      <c r="F370" s="46">
        <v>70</v>
      </c>
      <c r="G370" s="46" t="s">
        <v>202</v>
      </c>
      <c r="H370" s="46">
        <v>76</v>
      </c>
      <c r="I370" s="46" t="s">
        <v>202</v>
      </c>
      <c r="J370" s="48">
        <v>76</v>
      </c>
      <c r="K370">
        <v>23</v>
      </c>
      <c r="L370" t="s">
        <v>293</v>
      </c>
      <c r="P370" t="s">
        <v>192</v>
      </c>
      <c r="Q370" t="s">
        <v>192</v>
      </c>
      <c r="R370">
        <v>0</v>
      </c>
    </row>
    <row r="371" spans="1:18" ht="19.899999999999999" customHeight="1" x14ac:dyDescent="0.25">
      <c r="A371" t="str">
        <f t="shared" si="5"/>
        <v>9J15</v>
      </c>
      <c r="B371" s="46" t="s">
        <v>549</v>
      </c>
      <c r="C371" s="46" t="s">
        <v>554</v>
      </c>
      <c r="D371" s="46">
        <v>81</v>
      </c>
      <c r="E371" s="46" t="s">
        <v>195</v>
      </c>
      <c r="F371" s="46">
        <v>73</v>
      </c>
      <c r="G371" s="46" t="s">
        <v>227</v>
      </c>
      <c r="H371" s="46">
        <v>74</v>
      </c>
      <c r="I371" s="46" t="s">
        <v>227</v>
      </c>
      <c r="J371" s="48">
        <v>81</v>
      </c>
      <c r="K371">
        <v>43</v>
      </c>
      <c r="L371" t="s">
        <v>227</v>
      </c>
      <c r="P371">
        <v>363</v>
      </c>
      <c r="Q371">
        <v>16</v>
      </c>
      <c r="R371">
        <v>379</v>
      </c>
    </row>
    <row r="372" spans="1:18" ht="19.899999999999999" customHeight="1" x14ac:dyDescent="0.25">
      <c r="A372" t="str">
        <f t="shared" si="5"/>
        <v>9J#2MTR</v>
      </c>
      <c r="B372" s="46" t="s">
        <v>549</v>
      </c>
      <c r="C372" s="46" t="s">
        <v>209</v>
      </c>
      <c r="D372" s="46">
        <v>450</v>
      </c>
      <c r="E372" s="46" t="s">
        <v>195</v>
      </c>
      <c r="F372" s="46">
        <v>415</v>
      </c>
      <c r="G372" s="46" t="s">
        <v>195</v>
      </c>
      <c r="H372" s="46">
        <v>459</v>
      </c>
      <c r="I372" s="46" t="s">
        <v>195</v>
      </c>
      <c r="J372" s="48">
        <v>459</v>
      </c>
      <c r="K372" t="s">
        <v>196</v>
      </c>
      <c r="L372" t="s">
        <v>196</v>
      </c>
      <c r="P372">
        <v>940</v>
      </c>
      <c r="Q372">
        <v>12</v>
      </c>
      <c r="R372">
        <v>952</v>
      </c>
    </row>
    <row r="373" spans="1:18" ht="19.899999999999999" customHeight="1" x14ac:dyDescent="0.25">
      <c r="A373" t="str">
        <f t="shared" si="5"/>
        <v>9J21</v>
      </c>
      <c r="B373" s="46" t="s">
        <v>549</v>
      </c>
      <c r="C373" s="46" t="s">
        <v>555</v>
      </c>
      <c r="D373" s="46">
        <v>142</v>
      </c>
      <c r="E373" s="46" t="s">
        <v>198</v>
      </c>
      <c r="F373" s="46">
        <v>138</v>
      </c>
      <c r="G373" s="46" t="s">
        <v>198</v>
      </c>
      <c r="H373" s="46">
        <v>157</v>
      </c>
      <c r="I373" s="46" t="s">
        <v>195</v>
      </c>
      <c r="J373" s="48">
        <v>157</v>
      </c>
      <c r="K373">
        <v>44</v>
      </c>
      <c r="L373" t="s">
        <v>198</v>
      </c>
      <c r="P373">
        <v>4453</v>
      </c>
      <c r="Q373">
        <v>4</v>
      </c>
      <c r="R373">
        <v>4457</v>
      </c>
    </row>
    <row r="374" spans="1:18" ht="19.899999999999999" customHeight="1" x14ac:dyDescent="0.25">
      <c r="A374" t="str">
        <f t="shared" si="5"/>
        <v>9J24</v>
      </c>
      <c r="B374" s="46" t="s">
        <v>549</v>
      </c>
      <c r="C374" s="46" t="s">
        <v>556</v>
      </c>
      <c r="D374" s="46">
        <v>102</v>
      </c>
      <c r="E374" s="46" t="s">
        <v>206</v>
      </c>
      <c r="F374" s="46">
        <v>97</v>
      </c>
      <c r="G374" s="46" t="s">
        <v>199</v>
      </c>
      <c r="H374" s="46">
        <v>114</v>
      </c>
      <c r="I374" s="46" t="s">
        <v>198</v>
      </c>
      <c r="J374" s="48">
        <v>114</v>
      </c>
      <c r="K374">
        <v>53</v>
      </c>
      <c r="L374" t="s">
        <v>293</v>
      </c>
      <c r="P374">
        <v>2226</v>
      </c>
      <c r="Q374">
        <v>3</v>
      </c>
      <c r="R374">
        <v>2229</v>
      </c>
    </row>
    <row r="375" spans="1:18" ht="19.899999999999999" customHeight="1" x14ac:dyDescent="0.25">
      <c r="A375" t="str">
        <f t="shared" si="5"/>
        <v>9J25</v>
      </c>
      <c r="B375" s="46" t="s">
        <v>549</v>
      </c>
      <c r="C375" s="46" t="s">
        <v>557</v>
      </c>
      <c r="D375" s="46">
        <v>22</v>
      </c>
      <c r="E375" s="46" t="s">
        <v>206</v>
      </c>
      <c r="F375" s="46">
        <v>14</v>
      </c>
      <c r="G375" s="46" t="s">
        <v>195</v>
      </c>
      <c r="H375" s="46">
        <v>12</v>
      </c>
      <c r="I375" s="46" t="s">
        <v>238</v>
      </c>
      <c r="J375" s="48">
        <v>22</v>
      </c>
      <c r="K375">
        <v>17</v>
      </c>
      <c r="L375" t="s">
        <v>206</v>
      </c>
      <c r="P375">
        <v>5152</v>
      </c>
      <c r="Q375">
        <v>9</v>
      </c>
      <c r="R375">
        <v>5161</v>
      </c>
    </row>
    <row r="376" spans="1:18" ht="19.899999999999999" customHeight="1" x14ac:dyDescent="0.25">
      <c r="A376" t="str">
        <f t="shared" si="5"/>
        <v>9J22</v>
      </c>
      <c r="B376" s="46" t="s">
        <v>549</v>
      </c>
      <c r="C376" s="46" t="s">
        <v>558</v>
      </c>
      <c r="D376" s="46">
        <v>149</v>
      </c>
      <c r="E376" s="46" t="s">
        <v>204</v>
      </c>
      <c r="F376" s="46">
        <v>164</v>
      </c>
      <c r="G376" s="46" t="s">
        <v>204</v>
      </c>
      <c r="H376" s="46">
        <v>151</v>
      </c>
      <c r="I376" s="46" t="s">
        <v>204</v>
      </c>
      <c r="J376" s="48">
        <v>164</v>
      </c>
      <c r="K376">
        <v>42</v>
      </c>
      <c r="L376" t="s">
        <v>238</v>
      </c>
      <c r="P376">
        <v>346</v>
      </c>
      <c r="Q376">
        <v>20</v>
      </c>
      <c r="R376">
        <v>366</v>
      </c>
    </row>
    <row r="377" spans="1:18" ht="19.899999999999999" customHeight="1" x14ac:dyDescent="0.25">
      <c r="A377" t="str">
        <f t="shared" si="5"/>
        <v>9J23</v>
      </c>
      <c r="B377" s="46" t="s">
        <v>549</v>
      </c>
      <c r="C377" s="46" t="s">
        <v>559</v>
      </c>
      <c r="D377" s="46">
        <v>76</v>
      </c>
      <c r="E377" s="46" t="s">
        <v>195</v>
      </c>
      <c r="F377" s="46">
        <v>64</v>
      </c>
      <c r="G377" s="46" t="s">
        <v>213</v>
      </c>
      <c r="H377" s="46">
        <v>57</v>
      </c>
      <c r="I377" s="46" t="s">
        <v>213</v>
      </c>
      <c r="J377" s="48">
        <v>76</v>
      </c>
      <c r="K377">
        <v>30</v>
      </c>
      <c r="L377" t="s">
        <v>198</v>
      </c>
      <c r="P377">
        <v>995</v>
      </c>
      <c r="Q377" t="s">
        <v>192</v>
      </c>
      <c r="R377">
        <v>995</v>
      </c>
    </row>
    <row r="378" spans="1:18" ht="19.899999999999999" customHeight="1" x14ac:dyDescent="0.25">
      <c r="A378" t="str">
        <f t="shared" si="5"/>
        <v>9J#3MTR</v>
      </c>
      <c r="B378" s="46" t="s">
        <v>549</v>
      </c>
      <c r="C378" s="46" t="s">
        <v>217</v>
      </c>
      <c r="D378" s="46">
        <v>473</v>
      </c>
      <c r="E378" s="46" t="s">
        <v>199</v>
      </c>
      <c r="F378" s="46">
        <v>494</v>
      </c>
      <c r="G378" s="46" t="s">
        <v>199</v>
      </c>
      <c r="H378" s="46">
        <v>463</v>
      </c>
      <c r="I378" s="46" t="s">
        <v>199</v>
      </c>
      <c r="J378" s="48">
        <v>494</v>
      </c>
      <c r="K378" t="s">
        <v>196</v>
      </c>
      <c r="L378" t="s">
        <v>196</v>
      </c>
      <c r="P378">
        <v>2248</v>
      </c>
      <c r="Q378">
        <v>6</v>
      </c>
      <c r="R378">
        <v>2254</v>
      </c>
    </row>
    <row r="379" spans="1:18" ht="19.899999999999999" customHeight="1" x14ac:dyDescent="0.25">
      <c r="A379" t="str">
        <f t="shared" si="5"/>
        <v>9J31</v>
      </c>
      <c r="B379" s="46" t="s">
        <v>549</v>
      </c>
      <c r="C379" s="46" t="s">
        <v>560</v>
      </c>
      <c r="D379" s="46">
        <v>64</v>
      </c>
      <c r="E379" s="46" t="s">
        <v>195</v>
      </c>
      <c r="F379" s="46">
        <v>78</v>
      </c>
      <c r="G379" s="46" t="s">
        <v>199</v>
      </c>
      <c r="H379" s="46">
        <v>65</v>
      </c>
      <c r="I379" s="46" t="s">
        <v>199</v>
      </c>
      <c r="J379" s="48">
        <v>78</v>
      </c>
      <c r="K379">
        <v>30</v>
      </c>
      <c r="L379" t="s">
        <v>302</v>
      </c>
      <c r="P379">
        <v>910</v>
      </c>
      <c r="Q379">
        <v>20</v>
      </c>
      <c r="R379">
        <v>930</v>
      </c>
    </row>
    <row r="380" spans="1:18" ht="19.899999999999999" customHeight="1" x14ac:dyDescent="0.25">
      <c r="A380" t="str">
        <f t="shared" si="5"/>
        <v>9J32</v>
      </c>
      <c r="B380" s="46" t="s">
        <v>549</v>
      </c>
      <c r="C380" s="46" t="s">
        <v>561</v>
      </c>
      <c r="D380" s="46">
        <v>14</v>
      </c>
      <c r="E380" s="46" t="s">
        <v>204</v>
      </c>
      <c r="F380" s="46">
        <v>28</v>
      </c>
      <c r="G380" s="46" t="s">
        <v>199</v>
      </c>
      <c r="H380" s="46">
        <v>31</v>
      </c>
      <c r="I380" s="46" t="s">
        <v>204</v>
      </c>
      <c r="J380" s="48">
        <v>31</v>
      </c>
      <c r="K380">
        <v>34</v>
      </c>
      <c r="L380" t="s">
        <v>227</v>
      </c>
      <c r="P380">
        <v>92</v>
      </c>
      <c r="Q380">
        <v>4</v>
      </c>
      <c r="R380">
        <v>96</v>
      </c>
    </row>
    <row r="381" spans="1:18" ht="19.899999999999999" customHeight="1" x14ac:dyDescent="0.25">
      <c r="A381" t="str">
        <f t="shared" si="5"/>
        <v>9J33</v>
      </c>
      <c r="B381" s="46" t="s">
        <v>549</v>
      </c>
      <c r="C381" s="46" t="s">
        <v>562</v>
      </c>
      <c r="D381" s="46">
        <v>145</v>
      </c>
      <c r="E381" s="46" t="s">
        <v>227</v>
      </c>
      <c r="F381" s="46">
        <v>149</v>
      </c>
      <c r="G381" s="46" t="s">
        <v>227</v>
      </c>
      <c r="H381" s="46">
        <v>154</v>
      </c>
      <c r="I381" s="46" t="s">
        <v>227</v>
      </c>
      <c r="J381" s="48">
        <v>154</v>
      </c>
      <c r="K381">
        <v>34</v>
      </c>
      <c r="L381" t="s">
        <v>198</v>
      </c>
      <c r="P381">
        <v>1930</v>
      </c>
      <c r="Q381">
        <v>4</v>
      </c>
      <c r="R381">
        <v>1934</v>
      </c>
    </row>
    <row r="382" spans="1:18" ht="19.899999999999999" customHeight="1" x14ac:dyDescent="0.25">
      <c r="A382" t="str">
        <f t="shared" si="5"/>
        <v>9J34</v>
      </c>
      <c r="B382" s="46" t="s">
        <v>549</v>
      </c>
      <c r="C382" s="46" t="s">
        <v>563</v>
      </c>
      <c r="D382" s="46">
        <v>94</v>
      </c>
      <c r="E382" s="46" t="s">
        <v>199</v>
      </c>
      <c r="F382" s="46">
        <v>88</v>
      </c>
      <c r="G382" s="46" t="s">
        <v>195</v>
      </c>
      <c r="H382" s="46">
        <v>100</v>
      </c>
      <c r="I382" s="46" t="s">
        <v>195</v>
      </c>
      <c r="J382" s="48">
        <v>100</v>
      </c>
      <c r="K382">
        <v>25</v>
      </c>
      <c r="L382" t="s">
        <v>202</v>
      </c>
      <c r="P382">
        <v>587</v>
      </c>
      <c r="Q382">
        <v>1</v>
      </c>
      <c r="R382">
        <v>588</v>
      </c>
    </row>
    <row r="383" spans="1:18" ht="19.899999999999999" customHeight="1" x14ac:dyDescent="0.25">
      <c r="A383" t="str">
        <f t="shared" si="5"/>
        <v>9J35</v>
      </c>
      <c r="B383" s="46" t="s">
        <v>549</v>
      </c>
      <c r="C383" s="46" t="s">
        <v>564</v>
      </c>
      <c r="D383" s="46">
        <v>219</v>
      </c>
      <c r="E383" s="46" t="s">
        <v>195</v>
      </c>
      <c r="F383" s="46">
        <v>216</v>
      </c>
      <c r="G383" s="46" t="s">
        <v>199</v>
      </c>
      <c r="H383" s="46">
        <v>180</v>
      </c>
      <c r="I383" s="46" t="s">
        <v>199</v>
      </c>
      <c r="J383" s="48">
        <v>219</v>
      </c>
      <c r="K383">
        <v>53</v>
      </c>
      <c r="L383" t="s">
        <v>213</v>
      </c>
      <c r="P383">
        <v>1271</v>
      </c>
      <c r="Q383">
        <v>7</v>
      </c>
      <c r="R383">
        <v>1278</v>
      </c>
    </row>
    <row r="384" spans="1:18" ht="19.899999999999999" customHeight="1" x14ac:dyDescent="0.25">
      <c r="A384" t="str">
        <f t="shared" si="5"/>
        <v>9H#2DTR(A)</v>
      </c>
      <c r="B384" s="46" t="s">
        <v>565</v>
      </c>
      <c r="C384" s="46" t="s">
        <v>289</v>
      </c>
      <c r="D384" s="46">
        <v>573</v>
      </c>
      <c r="E384" s="46" t="s">
        <v>195</v>
      </c>
      <c r="F384" s="46">
        <v>534</v>
      </c>
      <c r="G384" s="46" t="s">
        <v>195</v>
      </c>
      <c r="H384" s="46">
        <v>581</v>
      </c>
      <c r="I384" s="46" t="s">
        <v>195</v>
      </c>
      <c r="J384" s="48">
        <v>581</v>
      </c>
      <c r="K384" t="s">
        <v>196</v>
      </c>
      <c r="L384" t="s">
        <v>196</v>
      </c>
      <c r="P384">
        <v>3312</v>
      </c>
      <c r="Q384" t="s">
        <v>192</v>
      </c>
      <c r="R384">
        <v>3312</v>
      </c>
    </row>
    <row r="385" spans="1:18" ht="19.899999999999999" customHeight="1" x14ac:dyDescent="0.25">
      <c r="A385" t="str">
        <f t="shared" si="5"/>
        <v>9H20</v>
      </c>
      <c r="B385" s="46" t="s">
        <v>565</v>
      </c>
      <c r="C385" s="46" t="s">
        <v>566</v>
      </c>
      <c r="D385" s="46">
        <v>0</v>
      </c>
      <c r="E385" s="46" t="s">
        <v>215</v>
      </c>
      <c r="F385" s="46">
        <v>0</v>
      </c>
      <c r="G385" s="46" t="s">
        <v>215</v>
      </c>
      <c r="H385" s="46">
        <v>0</v>
      </c>
      <c r="I385" s="46" t="s">
        <v>215</v>
      </c>
      <c r="J385" s="48">
        <v>0</v>
      </c>
      <c r="K385">
        <v>0</v>
      </c>
      <c r="L385" t="s">
        <v>215</v>
      </c>
      <c r="P385">
        <v>491</v>
      </c>
      <c r="Q385">
        <v>1</v>
      </c>
      <c r="R385">
        <v>492</v>
      </c>
    </row>
    <row r="386" spans="1:18" ht="19.899999999999999" customHeight="1" x14ac:dyDescent="0.25">
      <c r="A386" t="str">
        <f t="shared" si="5"/>
        <v>9H21</v>
      </c>
      <c r="B386" s="46" t="s">
        <v>565</v>
      </c>
      <c r="C386" s="46" t="s">
        <v>567</v>
      </c>
      <c r="D386" s="46">
        <v>101</v>
      </c>
      <c r="E386" s="46" t="s">
        <v>199</v>
      </c>
      <c r="F386" s="46">
        <v>105</v>
      </c>
      <c r="G386" s="46" t="s">
        <v>204</v>
      </c>
      <c r="H386" s="46">
        <v>96</v>
      </c>
      <c r="I386" s="46" t="s">
        <v>204</v>
      </c>
      <c r="J386" s="48">
        <v>105</v>
      </c>
      <c r="K386">
        <v>28</v>
      </c>
      <c r="L386" t="s">
        <v>199</v>
      </c>
      <c r="P386">
        <v>1650</v>
      </c>
      <c r="Q386">
        <v>1</v>
      </c>
      <c r="R386">
        <v>1651</v>
      </c>
    </row>
    <row r="387" spans="1:18" ht="19.899999999999999" customHeight="1" x14ac:dyDescent="0.25">
      <c r="A387" t="str">
        <f t="shared" si="5"/>
        <v>9H22</v>
      </c>
      <c r="B387" s="46" t="s">
        <v>565</v>
      </c>
      <c r="C387" s="46" t="s">
        <v>568</v>
      </c>
      <c r="D387" s="46">
        <v>114</v>
      </c>
      <c r="E387" s="46" t="s">
        <v>195</v>
      </c>
      <c r="F387" s="46">
        <v>102</v>
      </c>
      <c r="G387" s="46" t="s">
        <v>199</v>
      </c>
      <c r="H387" s="46">
        <v>124</v>
      </c>
      <c r="I387" s="46" t="s">
        <v>199</v>
      </c>
      <c r="J387" s="48">
        <v>124</v>
      </c>
      <c r="K387">
        <v>38</v>
      </c>
      <c r="L387" t="s">
        <v>198</v>
      </c>
      <c r="P387">
        <v>1895</v>
      </c>
      <c r="Q387">
        <v>4</v>
      </c>
      <c r="R387">
        <v>1899</v>
      </c>
    </row>
    <row r="388" spans="1:18" ht="19.899999999999999" customHeight="1" x14ac:dyDescent="0.25">
      <c r="A388" t="str">
        <f t="shared" ref="A388:A451" si="6">IF(COUNTIF(C388,"*TR*")&gt;0,SUBSTITUTE(RIGHT(B388,3) &amp; C388," ",""),MID(C388,FIND("(",C388)+1,4))</f>
        <v>9H23</v>
      </c>
      <c r="B388" s="46" t="s">
        <v>565</v>
      </c>
      <c r="C388" s="46" t="s">
        <v>569</v>
      </c>
      <c r="D388" s="46">
        <v>12</v>
      </c>
      <c r="E388" s="46" t="s">
        <v>222</v>
      </c>
      <c r="F388" s="46">
        <v>15</v>
      </c>
      <c r="G388" s="46" t="s">
        <v>195</v>
      </c>
      <c r="H388" s="46">
        <v>14</v>
      </c>
      <c r="I388" s="46" t="s">
        <v>222</v>
      </c>
      <c r="J388" s="48">
        <v>15</v>
      </c>
      <c r="K388">
        <v>12</v>
      </c>
      <c r="L388" t="s">
        <v>215</v>
      </c>
      <c r="P388">
        <v>1585</v>
      </c>
      <c r="Q388">
        <v>3</v>
      </c>
      <c r="R388">
        <v>1588</v>
      </c>
    </row>
    <row r="389" spans="1:18" ht="19.899999999999999" customHeight="1" x14ac:dyDescent="0.25">
      <c r="A389" t="str">
        <f t="shared" si="6"/>
        <v>9H24</v>
      </c>
      <c r="B389" s="46" t="s">
        <v>565</v>
      </c>
      <c r="C389" s="46" t="s">
        <v>570</v>
      </c>
      <c r="D389" s="46">
        <v>171</v>
      </c>
      <c r="E389" s="46" t="s">
        <v>195</v>
      </c>
      <c r="F389" s="46">
        <v>169</v>
      </c>
      <c r="G389" s="46" t="s">
        <v>198</v>
      </c>
      <c r="H389" s="46">
        <v>173</v>
      </c>
      <c r="I389" s="46" t="s">
        <v>198</v>
      </c>
      <c r="J389" s="48">
        <v>173</v>
      </c>
      <c r="K389">
        <v>17</v>
      </c>
      <c r="L389" t="s">
        <v>204</v>
      </c>
      <c r="P389">
        <v>2470</v>
      </c>
      <c r="Q389">
        <v>3</v>
      </c>
      <c r="R389">
        <v>2473</v>
      </c>
    </row>
    <row r="390" spans="1:18" ht="19.899999999999999" customHeight="1" x14ac:dyDescent="0.25">
      <c r="A390" t="str">
        <f t="shared" si="6"/>
        <v>9H25</v>
      </c>
      <c r="B390" s="46" t="s">
        <v>565</v>
      </c>
      <c r="C390" s="46" t="s">
        <v>571</v>
      </c>
      <c r="D390" s="46">
        <v>207</v>
      </c>
      <c r="E390" s="46" t="s">
        <v>198</v>
      </c>
      <c r="F390" s="46">
        <v>188</v>
      </c>
      <c r="G390" s="46" t="s">
        <v>572</v>
      </c>
      <c r="H390" s="46">
        <v>191</v>
      </c>
      <c r="I390" s="46" t="s">
        <v>198</v>
      </c>
      <c r="J390" s="48">
        <v>207</v>
      </c>
      <c r="K390">
        <v>25</v>
      </c>
      <c r="L390" t="s">
        <v>198</v>
      </c>
      <c r="P390">
        <v>1933</v>
      </c>
      <c r="Q390">
        <v>5</v>
      </c>
      <c r="R390">
        <v>1938</v>
      </c>
    </row>
    <row r="391" spans="1:18" ht="19.899999999999999" customHeight="1" x14ac:dyDescent="0.25">
      <c r="A391" t="str">
        <f t="shared" si="6"/>
        <v>9H#2DTR(B)</v>
      </c>
      <c r="B391" s="46" t="s">
        <v>565</v>
      </c>
      <c r="C391" s="46" t="s">
        <v>300</v>
      </c>
      <c r="D391" s="46">
        <v>548</v>
      </c>
      <c r="E391" s="46" t="s">
        <v>195</v>
      </c>
      <c r="F391" s="46">
        <v>509</v>
      </c>
      <c r="G391" s="46" t="s">
        <v>195</v>
      </c>
      <c r="H391" s="46">
        <v>572</v>
      </c>
      <c r="I391" s="46" t="s">
        <v>195</v>
      </c>
      <c r="J391" s="48">
        <v>572</v>
      </c>
      <c r="K391" t="s">
        <v>196</v>
      </c>
      <c r="L391" t="s">
        <v>196</v>
      </c>
      <c r="P391" t="s">
        <v>192</v>
      </c>
      <c r="Q391" t="s">
        <v>192</v>
      </c>
      <c r="R391">
        <v>0</v>
      </c>
    </row>
    <row r="392" spans="1:18" ht="19.899999999999999" customHeight="1" x14ac:dyDescent="0.25">
      <c r="A392" t="str">
        <f t="shared" si="6"/>
        <v>9H26</v>
      </c>
      <c r="B392" s="46" t="s">
        <v>565</v>
      </c>
      <c r="C392" s="46" t="s">
        <v>573</v>
      </c>
      <c r="D392" s="46">
        <v>155</v>
      </c>
      <c r="E392" s="46" t="s">
        <v>199</v>
      </c>
      <c r="F392" s="46">
        <v>144</v>
      </c>
      <c r="G392" s="46" t="s">
        <v>199</v>
      </c>
      <c r="H392" s="46">
        <v>169</v>
      </c>
      <c r="I392" s="46" t="s">
        <v>199</v>
      </c>
      <c r="J392" s="48">
        <v>169</v>
      </c>
      <c r="K392">
        <v>37</v>
      </c>
      <c r="L392" t="s">
        <v>204</v>
      </c>
      <c r="P392">
        <v>1609</v>
      </c>
      <c r="Q392" t="s">
        <v>192</v>
      </c>
      <c r="R392">
        <v>1609</v>
      </c>
    </row>
    <row r="393" spans="1:18" ht="19.899999999999999" customHeight="1" x14ac:dyDescent="0.25">
      <c r="A393" t="str">
        <f t="shared" si="6"/>
        <v>9H27</v>
      </c>
      <c r="B393" s="46" t="s">
        <v>565</v>
      </c>
      <c r="C393" s="46" t="s">
        <v>574</v>
      </c>
      <c r="D393" s="46">
        <v>58</v>
      </c>
      <c r="E393" s="46" t="s">
        <v>213</v>
      </c>
      <c r="F393" s="46">
        <v>59</v>
      </c>
      <c r="G393" s="46" t="s">
        <v>213</v>
      </c>
      <c r="H393" s="46">
        <v>59</v>
      </c>
      <c r="I393" s="46" t="s">
        <v>202</v>
      </c>
      <c r="J393" s="48">
        <v>59</v>
      </c>
      <c r="K393">
        <v>21</v>
      </c>
      <c r="L393" t="s">
        <v>235</v>
      </c>
      <c r="P393">
        <v>868</v>
      </c>
      <c r="Q393">
        <v>2</v>
      </c>
      <c r="R393">
        <v>870</v>
      </c>
    </row>
    <row r="394" spans="1:18" ht="19.899999999999999" customHeight="1" x14ac:dyDescent="0.25">
      <c r="A394" t="str">
        <f t="shared" si="6"/>
        <v>9H28</v>
      </c>
      <c r="B394" s="46" t="s">
        <v>565</v>
      </c>
      <c r="C394" s="46" t="s">
        <v>575</v>
      </c>
      <c r="D394" s="46">
        <v>236</v>
      </c>
      <c r="E394" s="46" t="s">
        <v>199</v>
      </c>
      <c r="F394" s="46">
        <v>229</v>
      </c>
      <c r="G394" s="46" t="s">
        <v>199</v>
      </c>
      <c r="H394" s="46">
        <v>242</v>
      </c>
      <c r="I394" s="46" t="s">
        <v>199</v>
      </c>
      <c r="J394" s="48">
        <v>242</v>
      </c>
      <c r="K394">
        <v>54</v>
      </c>
      <c r="L394" t="s">
        <v>198</v>
      </c>
      <c r="P394">
        <v>2588</v>
      </c>
      <c r="Q394">
        <v>4</v>
      </c>
      <c r="R394">
        <v>2592</v>
      </c>
    </row>
    <row r="395" spans="1:18" ht="19.899999999999999" customHeight="1" x14ac:dyDescent="0.25">
      <c r="A395" t="str">
        <f t="shared" si="6"/>
        <v>9H29</v>
      </c>
      <c r="B395" s="46" t="s">
        <v>565</v>
      </c>
      <c r="C395" s="46" t="s">
        <v>576</v>
      </c>
      <c r="D395" s="46">
        <v>159</v>
      </c>
      <c r="E395" s="46" t="s">
        <v>195</v>
      </c>
      <c r="F395" s="46">
        <v>153</v>
      </c>
      <c r="G395" s="46" t="s">
        <v>198</v>
      </c>
      <c r="H395" s="46">
        <v>150</v>
      </c>
      <c r="I395" s="46" t="s">
        <v>195</v>
      </c>
      <c r="J395" s="48">
        <v>159</v>
      </c>
      <c r="K395">
        <v>32</v>
      </c>
      <c r="L395" t="s">
        <v>198</v>
      </c>
      <c r="P395">
        <v>1826</v>
      </c>
      <c r="Q395" t="s">
        <v>192</v>
      </c>
      <c r="R395">
        <v>1826</v>
      </c>
    </row>
    <row r="396" spans="1:18" ht="19.899999999999999" customHeight="1" x14ac:dyDescent="0.25">
      <c r="A396" t="str">
        <f t="shared" si="6"/>
        <v>9H#3DTR(A)</v>
      </c>
      <c r="B396" s="46" t="s">
        <v>565</v>
      </c>
      <c r="C396" s="46" t="s">
        <v>380</v>
      </c>
      <c r="D396" s="46">
        <v>602</v>
      </c>
      <c r="E396" s="46" t="s">
        <v>195</v>
      </c>
      <c r="F396" s="46">
        <v>534</v>
      </c>
      <c r="G396" s="46" t="s">
        <v>199</v>
      </c>
      <c r="H396" s="46">
        <v>634</v>
      </c>
      <c r="I396" s="46" t="s">
        <v>195</v>
      </c>
      <c r="J396" s="48">
        <v>634</v>
      </c>
      <c r="K396" t="s">
        <v>196</v>
      </c>
      <c r="L396" t="s">
        <v>196</v>
      </c>
      <c r="P396">
        <v>3910</v>
      </c>
      <c r="Q396">
        <v>2</v>
      </c>
      <c r="R396">
        <v>3912</v>
      </c>
    </row>
    <row r="397" spans="1:18" ht="19.899999999999999" customHeight="1" x14ac:dyDescent="0.25">
      <c r="A397" t="str">
        <f t="shared" si="6"/>
        <v>9H30</v>
      </c>
      <c r="B397" s="46" t="s">
        <v>565</v>
      </c>
      <c r="C397" s="46" t="s">
        <v>577</v>
      </c>
      <c r="D397" s="46">
        <v>0</v>
      </c>
      <c r="E397" s="46" t="s">
        <v>215</v>
      </c>
      <c r="F397" s="46">
        <v>0</v>
      </c>
      <c r="G397" s="46" t="s">
        <v>215</v>
      </c>
      <c r="H397" s="46">
        <v>0</v>
      </c>
      <c r="I397" s="46" t="s">
        <v>215</v>
      </c>
      <c r="J397" s="48">
        <v>0</v>
      </c>
      <c r="K397">
        <v>0</v>
      </c>
      <c r="L397" t="s">
        <v>215</v>
      </c>
      <c r="P397">
        <v>3829</v>
      </c>
      <c r="Q397">
        <v>2</v>
      </c>
      <c r="R397">
        <v>3831</v>
      </c>
    </row>
    <row r="398" spans="1:18" ht="19.899999999999999" customHeight="1" x14ac:dyDescent="0.25">
      <c r="A398" t="str">
        <f t="shared" si="6"/>
        <v>9H31</v>
      </c>
      <c r="B398" s="46" t="s">
        <v>565</v>
      </c>
      <c r="C398" s="46" t="s">
        <v>578</v>
      </c>
      <c r="D398" s="46">
        <v>126</v>
      </c>
      <c r="E398" s="46" t="s">
        <v>195</v>
      </c>
      <c r="F398" s="46">
        <v>133</v>
      </c>
      <c r="G398" s="46" t="s">
        <v>195</v>
      </c>
      <c r="H398" s="46">
        <v>144</v>
      </c>
      <c r="I398" s="46" t="s">
        <v>198</v>
      </c>
      <c r="J398" s="48">
        <v>144</v>
      </c>
      <c r="K398">
        <v>33</v>
      </c>
      <c r="L398" t="s">
        <v>198</v>
      </c>
      <c r="P398">
        <v>367</v>
      </c>
      <c r="Q398" t="s">
        <v>192</v>
      </c>
      <c r="R398">
        <v>367</v>
      </c>
    </row>
    <row r="399" spans="1:18" ht="19.899999999999999" customHeight="1" x14ac:dyDescent="0.25">
      <c r="A399" t="str">
        <f t="shared" si="6"/>
        <v>9H32</v>
      </c>
      <c r="B399" s="46" t="s">
        <v>565</v>
      </c>
      <c r="C399" s="46" t="s">
        <v>579</v>
      </c>
      <c r="D399" s="46">
        <v>140</v>
      </c>
      <c r="E399" s="46" t="s">
        <v>199</v>
      </c>
      <c r="F399" s="46">
        <v>150</v>
      </c>
      <c r="G399" s="46" t="s">
        <v>199</v>
      </c>
      <c r="H399" s="46">
        <v>142</v>
      </c>
      <c r="I399" s="46" t="s">
        <v>199</v>
      </c>
      <c r="J399" s="48">
        <v>150</v>
      </c>
      <c r="K399">
        <v>29</v>
      </c>
      <c r="L399" t="s">
        <v>213</v>
      </c>
      <c r="P399">
        <v>415</v>
      </c>
      <c r="Q399">
        <v>1</v>
      </c>
      <c r="R399">
        <v>416</v>
      </c>
    </row>
    <row r="400" spans="1:18" ht="19.899999999999999" customHeight="1" x14ac:dyDescent="0.25">
      <c r="A400" t="str">
        <f t="shared" si="6"/>
        <v>9H33</v>
      </c>
      <c r="B400" s="46" t="s">
        <v>565</v>
      </c>
      <c r="C400" s="46" t="s">
        <v>580</v>
      </c>
      <c r="D400" s="46">
        <v>105</v>
      </c>
      <c r="E400" s="46" t="s">
        <v>195</v>
      </c>
      <c r="F400" s="46">
        <v>81</v>
      </c>
      <c r="G400" s="46" t="s">
        <v>199</v>
      </c>
      <c r="H400" s="46">
        <v>97</v>
      </c>
      <c r="I400" s="46" t="s">
        <v>195</v>
      </c>
      <c r="J400" s="48">
        <v>105</v>
      </c>
      <c r="K400">
        <v>59</v>
      </c>
      <c r="L400" t="s">
        <v>200</v>
      </c>
      <c r="P400">
        <v>51</v>
      </c>
      <c r="Q400">
        <v>3</v>
      </c>
      <c r="R400">
        <v>54</v>
      </c>
    </row>
    <row r="401" spans="1:18" ht="19.899999999999999" customHeight="1" x14ac:dyDescent="0.25">
      <c r="A401" t="str">
        <f t="shared" si="6"/>
        <v>9H34</v>
      </c>
      <c r="B401" s="46" t="s">
        <v>565</v>
      </c>
      <c r="C401" s="46" t="s">
        <v>581</v>
      </c>
      <c r="D401" s="46">
        <v>95</v>
      </c>
      <c r="E401" s="46" t="s">
        <v>206</v>
      </c>
      <c r="F401" s="46">
        <v>92</v>
      </c>
      <c r="G401" s="46" t="s">
        <v>198</v>
      </c>
      <c r="H401" s="46">
        <v>99</v>
      </c>
      <c r="I401" s="46" t="s">
        <v>206</v>
      </c>
      <c r="J401" s="48">
        <v>99</v>
      </c>
      <c r="K401">
        <v>29</v>
      </c>
      <c r="L401" t="s">
        <v>277</v>
      </c>
      <c r="P401">
        <v>2185</v>
      </c>
      <c r="Q401">
        <v>4</v>
      </c>
      <c r="R401">
        <v>2189</v>
      </c>
    </row>
    <row r="402" spans="1:18" ht="19.899999999999999" customHeight="1" x14ac:dyDescent="0.25">
      <c r="A402" t="str">
        <f t="shared" si="6"/>
        <v>9H35</v>
      </c>
      <c r="B402" s="46" t="s">
        <v>565</v>
      </c>
      <c r="C402" s="46" t="s">
        <v>582</v>
      </c>
      <c r="D402" s="46">
        <v>205</v>
      </c>
      <c r="E402" s="46" t="s">
        <v>206</v>
      </c>
      <c r="F402" s="46">
        <v>148</v>
      </c>
      <c r="G402" s="46" t="s">
        <v>213</v>
      </c>
      <c r="H402" s="46">
        <v>207</v>
      </c>
      <c r="I402" s="46" t="s">
        <v>195</v>
      </c>
      <c r="J402" s="48">
        <v>207</v>
      </c>
      <c r="K402">
        <v>100</v>
      </c>
      <c r="L402" t="s">
        <v>195</v>
      </c>
      <c r="P402">
        <v>1239</v>
      </c>
      <c r="Q402">
        <v>2</v>
      </c>
      <c r="R402">
        <v>1241</v>
      </c>
    </row>
    <row r="403" spans="1:18" ht="19.899999999999999" customHeight="1" x14ac:dyDescent="0.25">
      <c r="A403" t="str">
        <f t="shared" si="6"/>
        <v>9H#3DTR(B)</v>
      </c>
      <c r="B403" s="46" t="s">
        <v>565</v>
      </c>
      <c r="C403" s="46" t="s">
        <v>384</v>
      </c>
      <c r="D403" s="46">
        <v>334</v>
      </c>
      <c r="E403" s="46" t="s">
        <v>199</v>
      </c>
      <c r="F403" s="46">
        <v>348</v>
      </c>
      <c r="G403" s="46" t="s">
        <v>195</v>
      </c>
      <c r="H403" s="46">
        <v>331</v>
      </c>
      <c r="I403" s="46" t="s">
        <v>199</v>
      </c>
      <c r="J403" s="48">
        <v>348</v>
      </c>
      <c r="K403" t="s">
        <v>196</v>
      </c>
      <c r="L403" t="s">
        <v>196</v>
      </c>
      <c r="P403">
        <v>1027</v>
      </c>
      <c r="Q403">
        <v>1</v>
      </c>
      <c r="R403">
        <v>1028</v>
      </c>
    </row>
    <row r="404" spans="1:18" ht="19.899999999999999" customHeight="1" x14ac:dyDescent="0.25">
      <c r="A404" t="str">
        <f t="shared" si="6"/>
        <v>9H36</v>
      </c>
      <c r="B404" s="46" t="s">
        <v>565</v>
      </c>
      <c r="C404" s="46" t="s">
        <v>583</v>
      </c>
      <c r="D404" s="46">
        <v>58</v>
      </c>
      <c r="E404" s="46" t="s">
        <v>204</v>
      </c>
      <c r="F404" s="46">
        <v>101</v>
      </c>
      <c r="G404" s="46" t="s">
        <v>195</v>
      </c>
      <c r="H404" s="46">
        <v>81</v>
      </c>
      <c r="I404" s="46" t="s">
        <v>200</v>
      </c>
      <c r="J404" s="48">
        <v>101</v>
      </c>
      <c r="K404">
        <v>59</v>
      </c>
      <c r="L404" t="s">
        <v>195</v>
      </c>
      <c r="P404" t="s">
        <v>192</v>
      </c>
      <c r="Q404" t="s">
        <v>192</v>
      </c>
      <c r="R404">
        <v>0</v>
      </c>
    </row>
    <row r="405" spans="1:18" ht="19.899999999999999" customHeight="1" x14ac:dyDescent="0.25">
      <c r="A405" t="str">
        <f t="shared" si="6"/>
        <v>9H37</v>
      </c>
      <c r="B405" s="46" t="s">
        <v>565</v>
      </c>
      <c r="C405" s="46" t="s">
        <v>584</v>
      </c>
      <c r="D405" s="46">
        <v>108</v>
      </c>
      <c r="E405" s="46" t="s">
        <v>199</v>
      </c>
      <c r="F405" s="46">
        <v>81</v>
      </c>
      <c r="G405" s="46" t="s">
        <v>199</v>
      </c>
      <c r="H405" s="46">
        <v>106</v>
      </c>
      <c r="I405" s="46" t="s">
        <v>199</v>
      </c>
      <c r="J405" s="48">
        <v>108</v>
      </c>
      <c r="K405">
        <v>0</v>
      </c>
      <c r="L405" t="s">
        <v>215</v>
      </c>
      <c r="P405">
        <v>3757</v>
      </c>
      <c r="Q405">
        <v>1</v>
      </c>
      <c r="R405">
        <v>3758</v>
      </c>
    </row>
    <row r="406" spans="1:18" ht="19.899999999999999" customHeight="1" x14ac:dyDescent="0.25">
      <c r="A406" t="str">
        <f t="shared" si="6"/>
        <v>9H38</v>
      </c>
      <c r="B406" s="46" t="s">
        <v>565</v>
      </c>
      <c r="C406" s="46" t="s">
        <v>585</v>
      </c>
      <c r="D406" s="46">
        <v>83</v>
      </c>
      <c r="E406" s="46" t="s">
        <v>206</v>
      </c>
      <c r="F406" s="46">
        <v>95</v>
      </c>
      <c r="G406" s="46" t="s">
        <v>206</v>
      </c>
      <c r="H406" s="46">
        <v>70</v>
      </c>
      <c r="I406" s="46" t="s">
        <v>199</v>
      </c>
      <c r="J406" s="48">
        <v>95</v>
      </c>
      <c r="K406">
        <v>54</v>
      </c>
      <c r="L406" t="s">
        <v>231</v>
      </c>
      <c r="P406">
        <v>760</v>
      </c>
      <c r="Q406">
        <v>2</v>
      </c>
      <c r="R406">
        <v>762</v>
      </c>
    </row>
    <row r="407" spans="1:18" ht="19.899999999999999" customHeight="1" x14ac:dyDescent="0.25">
      <c r="A407" t="str">
        <f t="shared" si="6"/>
        <v>9H39</v>
      </c>
      <c r="B407" s="46" t="s">
        <v>565</v>
      </c>
      <c r="C407" s="46" t="s">
        <v>586</v>
      </c>
      <c r="D407" s="46">
        <v>104</v>
      </c>
      <c r="E407" s="46" t="s">
        <v>204</v>
      </c>
      <c r="F407" s="46">
        <v>90</v>
      </c>
      <c r="G407" s="46" t="s">
        <v>204</v>
      </c>
      <c r="H407" s="46">
        <v>92</v>
      </c>
      <c r="I407" s="46" t="s">
        <v>204</v>
      </c>
      <c r="J407" s="48">
        <v>104</v>
      </c>
      <c r="K407">
        <v>27</v>
      </c>
      <c r="L407" t="s">
        <v>213</v>
      </c>
      <c r="P407">
        <v>2835</v>
      </c>
      <c r="Q407">
        <v>2</v>
      </c>
      <c r="R407">
        <v>2837</v>
      </c>
    </row>
    <row r="408" spans="1:18" ht="19.899999999999999" customHeight="1" x14ac:dyDescent="0.25">
      <c r="A408" t="str">
        <f t="shared" si="6"/>
        <v>IS#1MTR</v>
      </c>
      <c r="B408" s="46" t="s">
        <v>587</v>
      </c>
      <c r="C408" s="46" t="s">
        <v>194</v>
      </c>
      <c r="D408" s="46">
        <v>525</v>
      </c>
      <c r="E408" s="46" t="s">
        <v>195</v>
      </c>
      <c r="F408" s="46">
        <v>530</v>
      </c>
      <c r="G408" s="46" t="s">
        <v>195</v>
      </c>
      <c r="H408" s="46">
        <v>550</v>
      </c>
      <c r="I408" s="46" t="s">
        <v>195</v>
      </c>
      <c r="J408" s="48">
        <v>550</v>
      </c>
      <c r="K408" t="s">
        <v>196</v>
      </c>
      <c r="L408" t="s">
        <v>196</v>
      </c>
      <c r="P408">
        <v>2690</v>
      </c>
      <c r="Q408">
        <v>2</v>
      </c>
      <c r="R408">
        <v>2692</v>
      </c>
    </row>
    <row r="409" spans="1:18" ht="19.899999999999999" customHeight="1" x14ac:dyDescent="0.25">
      <c r="A409" t="str">
        <f t="shared" si="6"/>
        <v>IS20</v>
      </c>
      <c r="B409" s="46" t="s">
        <v>587</v>
      </c>
      <c r="C409" s="46" t="s">
        <v>588</v>
      </c>
      <c r="D409" s="46">
        <v>196</v>
      </c>
      <c r="E409" s="46" t="s">
        <v>195</v>
      </c>
      <c r="F409" s="46">
        <v>168</v>
      </c>
      <c r="G409" s="46" t="s">
        <v>195</v>
      </c>
      <c r="H409" s="46">
        <v>174</v>
      </c>
      <c r="I409" s="46" t="s">
        <v>195</v>
      </c>
      <c r="J409" s="48">
        <v>196</v>
      </c>
      <c r="K409">
        <v>50</v>
      </c>
      <c r="L409" t="s">
        <v>202</v>
      </c>
      <c r="P409">
        <v>980</v>
      </c>
      <c r="Q409">
        <v>1</v>
      </c>
      <c r="R409">
        <v>981</v>
      </c>
    </row>
    <row r="410" spans="1:18" ht="19.899999999999999" customHeight="1" x14ac:dyDescent="0.25">
      <c r="A410" t="str">
        <f t="shared" si="6"/>
        <v>IS21</v>
      </c>
      <c r="B410" s="46" t="s">
        <v>587</v>
      </c>
      <c r="C410" s="46" t="s">
        <v>589</v>
      </c>
      <c r="D410" s="46">
        <v>110</v>
      </c>
      <c r="E410" s="46" t="s">
        <v>195</v>
      </c>
      <c r="F410" s="46">
        <v>120</v>
      </c>
      <c r="G410" s="46" t="s">
        <v>195</v>
      </c>
      <c r="H410" s="46">
        <v>120</v>
      </c>
      <c r="I410" s="46" t="s">
        <v>206</v>
      </c>
      <c r="J410" s="48">
        <v>120</v>
      </c>
      <c r="K410">
        <v>40</v>
      </c>
      <c r="L410" t="s">
        <v>220</v>
      </c>
      <c r="P410">
        <v>2097</v>
      </c>
      <c r="Q410">
        <v>3</v>
      </c>
      <c r="R410">
        <v>2100</v>
      </c>
    </row>
    <row r="411" spans="1:18" ht="19.899999999999999" customHeight="1" x14ac:dyDescent="0.25">
      <c r="A411" t="str">
        <f t="shared" si="6"/>
        <v>IS22</v>
      </c>
      <c r="B411" s="46" t="s">
        <v>587</v>
      </c>
      <c r="C411" s="46" t="s">
        <v>590</v>
      </c>
      <c r="D411" s="46">
        <v>136</v>
      </c>
      <c r="E411" s="46" t="s">
        <v>195</v>
      </c>
      <c r="F411" s="46">
        <v>151</v>
      </c>
      <c r="G411" s="46" t="s">
        <v>195</v>
      </c>
      <c r="H411" s="46">
        <v>158</v>
      </c>
      <c r="I411" s="46" t="s">
        <v>195</v>
      </c>
      <c r="J411" s="48">
        <v>158</v>
      </c>
      <c r="K411">
        <v>42</v>
      </c>
      <c r="L411" t="s">
        <v>231</v>
      </c>
      <c r="P411">
        <v>1793</v>
      </c>
      <c r="Q411">
        <v>2</v>
      </c>
      <c r="R411">
        <v>1795</v>
      </c>
    </row>
    <row r="412" spans="1:18" ht="19.899999999999999" customHeight="1" x14ac:dyDescent="0.25">
      <c r="A412" t="str">
        <f t="shared" si="6"/>
        <v>IS27</v>
      </c>
      <c r="B412" s="46" t="s">
        <v>587</v>
      </c>
      <c r="C412" s="46" t="s">
        <v>591</v>
      </c>
      <c r="D412" s="46">
        <v>68</v>
      </c>
      <c r="E412" s="46" t="s">
        <v>222</v>
      </c>
      <c r="F412" s="46">
        <v>66</v>
      </c>
      <c r="G412" s="46" t="s">
        <v>195</v>
      </c>
      <c r="H412" s="46">
        <v>59</v>
      </c>
      <c r="I412" s="46" t="s">
        <v>206</v>
      </c>
      <c r="J412" s="48">
        <v>68</v>
      </c>
      <c r="K412">
        <v>16</v>
      </c>
      <c r="L412" t="s">
        <v>222</v>
      </c>
      <c r="P412" t="s">
        <v>192</v>
      </c>
      <c r="Q412" t="s">
        <v>192</v>
      </c>
      <c r="R412">
        <v>0</v>
      </c>
    </row>
    <row r="413" spans="1:18" ht="19.899999999999999" customHeight="1" x14ac:dyDescent="0.25">
      <c r="A413" t="str">
        <f t="shared" si="6"/>
        <v>IS29</v>
      </c>
      <c r="B413" s="46" t="s">
        <v>587</v>
      </c>
      <c r="C413" s="46" t="s">
        <v>592</v>
      </c>
      <c r="D413" s="46">
        <v>50</v>
      </c>
      <c r="E413" s="46" t="s">
        <v>213</v>
      </c>
      <c r="F413" s="46">
        <v>47</v>
      </c>
      <c r="G413" s="46" t="s">
        <v>213</v>
      </c>
      <c r="H413" s="46">
        <v>39</v>
      </c>
      <c r="I413" s="46" t="s">
        <v>302</v>
      </c>
      <c r="J413" s="48">
        <v>50</v>
      </c>
      <c r="K413">
        <v>16</v>
      </c>
      <c r="L413" t="s">
        <v>204</v>
      </c>
      <c r="P413">
        <v>692</v>
      </c>
      <c r="Q413">
        <v>4</v>
      </c>
      <c r="R413">
        <v>696</v>
      </c>
    </row>
    <row r="414" spans="1:18" ht="19.899999999999999" customHeight="1" x14ac:dyDescent="0.25">
      <c r="A414" t="str">
        <f t="shared" si="6"/>
        <v>IS#2MTR</v>
      </c>
      <c r="B414" s="46" t="s">
        <v>587</v>
      </c>
      <c r="C414" s="46" t="s">
        <v>209</v>
      </c>
      <c r="D414" s="46">
        <v>380</v>
      </c>
      <c r="E414" s="46" t="s">
        <v>195</v>
      </c>
      <c r="F414" s="46">
        <v>377</v>
      </c>
      <c r="G414" s="46" t="s">
        <v>222</v>
      </c>
      <c r="H414" s="46">
        <v>385</v>
      </c>
      <c r="I414" s="46" t="s">
        <v>195</v>
      </c>
      <c r="J414" s="48">
        <v>385</v>
      </c>
      <c r="K414" t="s">
        <v>196</v>
      </c>
      <c r="L414" t="s">
        <v>196</v>
      </c>
      <c r="P414">
        <v>1408</v>
      </c>
      <c r="Q414">
        <v>3</v>
      </c>
      <c r="R414">
        <v>1411</v>
      </c>
    </row>
    <row r="415" spans="1:18" ht="19.899999999999999" customHeight="1" x14ac:dyDescent="0.25">
      <c r="A415" t="str">
        <f t="shared" si="6"/>
        <v>IS26</v>
      </c>
      <c r="B415" s="46" t="s">
        <v>587</v>
      </c>
      <c r="C415" s="46" t="s">
        <v>593</v>
      </c>
      <c r="D415" s="46">
        <v>152</v>
      </c>
      <c r="E415" s="46" t="s">
        <v>222</v>
      </c>
      <c r="F415" s="46">
        <v>159</v>
      </c>
      <c r="G415" s="46" t="s">
        <v>222</v>
      </c>
      <c r="H415" s="46">
        <v>159</v>
      </c>
      <c r="I415" s="46" t="s">
        <v>222</v>
      </c>
      <c r="J415" s="48">
        <v>159</v>
      </c>
      <c r="K415">
        <v>24</v>
      </c>
      <c r="L415" t="s">
        <v>200</v>
      </c>
      <c r="P415">
        <v>2126</v>
      </c>
      <c r="Q415">
        <v>6</v>
      </c>
      <c r="R415">
        <v>2132</v>
      </c>
    </row>
    <row r="416" spans="1:18" ht="19.899999999999999" customHeight="1" x14ac:dyDescent="0.25">
      <c r="A416" t="str">
        <f t="shared" si="6"/>
        <v>IS25</v>
      </c>
      <c r="B416" s="46" t="s">
        <v>587</v>
      </c>
      <c r="C416" s="46" t="s">
        <v>594</v>
      </c>
      <c r="D416" s="46">
        <v>52</v>
      </c>
      <c r="E416" s="46" t="s">
        <v>213</v>
      </c>
      <c r="F416" s="46">
        <v>47</v>
      </c>
      <c r="G416" s="46" t="s">
        <v>213</v>
      </c>
      <c r="H416" s="46">
        <v>62</v>
      </c>
      <c r="I416" s="46" t="s">
        <v>213</v>
      </c>
      <c r="J416" s="48">
        <v>62</v>
      </c>
      <c r="K416">
        <v>20</v>
      </c>
      <c r="L416" t="s">
        <v>302</v>
      </c>
      <c r="P416">
        <v>1753</v>
      </c>
      <c r="Q416">
        <v>7</v>
      </c>
      <c r="R416">
        <v>1760</v>
      </c>
    </row>
    <row r="417" spans="1:18" ht="19.899999999999999" customHeight="1" x14ac:dyDescent="0.25">
      <c r="A417" t="str">
        <f t="shared" si="6"/>
        <v>IS23</v>
      </c>
      <c r="B417" s="46" t="s">
        <v>587</v>
      </c>
      <c r="C417" s="46" t="s">
        <v>595</v>
      </c>
      <c r="D417" s="46">
        <v>183</v>
      </c>
      <c r="E417" s="46" t="s">
        <v>222</v>
      </c>
      <c r="F417" s="46">
        <v>166</v>
      </c>
      <c r="G417" s="46" t="s">
        <v>222</v>
      </c>
      <c r="H417" s="46">
        <v>169</v>
      </c>
      <c r="I417" s="46" t="s">
        <v>222</v>
      </c>
      <c r="J417" s="48">
        <v>183</v>
      </c>
      <c r="K417">
        <v>26</v>
      </c>
      <c r="L417" t="s">
        <v>222</v>
      </c>
      <c r="P417">
        <v>1783</v>
      </c>
      <c r="Q417">
        <v>4</v>
      </c>
      <c r="R417">
        <v>1787</v>
      </c>
    </row>
    <row r="418" spans="1:18" ht="19.899999999999999" customHeight="1" x14ac:dyDescent="0.25">
      <c r="A418" t="str">
        <f t="shared" si="6"/>
        <v>IS24</v>
      </c>
      <c r="B418" s="46" t="s">
        <v>587</v>
      </c>
      <c r="C418" s="46" t="s">
        <v>596</v>
      </c>
      <c r="D418" s="46">
        <v>84</v>
      </c>
      <c r="E418" s="46" t="s">
        <v>195</v>
      </c>
      <c r="F418" s="46">
        <v>67</v>
      </c>
      <c r="G418" s="46" t="s">
        <v>195</v>
      </c>
      <c r="H418" s="46">
        <v>72</v>
      </c>
      <c r="I418" s="46" t="s">
        <v>195</v>
      </c>
      <c r="J418" s="48">
        <v>84</v>
      </c>
      <c r="K418">
        <v>31</v>
      </c>
      <c r="L418" t="s">
        <v>199</v>
      </c>
      <c r="P418">
        <v>122</v>
      </c>
      <c r="Q418">
        <v>1</v>
      </c>
      <c r="R418">
        <v>123</v>
      </c>
    </row>
    <row r="419" spans="1:18" ht="19.899999999999999" customHeight="1" x14ac:dyDescent="0.25">
      <c r="A419" t="str">
        <f t="shared" si="6"/>
        <v>IS28</v>
      </c>
      <c r="B419" s="46" t="s">
        <v>587</v>
      </c>
      <c r="C419" s="46" t="s">
        <v>597</v>
      </c>
      <c r="D419" s="46">
        <v>86</v>
      </c>
      <c r="E419" s="46" t="s">
        <v>222</v>
      </c>
      <c r="F419" s="46">
        <v>79</v>
      </c>
      <c r="G419" s="46" t="s">
        <v>222</v>
      </c>
      <c r="H419" s="46">
        <v>79</v>
      </c>
      <c r="I419" s="46" t="s">
        <v>222</v>
      </c>
      <c r="J419" s="48">
        <v>86</v>
      </c>
      <c r="K419">
        <v>21</v>
      </c>
      <c r="L419" t="s">
        <v>199</v>
      </c>
      <c r="P419">
        <v>332</v>
      </c>
      <c r="Q419">
        <v>3</v>
      </c>
      <c r="R419">
        <v>335</v>
      </c>
    </row>
    <row r="420" spans="1:18" ht="19.899999999999999" customHeight="1" x14ac:dyDescent="0.25">
      <c r="A420" t="str">
        <f t="shared" si="6"/>
        <v>IS#3MTR</v>
      </c>
      <c r="B420" s="46" t="s">
        <v>587</v>
      </c>
      <c r="C420" s="46" t="s">
        <v>217</v>
      </c>
      <c r="D420" s="46">
        <v>13</v>
      </c>
      <c r="E420" s="46" t="s">
        <v>215</v>
      </c>
      <c r="F420" s="46">
        <v>13</v>
      </c>
      <c r="G420" s="46" t="s">
        <v>215</v>
      </c>
      <c r="H420" s="46">
        <v>13</v>
      </c>
      <c r="I420" s="46" t="s">
        <v>215</v>
      </c>
      <c r="J420" s="48">
        <v>13</v>
      </c>
      <c r="K420" t="s">
        <v>196</v>
      </c>
      <c r="L420" t="s">
        <v>196</v>
      </c>
      <c r="P420">
        <v>1082</v>
      </c>
      <c r="Q420">
        <v>1</v>
      </c>
      <c r="R420">
        <v>1083</v>
      </c>
    </row>
    <row r="421" spans="1:18" ht="19.899999999999999" customHeight="1" x14ac:dyDescent="0.25">
      <c r="A421" t="str">
        <f t="shared" si="6"/>
        <v>ISA0</v>
      </c>
      <c r="B421" s="46" t="s">
        <v>587</v>
      </c>
      <c r="C421" s="46" t="s">
        <v>598</v>
      </c>
      <c r="D421" s="46">
        <v>0</v>
      </c>
      <c r="E421" s="46" t="s">
        <v>215</v>
      </c>
      <c r="F421" s="46">
        <v>0</v>
      </c>
      <c r="G421" s="46" t="s">
        <v>215</v>
      </c>
      <c r="H421" s="46">
        <v>0</v>
      </c>
      <c r="I421" s="46" t="s">
        <v>215</v>
      </c>
      <c r="J421" s="48">
        <v>0</v>
      </c>
      <c r="K421">
        <v>0</v>
      </c>
      <c r="L421" t="s">
        <v>215</v>
      </c>
      <c r="P421">
        <v>748</v>
      </c>
      <c r="Q421">
        <v>4</v>
      </c>
      <c r="R421">
        <v>752</v>
      </c>
    </row>
    <row r="422" spans="1:18" ht="19.899999999999999" customHeight="1" x14ac:dyDescent="0.25">
      <c r="A422" t="str">
        <f t="shared" si="6"/>
        <v>ISA1</v>
      </c>
      <c r="B422" s="46" t="s">
        <v>587</v>
      </c>
      <c r="C422" s="46" t="s">
        <v>599</v>
      </c>
      <c r="D422" s="46">
        <v>4</v>
      </c>
      <c r="E422" s="46" t="s">
        <v>202</v>
      </c>
      <c r="F422" s="46">
        <v>4</v>
      </c>
      <c r="G422" s="46" t="s">
        <v>215</v>
      </c>
      <c r="H422" s="46">
        <v>4</v>
      </c>
      <c r="I422" s="46" t="s">
        <v>215</v>
      </c>
      <c r="J422" s="48">
        <v>4</v>
      </c>
      <c r="K422">
        <v>0</v>
      </c>
      <c r="L422" t="s">
        <v>215</v>
      </c>
      <c r="P422">
        <v>488</v>
      </c>
      <c r="Q422">
        <v>2</v>
      </c>
      <c r="R422">
        <v>490</v>
      </c>
    </row>
    <row r="423" spans="1:18" ht="19.899999999999999" customHeight="1" x14ac:dyDescent="0.25">
      <c r="A423" t="str">
        <f t="shared" si="6"/>
        <v>IS32</v>
      </c>
      <c r="B423" s="46" t="s">
        <v>587</v>
      </c>
      <c r="C423" s="46" t="s">
        <v>600</v>
      </c>
      <c r="D423" s="46">
        <v>3</v>
      </c>
      <c r="E423" s="46" t="s">
        <v>215</v>
      </c>
      <c r="F423" s="46">
        <v>3</v>
      </c>
      <c r="G423" s="46" t="s">
        <v>215</v>
      </c>
      <c r="H423" s="46">
        <v>3</v>
      </c>
      <c r="I423" s="46" t="s">
        <v>215</v>
      </c>
      <c r="J423" s="48">
        <v>3</v>
      </c>
      <c r="K423">
        <v>0</v>
      </c>
      <c r="L423" t="s">
        <v>215</v>
      </c>
      <c r="P423">
        <v>1337</v>
      </c>
      <c r="Q423">
        <v>4</v>
      </c>
      <c r="R423">
        <v>1341</v>
      </c>
    </row>
    <row r="424" spans="1:18" ht="19.899999999999999" customHeight="1" x14ac:dyDescent="0.25">
      <c r="A424" t="str">
        <f t="shared" si="6"/>
        <v>IS31</v>
      </c>
      <c r="B424" s="46" t="s">
        <v>587</v>
      </c>
      <c r="C424" s="46" t="s">
        <v>601</v>
      </c>
      <c r="D424" s="46">
        <v>3</v>
      </c>
      <c r="E424" s="46" t="s">
        <v>215</v>
      </c>
      <c r="F424" s="46">
        <v>3</v>
      </c>
      <c r="G424" s="46" t="s">
        <v>572</v>
      </c>
      <c r="H424" s="46">
        <v>3</v>
      </c>
      <c r="I424" s="46" t="s">
        <v>215</v>
      </c>
      <c r="J424" s="48">
        <v>3</v>
      </c>
      <c r="K424">
        <v>0</v>
      </c>
      <c r="L424" t="s">
        <v>215</v>
      </c>
      <c r="P424">
        <v>1620</v>
      </c>
      <c r="Q424">
        <v>3</v>
      </c>
      <c r="R424">
        <v>1623</v>
      </c>
    </row>
    <row r="425" spans="1:18" ht="19.899999999999999" customHeight="1" x14ac:dyDescent="0.25">
      <c r="A425" t="str">
        <f t="shared" si="6"/>
        <v>IS30</v>
      </c>
      <c r="B425" s="46" t="s">
        <v>587</v>
      </c>
      <c r="C425" s="46" t="s">
        <v>602</v>
      </c>
      <c r="D425" s="46">
        <v>0</v>
      </c>
      <c r="E425" s="46" t="s">
        <v>215</v>
      </c>
      <c r="F425" s="46">
        <v>0</v>
      </c>
      <c r="G425" s="46" t="s">
        <v>215</v>
      </c>
      <c r="H425" s="46">
        <v>0</v>
      </c>
      <c r="I425" s="46" t="s">
        <v>215</v>
      </c>
      <c r="J425" s="48">
        <v>0</v>
      </c>
      <c r="K425">
        <v>0</v>
      </c>
      <c r="L425" t="s">
        <v>215</v>
      </c>
      <c r="P425">
        <v>3232</v>
      </c>
      <c r="Q425">
        <v>2</v>
      </c>
      <c r="R425">
        <v>3234</v>
      </c>
    </row>
    <row r="426" spans="1:18" ht="19.899999999999999" customHeight="1" x14ac:dyDescent="0.25">
      <c r="A426" t="str">
        <f t="shared" si="6"/>
        <v>9F#1DTR</v>
      </c>
      <c r="B426" s="46" t="s">
        <v>603</v>
      </c>
      <c r="C426" s="46" t="s">
        <v>366</v>
      </c>
      <c r="D426" s="46">
        <v>937</v>
      </c>
      <c r="E426" s="46" t="s">
        <v>199</v>
      </c>
      <c r="F426" s="46">
        <v>927</v>
      </c>
      <c r="G426" s="46" t="s">
        <v>199</v>
      </c>
      <c r="H426" s="46">
        <v>936</v>
      </c>
      <c r="I426" s="46" t="s">
        <v>199</v>
      </c>
      <c r="J426" s="48">
        <v>937</v>
      </c>
      <c r="K426" t="s">
        <v>196</v>
      </c>
      <c r="L426" t="s">
        <v>196</v>
      </c>
      <c r="P426">
        <v>1184</v>
      </c>
      <c r="Q426">
        <v>1</v>
      </c>
      <c r="R426">
        <v>1185</v>
      </c>
    </row>
    <row r="427" spans="1:18" ht="19.899999999999999" customHeight="1" x14ac:dyDescent="0.25">
      <c r="A427" t="str">
        <f t="shared" si="6"/>
        <v>9F51</v>
      </c>
      <c r="B427" s="46" t="s">
        <v>603</v>
      </c>
      <c r="C427" s="46" t="s">
        <v>604</v>
      </c>
      <c r="D427" s="46">
        <v>143</v>
      </c>
      <c r="E427" s="46" t="s">
        <v>224</v>
      </c>
      <c r="F427" s="46">
        <v>143</v>
      </c>
      <c r="G427" s="46" t="s">
        <v>224</v>
      </c>
      <c r="H427" s="46">
        <v>145</v>
      </c>
      <c r="I427" s="46" t="s">
        <v>224</v>
      </c>
      <c r="J427" s="48">
        <v>145</v>
      </c>
      <c r="K427">
        <v>0</v>
      </c>
      <c r="L427" t="s">
        <v>215</v>
      </c>
      <c r="P427">
        <v>1210</v>
      </c>
      <c r="Q427">
        <v>2</v>
      </c>
      <c r="R427">
        <v>1212</v>
      </c>
    </row>
    <row r="428" spans="1:18" ht="19.899999999999999" customHeight="1" x14ac:dyDescent="0.25">
      <c r="A428" t="str">
        <f t="shared" si="6"/>
        <v>9F52</v>
      </c>
      <c r="B428" s="46" t="s">
        <v>603</v>
      </c>
      <c r="C428" s="46" t="s">
        <v>605</v>
      </c>
      <c r="D428" s="46">
        <v>139</v>
      </c>
      <c r="E428" s="46" t="s">
        <v>199</v>
      </c>
      <c r="F428" s="46">
        <v>133</v>
      </c>
      <c r="G428" s="46" t="s">
        <v>199</v>
      </c>
      <c r="H428" s="46">
        <v>140</v>
      </c>
      <c r="I428" s="46" t="s">
        <v>199</v>
      </c>
      <c r="J428" s="48">
        <v>140</v>
      </c>
      <c r="K428">
        <v>0</v>
      </c>
      <c r="L428" t="s">
        <v>215</v>
      </c>
      <c r="P428" t="s">
        <v>192</v>
      </c>
      <c r="Q428" t="s">
        <v>192</v>
      </c>
      <c r="R428">
        <v>0</v>
      </c>
    </row>
    <row r="429" spans="1:18" ht="19.899999999999999" customHeight="1" x14ac:dyDescent="0.25">
      <c r="A429" t="str">
        <f t="shared" si="6"/>
        <v>9F53</v>
      </c>
      <c r="B429" s="46" t="s">
        <v>603</v>
      </c>
      <c r="C429" s="46" t="s">
        <v>606</v>
      </c>
      <c r="D429" s="46">
        <v>103</v>
      </c>
      <c r="E429" s="46" t="s">
        <v>199</v>
      </c>
      <c r="F429" s="46">
        <v>101</v>
      </c>
      <c r="G429" s="46" t="s">
        <v>199</v>
      </c>
      <c r="H429" s="46">
        <v>101</v>
      </c>
      <c r="I429" s="46" t="s">
        <v>199</v>
      </c>
      <c r="J429" s="48">
        <v>103</v>
      </c>
      <c r="K429">
        <v>0</v>
      </c>
      <c r="L429" t="s">
        <v>215</v>
      </c>
      <c r="P429">
        <v>1300</v>
      </c>
      <c r="Q429">
        <v>6</v>
      </c>
      <c r="R429">
        <v>1306</v>
      </c>
    </row>
    <row r="430" spans="1:18" ht="19.899999999999999" customHeight="1" x14ac:dyDescent="0.25">
      <c r="A430" t="str">
        <f t="shared" si="6"/>
        <v>9F54</v>
      </c>
      <c r="B430" s="46" t="s">
        <v>603</v>
      </c>
      <c r="C430" s="46" t="s">
        <v>607</v>
      </c>
      <c r="D430" s="46">
        <v>142</v>
      </c>
      <c r="E430" s="46" t="s">
        <v>199</v>
      </c>
      <c r="F430" s="46">
        <v>142</v>
      </c>
      <c r="G430" s="46" t="s">
        <v>199</v>
      </c>
      <c r="H430" s="46">
        <v>143</v>
      </c>
      <c r="I430" s="46" t="s">
        <v>199</v>
      </c>
      <c r="J430" s="48">
        <v>143</v>
      </c>
      <c r="K430">
        <v>0</v>
      </c>
      <c r="L430" t="s">
        <v>215</v>
      </c>
      <c r="P430">
        <v>149</v>
      </c>
      <c r="Q430">
        <v>1</v>
      </c>
      <c r="R430">
        <v>150</v>
      </c>
    </row>
    <row r="431" spans="1:18" ht="19.899999999999999" customHeight="1" x14ac:dyDescent="0.25">
      <c r="A431" t="str">
        <f t="shared" si="6"/>
        <v>9F55</v>
      </c>
      <c r="B431" s="46" t="s">
        <v>603</v>
      </c>
      <c r="C431" s="46" t="s">
        <v>608</v>
      </c>
      <c r="D431" s="46">
        <v>88</v>
      </c>
      <c r="E431" s="46" t="s">
        <v>572</v>
      </c>
      <c r="F431" s="46">
        <v>88</v>
      </c>
      <c r="G431" s="46" t="s">
        <v>572</v>
      </c>
      <c r="H431" s="46">
        <v>87</v>
      </c>
      <c r="I431" s="46" t="s">
        <v>572</v>
      </c>
      <c r="J431" s="48">
        <v>88</v>
      </c>
      <c r="K431">
        <v>0</v>
      </c>
      <c r="L431" t="s">
        <v>215</v>
      </c>
      <c r="P431">
        <v>926</v>
      </c>
      <c r="Q431">
        <v>4</v>
      </c>
      <c r="R431">
        <v>930</v>
      </c>
    </row>
    <row r="432" spans="1:18" ht="19.899999999999999" customHeight="1" x14ac:dyDescent="0.25">
      <c r="A432" t="str">
        <f t="shared" si="6"/>
        <v>9F56</v>
      </c>
      <c r="B432" s="46" t="s">
        <v>603</v>
      </c>
      <c r="C432" s="46" t="s">
        <v>609</v>
      </c>
      <c r="D432" s="46">
        <v>131</v>
      </c>
      <c r="E432" s="46" t="s">
        <v>202</v>
      </c>
      <c r="F432" s="46">
        <v>129</v>
      </c>
      <c r="G432" s="46" t="s">
        <v>202</v>
      </c>
      <c r="H432" s="46">
        <v>132</v>
      </c>
      <c r="I432" s="46" t="s">
        <v>202</v>
      </c>
      <c r="J432" s="48">
        <v>132</v>
      </c>
      <c r="K432">
        <v>0</v>
      </c>
      <c r="L432" t="s">
        <v>215</v>
      </c>
      <c r="P432">
        <v>2707</v>
      </c>
      <c r="Q432">
        <v>8</v>
      </c>
      <c r="R432">
        <v>2715</v>
      </c>
    </row>
    <row r="433" spans="1:18" ht="19.899999999999999" customHeight="1" x14ac:dyDescent="0.25">
      <c r="A433" t="str">
        <f t="shared" si="6"/>
        <v>9F57</v>
      </c>
      <c r="B433" s="46" t="s">
        <v>603</v>
      </c>
      <c r="C433" s="46" t="s">
        <v>610</v>
      </c>
      <c r="D433" s="46">
        <v>219</v>
      </c>
      <c r="E433" s="46" t="s">
        <v>199</v>
      </c>
      <c r="F433" s="46">
        <v>227</v>
      </c>
      <c r="G433" s="46" t="s">
        <v>199</v>
      </c>
      <c r="H433" s="46">
        <v>224</v>
      </c>
      <c r="I433" s="46" t="s">
        <v>199</v>
      </c>
      <c r="J433" s="48">
        <v>227</v>
      </c>
      <c r="K433">
        <v>0</v>
      </c>
      <c r="L433" t="s">
        <v>215</v>
      </c>
      <c r="P433">
        <v>324</v>
      </c>
      <c r="Q433" t="s">
        <v>192</v>
      </c>
      <c r="R433">
        <v>324</v>
      </c>
    </row>
    <row r="434" spans="1:18" ht="19.899999999999999" customHeight="1" x14ac:dyDescent="0.25">
      <c r="A434" t="str">
        <f t="shared" si="6"/>
        <v>9F58</v>
      </c>
      <c r="B434" s="46" t="s">
        <v>603</v>
      </c>
      <c r="C434" s="46" t="s">
        <v>611</v>
      </c>
      <c r="D434" s="46">
        <v>161</v>
      </c>
      <c r="E434" s="46" t="s">
        <v>202</v>
      </c>
      <c r="F434" s="46">
        <v>160</v>
      </c>
      <c r="G434" s="46" t="s">
        <v>202</v>
      </c>
      <c r="H434" s="46">
        <v>161</v>
      </c>
      <c r="I434" s="46" t="s">
        <v>202</v>
      </c>
      <c r="J434" s="48">
        <v>161</v>
      </c>
      <c r="K434">
        <v>0</v>
      </c>
      <c r="L434" t="s">
        <v>215</v>
      </c>
      <c r="P434" t="s">
        <v>192</v>
      </c>
      <c r="Q434" t="s">
        <v>192</v>
      </c>
      <c r="R434">
        <v>0</v>
      </c>
    </row>
    <row r="435" spans="1:18" ht="19.899999999999999" customHeight="1" x14ac:dyDescent="0.25">
      <c r="A435" t="str">
        <f t="shared" si="6"/>
        <v>9F#2DTR(A)</v>
      </c>
      <c r="B435" s="46" t="s">
        <v>603</v>
      </c>
      <c r="C435" s="46" t="s">
        <v>289</v>
      </c>
      <c r="D435" s="46">
        <v>268</v>
      </c>
      <c r="E435" s="46" t="s">
        <v>215</v>
      </c>
      <c r="F435" s="46">
        <v>265</v>
      </c>
      <c r="G435" s="46" t="s">
        <v>215</v>
      </c>
      <c r="H435" s="46">
        <v>268</v>
      </c>
      <c r="I435" s="46" t="s">
        <v>215</v>
      </c>
      <c r="J435" s="48">
        <v>268</v>
      </c>
      <c r="K435" t="s">
        <v>196</v>
      </c>
      <c r="L435" t="s">
        <v>196</v>
      </c>
      <c r="P435">
        <v>655</v>
      </c>
      <c r="Q435">
        <v>3</v>
      </c>
      <c r="R435">
        <v>658</v>
      </c>
    </row>
    <row r="436" spans="1:18" ht="19.899999999999999" customHeight="1" x14ac:dyDescent="0.25">
      <c r="A436" t="str">
        <f t="shared" si="6"/>
        <v>9F61</v>
      </c>
      <c r="B436" s="46" t="s">
        <v>603</v>
      </c>
      <c r="C436" s="46" t="s">
        <v>612</v>
      </c>
      <c r="D436" s="46">
        <v>30</v>
      </c>
      <c r="E436" s="46" t="s">
        <v>277</v>
      </c>
      <c r="F436" s="46">
        <v>36</v>
      </c>
      <c r="G436" s="46" t="s">
        <v>204</v>
      </c>
      <c r="H436" s="46">
        <v>33</v>
      </c>
      <c r="I436" s="46" t="s">
        <v>204</v>
      </c>
      <c r="J436" s="48">
        <v>36</v>
      </c>
      <c r="K436">
        <v>0</v>
      </c>
      <c r="L436" t="s">
        <v>215</v>
      </c>
      <c r="P436">
        <v>1088</v>
      </c>
      <c r="Q436">
        <v>5</v>
      </c>
      <c r="R436">
        <v>1093</v>
      </c>
    </row>
    <row r="437" spans="1:18" ht="19.899999999999999" customHeight="1" x14ac:dyDescent="0.25">
      <c r="A437" t="str">
        <f t="shared" si="6"/>
        <v>9F62</v>
      </c>
      <c r="B437" s="46" t="s">
        <v>603</v>
      </c>
      <c r="C437" s="46" t="s">
        <v>613</v>
      </c>
      <c r="D437" s="46">
        <v>138</v>
      </c>
      <c r="E437" s="46" t="s">
        <v>224</v>
      </c>
      <c r="F437" s="46">
        <v>138</v>
      </c>
      <c r="G437" s="46" t="s">
        <v>224</v>
      </c>
      <c r="H437" s="46">
        <v>138</v>
      </c>
      <c r="I437" s="46" t="s">
        <v>224</v>
      </c>
      <c r="J437" s="48">
        <v>138</v>
      </c>
      <c r="K437">
        <v>0</v>
      </c>
      <c r="L437" t="s">
        <v>215</v>
      </c>
      <c r="P437">
        <v>518</v>
      </c>
      <c r="Q437">
        <v>4</v>
      </c>
      <c r="R437">
        <v>522</v>
      </c>
    </row>
    <row r="438" spans="1:18" ht="19.899999999999999" customHeight="1" x14ac:dyDescent="0.25">
      <c r="A438" t="str">
        <f t="shared" si="6"/>
        <v>9F63</v>
      </c>
      <c r="B438" s="46" t="s">
        <v>603</v>
      </c>
      <c r="C438" s="46" t="s">
        <v>614</v>
      </c>
      <c r="D438" s="46">
        <v>144</v>
      </c>
      <c r="E438" s="46" t="s">
        <v>199</v>
      </c>
      <c r="F438" s="46">
        <v>143</v>
      </c>
      <c r="G438" s="46" t="s">
        <v>199</v>
      </c>
      <c r="H438" s="46">
        <v>146</v>
      </c>
      <c r="I438" s="46" t="s">
        <v>199</v>
      </c>
      <c r="J438" s="48">
        <v>146</v>
      </c>
      <c r="K438">
        <v>0</v>
      </c>
      <c r="L438" t="s">
        <v>215</v>
      </c>
      <c r="P438">
        <v>1269</v>
      </c>
      <c r="Q438">
        <v>4</v>
      </c>
      <c r="R438">
        <v>1273</v>
      </c>
    </row>
    <row r="439" spans="1:18" ht="19.899999999999999" customHeight="1" x14ac:dyDescent="0.25">
      <c r="A439" t="str">
        <f t="shared" si="6"/>
        <v>9F64</v>
      </c>
      <c r="B439" s="46" t="s">
        <v>603</v>
      </c>
      <c r="C439" s="46" t="s">
        <v>615</v>
      </c>
      <c r="D439" s="46">
        <v>51</v>
      </c>
      <c r="E439" s="46" t="s">
        <v>215</v>
      </c>
      <c r="F439" s="46">
        <v>49</v>
      </c>
      <c r="G439" s="46" t="s">
        <v>215</v>
      </c>
      <c r="H439" s="46">
        <v>49</v>
      </c>
      <c r="I439" s="46" t="s">
        <v>215</v>
      </c>
      <c r="J439" s="48">
        <v>51</v>
      </c>
      <c r="K439">
        <v>0</v>
      </c>
      <c r="L439" t="s">
        <v>215</v>
      </c>
      <c r="P439">
        <v>2177</v>
      </c>
      <c r="Q439">
        <v>2</v>
      </c>
      <c r="R439">
        <v>2179</v>
      </c>
    </row>
    <row r="440" spans="1:18" ht="19.899999999999999" customHeight="1" x14ac:dyDescent="0.25">
      <c r="A440" t="str">
        <f t="shared" si="6"/>
        <v>9F#2DTR(B)</v>
      </c>
      <c r="B440" s="46" t="s">
        <v>603</v>
      </c>
      <c r="C440" s="46" t="s">
        <v>300</v>
      </c>
      <c r="D440" s="46">
        <v>348</v>
      </c>
      <c r="E440" s="46" t="s">
        <v>268</v>
      </c>
      <c r="F440" s="46">
        <v>357</v>
      </c>
      <c r="G440" s="46" t="s">
        <v>268</v>
      </c>
      <c r="H440" s="46">
        <v>366</v>
      </c>
      <c r="I440" s="46" t="s">
        <v>268</v>
      </c>
      <c r="J440" s="48">
        <v>366</v>
      </c>
      <c r="K440" t="s">
        <v>196</v>
      </c>
      <c r="L440" t="s">
        <v>196</v>
      </c>
      <c r="P440">
        <v>1866</v>
      </c>
      <c r="Q440">
        <v>2</v>
      </c>
      <c r="R440">
        <v>1868</v>
      </c>
    </row>
    <row r="441" spans="1:18" ht="19.899999999999999" customHeight="1" x14ac:dyDescent="0.25">
      <c r="A441" t="str">
        <f t="shared" si="6"/>
        <v>9F65</v>
      </c>
      <c r="B441" s="46" t="s">
        <v>603</v>
      </c>
      <c r="C441" s="46" t="s">
        <v>616</v>
      </c>
      <c r="D441" s="46">
        <v>194</v>
      </c>
      <c r="E441" s="46" t="s">
        <v>208</v>
      </c>
      <c r="F441" s="46">
        <v>194</v>
      </c>
      <c r="G441" s="46" t="s">
        <v>208</v>
      </c>
      <c r="H441" s="46">
        <v>193</v>
      </c>
      <c r="I441" s="46" t="s">
        <v>198</v>
      </c>
      <c r="J441" s="48">
        <v>194</v>
      </c>
      <c r="K441">
        <v>0</v>
      </c>
      <c r="L441" t="s">
        <v>215</v>
      </c>
      <c r="P441">
        <v>5246</v>
      </c>
      <c r="Q441">
        <v>4</v>
      </c>
      <c r="R441">
        <v>5250</v>
      </c>
    </row>
    <row r="442" spans="1:18" ht="19.899999999999999" customHeight="1" x14ac:dyDescent="0.25">
      <c r="A442" t="str">
        <f t="shared" si="6"/>
        <v>9F66</v>
      </c>
      <c r="B442" s="46" t="s">
        <v>603</v>
      </c>
      <c r="C442" s="46" t="s">
        <v>617</v>
      </c>
      <c r="D442" s="46">
        <v>56</v>
      </c>
      <c r="E442" s="46" t="s">
        <v>268</v>
      </c>
      <c r="F442" s="46">
        <v>60</v>
      </c>
      <c r="G442" s="46" t="s">
        <v>268</v>
      </c>
      <c r="H442" s="46">
        <v>66</v>
      </c>
      <c r="I442" s="46" t="s">
        <v>268</v>
      </c>
      <c r="J442" s="48">
        <v>66</v>
      </c>
      <c r="K442">
        <v>0</v>
      </c>
      <c r="L442" t="s">
        <v>215</v>
      </c>
      <c r="P442">
        <v>1408</v>
      </c>
      <c r="Q442">
        <v>4</v>
      </c>
      <c r="R442">
        <v>1412</v>
      </c>
    </row>
    <row r="443" spans="1:18" ht="19.899999999999999" customHeight="1" x14ac:dyDescent="0.25">
      <c r="A443" t="str">
        <f t="shared" si="6"/>
        <v>9F67</v>
      </c>
      <c r="B443" s="46" t="s">
        <v>603</v>
      </c>
      <c r="C443" s="46" t="s">
        <v>618</v>
      </c>
      <c r="D443" s="46">
        <v>94</v>
      </c>
      <c r="E443" s="46" t="s">
        <v>213</v>
      </c>
      <c r="F443" s="46">
        <v>94</v>
      </c>
      <c r="G443" s="46" t="s">
        <v>213</v>
      </c>
      <c r="H443" s="46">
        <v>94</v>
      </c>
      <c r="I443" s="46" t="s">
        <v>213</v>
      </c>
      <c r="J443" s="48">
        <v>94</v>
      </c>
      <c r="K443">
        <v>0</v>
      </c>
      <c r="L443" t="s">
        <v>215</v>
      </c>
      <c r="P443">
        <v>1777</v>
      </c>
      <c r="Q443">
        <v>6</v>
      </c>
      <c r="R443">
        <v>1783</v>
      </c>
    </row>
    <row r="444" spans="1:18" ht="19.899999999999999" customHeight="1" x14ac:dyDescent="0.25">
      <c r="A444" t="str">
        <f t="shared" si="6"/>
        <v>9F68</v>
      </c>
      <c r="B444" s="46" t="s">
        <v>603</v>
      </c>
      <c r="C444" s="46" t="s">
        <v>619</v>
      </c>
      <c r="D444" s="46">
        <v>50</v>
      </c>
      <c r="E444" s="46" t="s">
        <v>572</v>
      </c>
      <c r="F444" s="46">
        <v>49</v>
      </c>
      <c r="G444" s="46" t="s">
        <v>572</v>
      </c>
      <c r="H444" s="46">
        <v>56</v>
      </c>
      <c r="I444" s="46" t="s">
        <v>572</v>
      </c>
      <c r="J444" s="48">
        <v>56</v>
      </c>
      <c r="K444">
        <v>0</v>
      </c>
      <c r="L444" t="s">
        <v>215</v>
      </c>
      <c r="P444" t="s">
        <v>192</v>
      </c>
      <c r="Q444" t="s">
        <v>192</v>
      </c>
      <c r="R444">
        <v>0</v>
      </c>
    </row>
    <row r="445" spans="1:18" ht="19.899999999999999" customHeight="1" x14ac:dyDescent="0.25">
      <c r="A445" t="str">
        <f t="shared" si="6"/>
        <v>IO#1DTR(A)</v>
      </c>
      <c r="B445" s="46" t="s">
        <v>620</v>
      </c>
      <c r="C445" s="46" t="s">
        <v>272</v>
      </c>
      <c r="D445" s="46">
        <v>345</v>
      </c>
      <c r="E445" s="46" t="s">
        <v>199</v>
      </c>
      <c r="F445" s="46">
        <v>340</v>
      </c>
      <c r="G445" s="46" t="s">
        <v>199</v>
      </c>
      <c r="H445" s="46">
        <v>315</v>
      </c>
      <c r="I445" s="46" t="s">
        <v>199</v>
      </c>
      <c r="J445" s="48">
        <v>345</v>
      </c>
      <c r="K445" t="s">
        <v>196</v>
      </c>
      <c r="L445" t="s">
        <v>196</v>
      </c>
      <c r="P445" t="s">
        <v>192</v>
      </c>
      <c r="Q445">
        <v>1</v>
      </c>
      <c r="R445">
        <v>1</v>
      </c>
    </row>
    <row r="446" spans="1:18" ht="19.899999999999999" customHeight="1" x14ac:dyDescent="0.25">
      <c r="A446" t="str">
        <f t="shared" si="6"/>
        <v>IO51</v>
      </c>
      <c r="B446" s="46" t="s">
        <v>620</v>
      </c>
      <c r="C446" s="46" t="s">
        <v>621</v>
      </c>
      <c r="D446" s="46">
        <v>105</v>
      </c>
      <c r="E446" s="46" t="s">
        <v>204</v>
      </c>
      <c r="F446" s="46">
        <v>78</v>
      </c>
      <c r="G446" s="46" t="s">
        <v>204</v>
      </c>
      <c r="H446" s="46">
        <v>119</v>
      </c>
      <c r="I446" s="46" t="s">
        <v>204</v>
      </c>
      <c r="J446" s="48">
        <v>119</v>
      </c>
      <c r="K446">
        <v>0</v>
      </c>
      <c r="L446" t="s">
        <v>215</v>
      </c>
      <c r="P446">
        <v>2341</v>
      </c>
      <c r="Q446" t="s">
        <v>192</v>
      </c>
      <c r="R446">
        <v>2341</v>
      </c>
    </row>
    <row r="447" spans="1:18" ht="19.899999999999999" customHeight="1" x14ac:dyDescent="0.25">
      <c r="A447" t="str">
        <f t="shared" si="6"/>
        <v>IO52</v>
      </c>
      <c r="B447" s="46" t="s">
        <v>620</v>
      </c>
      <c r="C447" s="46" t="s">
        <v>622</v>
      </c>
      <c r="D447" s="46">
        <v>34</v>
      </c>
      <c r="E447" s="46" t="s">
        <v>204</v>
      </c>
      <c r="F447" s="46">
        <v>37</v>
      </c>
      <c r="G447" s="46" t="s">
        <v>204</v>
      </c>
      <c r="H447" s="46">
        <v>34</v>
      </c>
      <c r="I447" s="46" t="s">
        <v>204</v>
      </c>
      <c r="J447" s="48">
        <v>37</v>
      </c>
      <c r="K447">
        <v>0</v>
      </c>
      <c r="L447" t="s">
        <v>215</v>
      </c>
      <c r="P447">
        <v>1104</v>
      </c>
      <c r="Q447">
        <v>3</v>
      </c>
      <c r="R447">
        <v>1107</v>
      </c>
    </row>
    <row r="448" spans="1:18" ht="19.899999999999999" customHeight="1" x14ac:dyDescent="0.25">
      <c r="A448" t="str">
        <f t="shared" si="6"/>
        <v>IO53</v>
      </c>
      <c r="B448" s="46" t="s">
        <v>620</v>
      </c>
      <c r="C448" s="46" t="s">
        <v>623</v>
      </c>
      <c r="D448" s="46">
        <v>49</v>
      </c>
      <c r="E448" s="46" t="s">
        <v>202</v>
      </c>
      <c r="F448" s="46">
        <v>53</v>
      </c>
      <c r="G448" s="46" t="s">
        <v>206</v>
      </c>
      <c r="H448" s="46">
        <v>49</v>
      </c>
      <c r="I448" s="46" t="s">
        <v>202</v>
      </c>
      <c r="J448" s="48">
        <v>53</v>
      </c>
      <c r="K448">
        <v>0</v>
      </c>
      <c r="L448" t="s">
        <v>215</v>
      </c>
      <c r="P448">
        <v>2319</v>
      </c>
      <c r="Q448">
        <v>6</v>
      </c>
      <c r="R448">
        <v>2325</v>
      </c>
    </row>
    <row r="449" spans="1:18" ht="19.899999999999999" customHeight="1" x14ac:dyDescent="0.25">
      <c r="A449" t="str">
        <f t="shared" si="6"/>
        <v>IO54</v>
      </c>
      <c r="B449" s="46" t="s">
        <v>620</v>
      </c>
      <c r="C449" s="46" t="s">
        <v>624</v>
      </c>
      <c r="D449" s="46">
        <v>54</v>
      </c>
      <c r="E449" s="46" t="s">
        <v>199</v>
      </c>
      <c r="F449" s="46">
        <v>52</v>
      </c>
      <c r="G449" s="46" t="s">
        <v>204</v>
      </c>
      <c r="H449" s="46">
        <v>50</v>
      </c>
      <c r="I449" s="46" t="s">
        <v>199</v>
      </c>
      <c r="J449" s="48">
        <v>54</v>
      </c>
      <c r="K449">
        <v>5</v>
      </c>
      <c r="L449" t="s">
        <v>213</v>
      </c>
      <c r="P449" t="s">
        <v>192</v>
      </c>
      <c r="Q449" t="s">
        <v>192</v>
      </c>
      <c r="R449">
        <v>0</v>
      </c>
    </row>
    <row r="450" spans="1:18" ht="19.899999999999999" customHeight="1" x14ac:dyDescent="0.25">
      <c r="A450" t="str">
        <f t="shared" si="6"/>
        <v>IO55</v>
      </c>
      <c r="B450" s="46" t="s">
        <v>620</v>
      </c>
      <c r="C450" s="46" t="s">
        <v>625</v>
      </c>
      <c r="D450" s="46">
        <v>52</v>
      </c>
      <c r="E450" s="46" t="s">
        <v>195</v>
      </c>
      <c r="F450" s="46">
        <v>48</v>
      </c>
      <c r="G450" s="46" t="s">
        <v>195</v>
      </c>
      <c r="H450" s="46">
        <v>52</v>
      </c>
      <c r="I450" s="46" t="s">
        <v>195</v>
      </c>
      <c r="J450" s="48">
        <v>52</v>
      </c>
      <c r="K450">
        <v>0</v>
      </c>
      <c r="L450" t="s">
        <v>215</v>
      </c>
      <c r="P450">
        <v>2</v>
      </c>
      <c r="Q450">
        <v>1</v>
      </c>
      <c r="R450">
        <v>3</v>
      </c>
    </row>
    <row r="451" spans="1:18" ht="19.899999999999999" customHeight="1" x14ac:dyDescent="0.25">
      <c r="A451" t="str">
        <f t="shared" si="6"/>
        <v>IO56</v>
      </c>
      <c r="B451" s="46" t="s">
        <v>620</v>
      </c>
      <c r="C451" s="46" t="s">
        <v>626</v>
      </c>
      <c r="D451" s="46">
        <v>94</v>
      </c>
      <c r="E451" s="46" t="s">
        <v>199</v>
      </c>
      <c r="F451" s="46">
        <v>90</v>
      </c>
      <c r="G451" s="46" t="s">
        <v>199</v>
      </c>
      <c r="H451" s="46">
        <v>95</v>
      </c>
      <c r="I451" s="46" t="s">
        <v>199</v>
      </c>
      <c r="J451" s="48">
        <v>95</v>
      </c>
      <c r="K451">
        <v>0</v>
      </c>
      <c r="L451" t="s">
        <v>215</v>
      </c>
      <c r="P451" t="s">
        <v>192</v>
      </c>
      <c r="Q451" t="s">
        <v>192</v>
      </c>
      <c r="R451">
        <v>0</v>
      </c>
    </row>
    <row r="452" spans="1:18" ht="19.899999999999999" customHeight="1" x14ac:dyDescent="0.25">
      <c r="A452" t="str">
        <f t="shared" ref="A452:A515" si="7">IF(COUNTIF(C452,"*TR*")&gt;0,SUBSTITUTE(RIGHT(B452,3) &amp; C452," ",""),MID(C452,FIND("(",C452)+1,4))</f>
        <v>IO#2DTR</v>
      </c>
      <c r="B452" s="46" t="s">
        <v>620</v>
      </c>
      <c r="C452" s="46" t="s">
        <v>373</v>
      </c>
      <c r="D452" s="46">
        <v>283</v>
      </c>
      <c r="E452" s="46" t="s">
        <v>213</v>
      </c>
      <c r="F452" s="46">
        <v>279</v>
      </c>
      <c r="G452" s="46" t="s">
        <v>213</v>
      </c>
      <c r="H452" s="46">
        <v>283</v>
      </c>
      <c r="I452" s="46" t="s">
        <v>213</v>
      </c>
      <c r="J452" s="48">
        <v>283</v>
      </c>
      <c r="K452" t="s">
        <v>196</v>
      </c>
      <c r="L452" t="s">
        <v>196</v>
      </c>
      <c r="P452" t="s">
        <v>192</v>
      </c>
      <c r="Q452" t="s">
        <v>192</v>
      </c>
      <c r="R452">
        <v>0</v>
      </c>
    </row>
    <row r="453" spans="1:18" ht="19.899999999999999" customHeight="1" x14ac:dyDescent="0.25">
      <c r="A453" t="str">
        <f t="shared" si="7"/>
        <v>IO61</v>
      </c>
      <c r="B453" s="46" t="s">
        <v>620</v>
      </c>
      <c r="C453" s="46" t="s">
        <v>627</v>
      </c>
      <c r="D453" s="46">
        <v>72</v>
      </c>
      <c r="E453" s="46" t="s">
        <v>199</v>
      </c>
      <c r="F453" s="46">
        <v>71</v>
      </c>
      <c r="G453" s="46" t="s">
        <v>199</v>
      </c>
      <c r="H453" s="46">
        <v>74</v>
      </c>
      <c r="I453" s="46" t="s">
        <v>218</v>
      </c>
      <c r="J453" s="48">
        <v>74</v>
      </c>
      <c r="K453">
        <v>0</v>
      </c>
      <c r="L453" t="s">
        <v>215</v>
      </c>
      <c r="P453" t="s">
        <v>192</v>
      </c>
      <c r="Q453" t="s">
        <v>192</v>
      </c>
      <c r="R453">
        <v>0</v>
      </c>
    </row>
    <row r="454" spans="1:18" ht="19.899999999999999" customHeight="1" x14ac:dyDescent="0.25">
      <c r="A454" t="str">
        <f t="shared" si="7"/>
        <v>IO64</v>
      </c>
      <c r="B454" s="46" t="s">
        <v>620</v>
      </c>
      <c r="C454" s="46" t="s">
        <v>628</v>
      </c>
      <c r="D454" s="46">
        <v>132</v>
      </c>
      <c r="E454" s="46" t="s">
        <v>458</v>
      </c>
      <c r="F454" s="46">
        <v>129</v>
      </c>
      <c r="G454" s="46" t="s">
        <v>458</v>
      </c>
      <c r="H454" s="46">
        <v>129</v>
      </c>
      <c r="I454" s="46" t="s">
        <v>458</v>
      </c>
      <c r="J454" s="48">
        <v>132</v>
      </c>
      <c r="K454">
        <v>0</v>
      </c>
      <c r="L454" t="s">
        <v>215</v>
      </c>
      <c r="P454">
        <v>49</v>
      </c>
      <c r="Q454">
        <v>4</v>
      </c>
      <c r="R454">
        <v>53</v>
      </c>
    </row>
    <row r="455" spans="1:18" ht="19.899999999999999" customHeight="1" x14ac:dyDescent="0.25">
      <c r="A455" t="str">
        <f t="shared" si="7"/>
        <v>IO65</v>
      </c>
      <c r="B455" s="46" t="s">
        <v>620</v>
      </c>
      <c r="C455" s="46" t="s">
        <v>629</v>
      </c>
      <c r="D455" s="46">
        <v>72</v>
      </c>
      <c r="E455" s="46" t="s">
        <v>231</v>
      </c>
      <c r="F455" s="46">
        <v>72</v>
      </c>
      <c r="G455" s="46" t="s">
        <v>231</v>
      </c>
      <c r="H455" s="46">
        <v>72</v>
      </c>
      <c r="I455" s="46" t="s">
        <v>231</v>
      </c>
      <c r="J455" s="48">
        <v>72</v>
      </c>
      <c r="K455">
        <v>0</v>
      </c>
      <c r="L455" t="s">
        <v>215</v>
      </c>
      <c r="P455">
        <v>2467</v>
      </c>
      <c r="Q455">
        <v>2</v>
      </c>
      <c r="R455">
        <v>2469</v>
      </c>
    </row>
    <row r="456" spans="1:18" ht="19.899999999999999" customHeight="1" x14ac:dyDescent="0.25">
      <c r="A456" t="str">
        <f t="shared" si="7"/>
        <v>IO62</v>
      </c>
      <c r="B456" s="46" t="s">
        <v>620</v>
      </c>
      <c r="C456" s="46" t="s">
        <v>630</v>
      </c>
      <c r="D456" s="46">
        <v>36</v>
      </c>
      <c r="E456" s="46" t="s">
        <v>572</v>
      </c>
      <c r="F456" s="46">
        <v>37</v>
      </c>
      <c r="G456" s="46" t="s">
        <v>572</v>
      </c>
      <c r="H456" s="46">
        <v>36</v>
      </c>
      <c r="I456" s="46" t="s">
        <v>572</v>
      </c>
      <c r="J456" s="48">
        <v>37</v>
      </c>
      <c r="K456">
        <v>0</v>
      </c>
      <c r="L456" t="s">
        <v>215</v>
      </c>
      <c r="P456">
        <v>2219</v>
      </c>
      <c r="Q456">
        <v>6</v>
      </c>
      <c r="R456">
        <v>2225</v>
      </c>
    </row>
    <row r="457" spans="1:18" ht="19.899999999999999" customHeight="1" x14ac:dyDescent="0.25">
      <c r="A457" t="str">
        <f t="shared" si="7"/>
        <v>IO63</v>
      </c>
      <c r="B457" s="46" t="s">
        <v>620</v>
      </c>
      <c r="C457" s="46" t="s">
        <v>631</v>
      </c>
      <c r="D457" s="46">
        <v>108</v>
      </c>
      <c r="E457" s="46" t="s">
        <v>204</v>
      </c>
      <c r="F457" s="46">
        <v>104</v>
      </c>
      <c r="G457" s="46" t="s">
        <v>204</v>
      </c>
      <c r="H457" s="46">
        <v>106</v>
      </c>
      <c r="I457" s="46" t="s">
        <v>204</v>
      </c>
      <c r="J457" s="48">
        <v>108</v>
      </c>
      <c r="K457">
        <v>0</v>
      </c>
      <c r="L457" t="s">
        <v>215</v>
      </c>
      <c r="P457" t="s">
        <v>192</v>
      </c>
      <c r="Q457" t="s">
        <v>192</v>
      </c>
      <c r="R457">
        <v>0</v>
      </c>
    </row>
    <row r="458" spans="1:18" ht="19.899999999999999" customHeight="1" x14ac:dyDescent="0.25">
      <c r="A458" t="str">
        <f t="shared" si="7"/>
        <v>IO66</v>
      </c>
      <c r="B458" s="46" t="s">
        <v>620</v>
      </c>
      <c r="C458" s="46" t="s">
        <v>632</v>
      </c>
      <c r="D458" s="46">
        <v>57</v>
      </c>
      <c r="E458" s="46" t="s">
        <v>202</v>
      </c>
      <c r="F458" s="46">
        <v>55</v>
      </c>
      <c r="G458" s="46" t="s">
        <v>202</v>
      </c>
      <c r="H458" s="46">
        <v>57</v>
      </c>
      <c r="I458" s="46" t="s">
        <v>202</v>
      </c>
      <c r="J458" s="48">
        <v>57</v>
      </c>
      <c r="K458">
        <v>0</v>
      </c>
      <c r="L458" t="s">
        <v>215</v>
      </c>
      <c r="P458">
        <v>1419</v>
      </c>
      <c r="Q458">
        <v>7</v>
      </c>
      <c r="R458">
        <v>1426</v>
      </c>
    </row>
    <row r="459" spans="1:18" ht="19.899999999999999" customHeight="1" x14ac:dyDescent="0.25">
      <c r="A459" t="str">
        <f t="shared" si="7"/>
        <v>IO#3DTR</v>
      </c>
      <c r="B459" s="46" t="s">
        <v>620</v>
      </c>
      <c r="C459" s="46" t="s">
        <v>633</v>
      </c>
      <c r="D459" s="46">
        <v>453</v>
      </c>
      <c r="E459" s="46" t="s">
        <v>195</v>
      </c>
      <c r="F459" s="46">
        <v>448</v>
      </c>
      <c r="G459" s="46" t="s">
        <v>195</v>
      </c>
      <c r="H459" s="46">
        <v>450</v>
      </c>
      <c r="I459" s="46" t="s">
        <v>195</v>
      </c>
      <c r="J459" s="48">
        <v>453</v>
      </c>
      <c r="K459" t="s">
        <v>196</v>
      </c>
      <c r="L459" t="s">
        <v>196</v>
      </c>
      <c r="P459">
        <v>1217</v>
      </c>
      <c r="Q459">
        <v>1</v>
      </c>
      <c r="R459">
        <v>1218</v>
      </c>
    </row>
    <row r="460" spans="1:18" ht="19.899999999999999" customHeight="1" x14ac:dyDescent="0.25">
      <c r="A460" t="str">
        <f t="shared" si="7"/>
        <v>IO76</v>
      </c>
      <c r="B460" s="46" t="s">
        <v>620</v>
      </c>
      <c r="C460" s="46" t="s">
        <v>634</v>
      </c>
      <c r="D460" s="46">
        <v>116</v>
      </c>
      <c r="E460" s="46" t="s">
        <v>206</v>
      </c>
      <c r="F460" s="46">
        <v>117</v>
      </c>
      <c r="G460" s="46" t="s">
        <v>206</v>
      </c>
      <c r="H460" s="46">
        <v>112</v>
      </c>
      <c r="I460" s="46" t="s">
        <v>206</v>
      </c>
      <c r="J460" s="48">
        <v>117</v>
      </c>
      <c r="K460">
        <v>0</v>
      </c>
      <c r="L460" t="s">
        <v>215</v>
      </c>
      <c r="P460">
        <v>3098</v>
      </c>
      <c r="Q460">
        <v>5</v>
      </c>
      <c r="R460">
        <v>3103</v>
      </c>
    </row>
    <row r="461" spans="1:18" ht="19.899999999999999" customHeight="1" x14ac:dyDescent="0.25">
      <c r="A461" t="str">
        <f t="shared" si="7"/>
        <v>IO75</v>
      </c>
      <c r="B461" s="46" t="s">
        <v>620</v>
      </c>
      <c r="C461" s="46" t="s">
        <v>635</v>
      </c>
      <c r="D461" s="46">
        <v>63</v>
      </c>
      <c r="E461" s="46" t="s">
        <v>199</v>
      </c>
      <c r="F461" s="46">
        <v>60</v>
      </c>
      <c r="G461" s="46" t="s">
        <v>199</v>
      </c>
      <c r="H461" s="46">
        <v>61</v>
      </c>
      <c r="I461" s="46" t="s">
        <v>199</v>
      </c>
      <c r="J461" s="48">
        <v>63</v>
      </c>
      <c r="K461">
        <v>0</v>
      </c>
      <c r="L461" t="s">
        <v>215</v>
      </c>
      <c r="P461">
        <v>2208</v>
      </c>
      <c r="Q461">
        <v>7</v>
      </c>
      <c r="R461">
        <v>2215</v>
      </c>
    </row>
    <row r="462" spans="1:18" ht="19.899999999999999" customHeight="1" x14ac:dyDescent="0.25">
      <c r="A462" t="str">
        <f t="shared" si="7"/>
        <v>IO73</v>
      </c>
      <c r="B462" s="46" t="s">
        <v>620</v>
      </c>
      <c r="C462" s="46" t="s">
        <v>636</v>
      </c>
      <c r="D462" s="46">
        <v>51</v>
      </c>
      <c r="E462" s="46" t="s">
        <v>222</v>
      </c>
      <c r="F462" s="46">
        <v>51</v>
      </c>
      <c r="G462" s="46" t="s">
        <v>222</v>
      </c>
      <c r="H462" s="46">
        <v>53</v>
      </c>
      <c r="I462" s="46" t="s">
        <v>222</v>
      </c>
      <c r="J462" s="48">
        <v>53</v>
      </c>
      <c r="K462">
        <v>0</v>
      </c>
      <c r="L462" t="s">
        <v>215</v>
      </c>
      <c r="P462">
        <v>2186</v>
      </c>
      <c r="Q462">
        <v>3</v>
      </c>
      <c r="R462">
        <v>2189</v>
      </c>
    </row>
    <row r="463" spans="1:18" ht="19.899999999999999" customHeight="1" x14ac:dyDescent="0.25">
      <c r="A463" t="str">
        <f t="shared" si="7"/>
        <v>IO74</v>
      </c>
      <c r="B463" s="46" t="s">
        <v>620</v>
      </c>
      <c r="C463" s="46" t="s">
        <v>637</v>
      </c>
      <c r="D463" s="46">
        <v>12</v>
      </c>
      <c r="E463" s="46" t="s">
        <v>293</v>
      </c>
      <c r="F463" s="46">
        <v>14</v>
      </c>
      <c r="G463" s="46" t="s">
        <v>199</v>
      </c>
      <c r="H463" s="46">
        <v>13</v>
      </c>
      <c r="I463" s="46" t="s">
        <v>199</v>
      </c>
      <c r="J463" s="48">
        <v>14</v>
      </c>
      <c r="K463">
        <v>0</v>
      </c>
      <c r="L463" t="s">
        <v>215</v>
      </c>
      <c r="P463" t="s">
        <v>192</v>
      </c>
      <c r="Q463" t="s">
        <v>192</v>
      </c>
      <c r="R463">
        <v>0</v>
      </c>
    </row>
    <row r="464" spans="1:18" ht="19.899999999999999" customHeight="1" x14ac:dyDescent="0.25">
      <c r="A464" t="str">
        <f t="shared" si="7"/>
        <v>IO72</v>
      </c>
      <c r="B464" s="46" t="s">
        <v>620</v>
      </c>
      <c r="C464" s="46" t="s">
        <v>638</v>
      </c>
      <c r="D464" s="46">
        <v>60</v>
      </c>
      <c r="E464" s="46" t="s">
        <v>199</v>
      </c>
      <c r="F464" s="46">
        <v>60</v>
      </c>
      <c r="G464" s="46" t="s">
        <v>199</v>
      </c>
      <c r="H464" s="46">
        <v>60</v>
      </c>
      <c r="I464" s="46" t="s">
        <v>199</v>
      </c>
      <c r="J464" s="48">
        <v>60</v>
      </c>
      <c r="K464">
        <v>0</v>
      </c>
      <c r="L464" t="s">
        <v>215</v>
      </c>
      <c r="P464" t="s">
        <v>192</v>
      </c>
      <c r="Q464" t="s">
        <v>192</v>
      </c>
      <c r="R464">
        <v>0</v>
      </c>
    </row>
    <row r="465" spans="1:18" ht="19.899999999999999" customHeight="1" x14ac:dyDescent="0.25">
      <c r="A465" t="str">
        <f t="shared" si="7"/>
        <v>IO71</v>
      </c>
      <c r="B465" s="46" t="s">
        <v>620</v>
      </c>
      <c r="C465" s="46" t="s">
        <v>639</v>
      </c>
      <c r="D465" s="46">
        <v>186</v>
      </c>
      <c r="E465" s="46" t="s">
        <v>199</v>
      </c>
      <c r="F465" s="46">
        <v>184</v>
      </c>
      <c r="G465" s="46" t="s">
        <v>199</v>
      </c>
      <c r="H465" s="46">
        <v>189</v>
      </c>
      <c r="I465" s="46" t="s">
        <v>199</v>
      </c>
      <c r="J465" s="48">
        <v>189</v>
      </c>
      <c r="K465">
        <v>0</v>
      </c>
      <c r="L465" t="s">
        <v>215</v>
      </c>
      <c r="P465" t="s">
        <v>192</v>
      </c>
      <c r="Q465" t="s">
        <v>192</v>
      </c>
      <c r="R465">
        <v>0</v>
      </c>
    </row>
    <row r="466" spans="1:18" ht="19.899999999999999" customHeight="1" x14ac:dyDescent="0.25">
      <c r="A466" t="str">
        <f t="shared" si="7"/>
        <v>IO#1DTR(B)</v>
      </c>
      <c r="B466" s="46" t="s">
        <v>620</v>
      </c>
      <c r="C466" s="46" t="s">
        <v>279</v>
      </c>
      <c r="D466" s="46">
        <v>660</v>
      </c>
      <c r="E466" s="46" t="s">
        <v>195</v>
      </c>
      <c r="F466" s="46">
        <v>597</v>
      </c>
      <c r="G466" s="46" t="s">
        <v>195</v>
      </c>
      <c r="H466" s="46">
        <v>582</v>
      </c>
      <c r="I466" s="46" t="s">
        <v>195</v>
      </c>
      <c r="J466" s="48">
        <v>660</v>
      </c>
      <c r="K466" t="s">
        <v>196</v>
      </c>
      <c r="L466" t="s">
        <v>196</v>
      </c>
      <c r="P466">
        <v>1257</v>
      </c>
      <c r="Q466">
        <v>4</v>
      </c>
      <c r="R466">
        <v>1261</v>
      </c>
    </row>
    <row r="467" spans="1:18" ht="19.899999999999999" customHeight="1" x14ac:dyDescent="0.25">
      <c r="A467" t="str">
        <f t="shared" si="7"/>
        <v>IO26</v>
      </c>
      <c r="B467" s="46" t="s">
        <v>620</v>
      </c>
      <c r="C467" s="46" t="s">
        <v>640</v>
      </c>
      <c r="D467" s="46">
        <v>189</v>
      </c>
      <c r="E467" s="46" t="s">
        <v>206</v>
      </c>
      <c r="F467" s="46">
        <v>151</v>
      </c>
      <c r="G467" s="46" t="s">
        <v>195</v>
      </c>
      <c r="H467" s="46">
        <v>181</v>
      </c>
      <c r="I467" s="46" t="s">
        <v>195</v>
      </c>
      <c r="J467" s="48">
        <v>189</v>
      </c>
      <c r="K467">
        <v>57</v>
      </c>
      <c r="L467" t="s">
        <v>200</v>
      </c>
      <c r="P467" t="s">
        <v>192</v>
      </c>
      <c r="Q467" t="s">
        <v>192</v>
      </c>
      <c r="R467">
        <v>0</v>
      </c>
    </row>
    <row r="468" spans="1:18" ht="19.899999999999999" customHeight="1" x14ac:dyDescent="0.25">
      <c r="A468" t="str">
        <f t="shared" si="7"/>
        <v>IO25</v>
      </c>
      <c r="B468" s="46" t="s">
        <v>620</v>
      </c>
      <c r="C468" s="46" t="s">
        <v>641</v>
      </c>
      <c r="D468" s="46">
        <v>21</v>
      </c>
      <c r="E468" s="46" t="s">
        <v>227</v>
      </c>
      <c r="F468" s="46">
        <v>10</v>
      </c>
      <c r="G468" s="46" t="s">
        <v>277</v>
      </c>
      <c r="H468" s="46">
        <v>14</v>
      </c>
      <c r="I468" s="46" t="s">
        <v>222</v>
      </c>
      <c r="J468" s="48">
        <v>21</v>
      </c>
      <c r="K468">
        <v>21</v>
      </c>
      <c r="L468" t="s">
        <v>277</v>
      </c>
      <c r="P468">
        <v>1436</v>
      </c>
      <c r="Q468">
        <v>2</v>
      </c>
      <c r="R468">
        <v>1438</v>
      </c>
    </row>
    <row r="469" spans="1:18" ht="19.899999999999999" customHeight="1" x14ac:dyDescent="0.25">
      <c r="A469" t="str">
        <f t="shared" si="7"/>
        <v>IO24</v>
      </c>
      <c r="B469" s="46" t="s">
        <v>620</v>
      </c>
      <c r="C469" s="46" t="s">
        <v>642</v>
      </c>
      <c r="D469" s="46">
        <v>146</v>
      </c>
      <c r="E469" s="46" t="s">
        <v>195</v>
      </c>
      <c r="F469" s="46">
        <v>126</v>
      </c>
      <c r="G469" s="46" t="s">
        <v>195</v>
      </c>
      <c r="H469" s="46">
        <v>107</v>
      </c>
      <c r="I469" s="46" t="s">
        <v>195</v>
      </c>
      <c r="J469" s="48">
        <v>146</v>
      </c>
      <c r="K469">
        <v>36</v>
      </c>
      <c r="L469" t="s">
        <v>238</v>
      </c>
      <c r="P469">
        <v>604</v>
      </c>
      <c r="Q469">
        <v>0</v>
      </c>
      <c r="R469">
        <v>604</v>
      </c>
    </row>
    <row r="470" spans="1:18" ht="19.899999999999999" customHeight="1" x14ac:dyDescent="0.25">
      <c r="A470" t="str">
        <f t="shared" si="7"/>
        <v>IO23</v>
      </c>
      <c r="B470" s="46" t="s">
        <v>620</v>
      </c>
      <c r="C470" s="46" t="s">
        <v>643</v>
      </c>
      <c r="D470" s="46">
        <v>45</v>
      </c>
      <c r="E470" s="46" t="s">
        <v>227</v>
      </c>
      <c r="F470" s="46">
        <v>42</v>
      </c>
      <c r="G470" s="46" t="s">
        <v>227</v>
      </c>
      <c r="H470" s="46">
        <v>58</v>
      </c>
      <c r="I470" s="46" t="s">
        <v>227</v>
      </c>
      <c r="J470" s="48">
        <v>58</v>
      </c>
      <c r="K470">
        <v>34</v>
      </c>
      <c r="L470" t="s">
        <v>222</v>
      </c>
      <c r="P470">
        <v>1656</v>
      </c>
      <c r="Q470">
        <v>1</v>
      </c>
      <c r="R470">
        <v>1657</v>
      </c>
    </row>
    <row r="471" spans="1:18" ht="19.899999999999999" customHeight="1" x14ac:dyDescent="0.25">
      <c r="A471" t="str">
        <f t="shared" si="7"/>
        <v>IO22</v>
      </c>
      <c r="B471" s="46" t="s">
        <v>620</v>
      </c>
      <c r="C471" s="46" t="s">
        <v>644</v>
      </c>
      <c r="D471" s="46">
        <v>159</v>
      </c>
      <c r="E471" s="46" t="s">
        <v>195</v>
      </c>
      <c r="F471" s="46">
        <v>176</v>
      </c>
      <c r="G471" s="46" t="s">
        <v>199</v>
      </c>
      <c r="H471" s="46">
        <v>158</v>
      </c>
      <c r="I471" s="46" t="s">
        <v>199</v>
      </c>
      <c r="J471" s="48">
        <v>176</v>
      </c>
      <c r="K471">
        <v>72</v>
      </c>
      <c r="L471" t="s">
        <v>204</v>
      </c>
      <c r="P471">
        <v>2573</v>
      </c>
      <c r="Q471">
        <v>1</v>
      </c>
      <c r="R471">
        <v>2574</v>
      </c>
    </row>
    <row r="472" spans="1:18" ht="19.899999999999999" customHeight="1" x14ac:dyDescent="0.25">
      <c r="A472" t="str">
        <f t="shared" si="7"/>
        <v>IO21</v>
      </c>
      <c r="B472" s="46" t="s">
        <v>620</v>
      </c>
      <c r="C472" s="46" t="s">
        <v>645</v>
      </c>
      <c r="D472" s="46">
        <v>123</v>
      </c>
      <c r="E472" s="46" t="s">
        <v>206</v>
      </c>
      <c r="F472" s="46">
        <v>115</v>
      </c>
      <c r="G472" s="46" t="s">
        <v>195</v>
      </c>
      <c r="H472" s="46">
        <v>96</v>
      </c>
      <c r="I472" s="46" t="s">
        <v>195</v>
      </c>
      <c r="J472" s="48">
        <v>123</v>
      </c>
      <c r="K472">
        <v>36</v>
      </c>
      <c r="L472" t="s">
        <v>206</v>
      </c>
      <c r="P472">
        <v>1531</v>
      </c>
      <c r="Q472">
        <v>1</v>
      </c>
      <c r="R472">
        <v>1532</v>
      </c>
    </row>
    <row r="473" spans="1:18" ht="19.899999999999999" customHeight="1" x14ac:dyDescent="0.25">
      <c r="A473" t="str">
        <f t="shared" si="7"/>
        <v>IB#1MTR</v>
      </c>
      <c r="B473" s="46" t="s">
        <v>646</v>
      </c>
      <c r="C473" s="46" t="s">
        <v>194</v>
      </c>
      <c r="D473" s="46">
        <v>0</v>
      </c>
      <c r="E473" s="46" t="s">
        <v>215</v>
      </c>
      <c r="F473" s="46">
        <v>0</v>
      </c>
      <c r="G473" s="46" t="s">
        <v>215</v>
      </c>
      <c r="H473" s="46">
        <v>0</v>
      </c>
      <c r="I473" s="46" t="s">
        <v>215</v>
      </c>
      <c r="J473" s="48">
        <v>0</v>
      </c>
      <c r="K473" t="s">
        <v>196</v>
      </c>
      <c r="L473" t="s">
        <v>196</v>
      </c>
      <c r="P473">
        <v>1444</v>
      </c>
      <c r="Q473">
        <v>2</v>
      </c>
      <c r="R473">
        <v>1446</v>
      </c>
    </row>
    <row r="474" spans="1:18" ht="19.899999999999999" customHeight="1" x14ac:dyDescent="0.25">
      <c r="A474" t="str">
        <f t="shared" si="7"/>
        <v>IB20</v>
      </c>
      <c r="B474" s="46" t="s">
        <v>646</v>
      </c>
      <c r="C474" s="46" t="s">
        <v>647</v>
      </c>
      <c r="D474" s="46">
        <v>0</v>
      </c>
      <c r="E474" s="46" t="s">
        <v>215</v>
      </c>
      <c r="F474" s="46">
        <v>0</v>
      </c>
      <c r="G474" s="46" t="s">
        <v>215</v>
      </c>
      <c r="H474" s="46">
        <v>0</v>
      </c>
      <c r="I474" s="46" t="s">
        <v>215</v>
      </c>
      <c r="J474" s="48">
        <v>0</v>
      </c>
      <c r="K474">
        <v>0</v>
      </c>
      <c r="L474" t="s">
        <v>215</v>
      </c>
      <c r="P474">
        <v>596</v>
      </c>
      <c r="Q474">
        <v>1</v>
      </c>
      <c r="R474">
        <v>597</v>
      </c>
    </row>
    <row r="475" spans="1:18" ht="19.899999999999999" customHeight="1" x14ac:dyDescent="0.25">
      <c r="A475" t="str">
        <f t="shared" si="7"/>
        <v>IB22</v>
      </c>
      <c r="B475" s="46" t="s">
        <v>646</v>
      </c>
      <c r="C475" s="46" t="s">
        <v>648</v>
      </c>
      <c r="D475" s="46">
        <v>4</v>
      </c>
      <c r="E475" s="46" t="s">
        <v>218</v>
      </c>
      <c r="F475" s="46">
        <v>4</v>
      </c>
      <c r="G475" s="46" t="s">
        <v>218</v>
      </c>
      <c r="H475" s="46">
        <v>4</v>
      </c>
      <c r="I475" s="46" t="s">
        <v>218</v>
      </c>
      <c r="J475" s="48">
        <v>4</v>
      </c>
      <c r="K475">
        <v>12</v>
      </c>
      <c r="L475" t="s">
        <v>218</v>
      </c>
      <c r="P475">
        <v>2772</v>
      </c>
      <c r="Q475">
        <v>7</v>
      </c>
      <c r="R475">
        <v>2779</v>
      </c>
    </row>
    <row r="476" spans="1:18" ht="19.899999999999999" customHeight="1" x14ac:dyDescent="0.25">
      <c r="A476" t="str">
        <f t="shared" si="7"/>
        <v>IB30</v>
      </c>
      <c r="B476" s="46" t="s">
        <v>646</v>
      </c>
      <c r="C476" s="46" t="s">
        <v>649</v>
      </c>
      <c r="D476" s="46">
        <v>0</v>
      </c>
      <c r="E476" s="46" t="s">
        <v>215</v>
      </c>
      <c r="F476" s="46">
        <v>0</v>
      </c>
      <c r="G476" s="46" t="s">
        <v>215</v>
      </c>
      <c r="H476" s="46">
        <v>0</v>
      </c>
      <c r="I476" s="46" t="s">
        <v>215</v>
      </c>
      <c r="J476" s="48">
        <v>0</v>
      </c>
      <c r="K476">
        <v>0</v>
      </c>
      <c r="L476" t="s">
        <v>215</v>
      </c>
      <c r="P476">
        <v>2355</v>
      </c>
      <c r="Q476">
        <v>2</v>
      </c>
      <c r="R476">
        <v>2357</v>
      </c>
    </row>
    <row r="477" spans="1:18" ht="19.899999999999999" customHeight="1" x14ac:dyDescent="0.25">
      <c r="A477" t="str">
        <f t="shared" si="7"/>
        <v>IB31</v>
      </c>
      <c r="B477" s="46" t="s">
        <v>646</v>
      </c>
      <c r="C477" s="46" t="s">
        <v>650</v>
      </c>
      <c r="D477" s="46">
        <v>0</v>
      </c>
      <c r="E477" s="46" t="s">
        <v>215</v>
      </c>
      <c r="F477" s="46">
        <v>0</v>
      </c>
      <c r="G477" s="46" t="s">
        <v>215</v>
      </c>
      <c r="H477" s="46">
        <v>0</v>
      </c>
      <c r="I477" s="46" t="s">
        <v>215</v>
      </c>
      <c r="J477" s="48">
        <v>0</v>
      </c>
      <c r="K477">
        <v>0</v>
      </c>
      <c r="L477" t="s">
        <v>215</v>
      </c>
      <c r="P477" t="s">
        <v>192</v>
      </c>
      <c r="Q477" t="s">
        <v>192</v>
      </c>
      <c r="R477">
        <v>0</v>
      </c>
    </row>
    <row r="478" spans="1:18" ht="19.899999999999999" customHeight="1" x14ac:dyDescent="0.25">
      <c r="A478" t="str">
        <f t="shared" si="7"/>
        <v>IB21</v>
      </c>
      <c r="B478" s="46" t="s">
        <v>646</v>
      </c>
      <c r="C478" s="46" t="s">
        <v>651</v>
      </c>
      <c r="D478" s="46">
        <v>3</v>
      </c>
      <c r="E478" s="46" t="s">
        <v>200</v>
      </c>
      <c r="F478" s="46">
        <v>3</v>
      </c>
      <c r="G478" s="46" t="s">
        <v>200</v>
      </c>
      <c r="H478" s="46">
        <v>3</v>
      </c>
      <c r="I478" s="46" t="s">
        <v>200</v>
      </c>
      <c r="J478" s="48">
        <v>3</v>
      </c>
      <c r="K478">
        <v>9</v>
      </c>
      <c r="L478" t="s">
        <v>200</v>
      </c>
      <c r="P478">
        <v>81</v>
      </c>
      <c r="Q478">
        <v>1</v>
      </c>
      <c r="R478">
        <v>82</v>
      </c>
    </row>
    <row r="479" spans="1:18" ht="19.899999999999999" customHeight="1" x14ac:dyDescent="0.25">
      <c r="A479" t="str">
        <f t="shared" si="7"/>
        <v>IB#2MTR</v>
      </c>
      <c r="B479" s="46" t="s">
        <v>646</v>
      </c>
      <c r="C479" s="46" t="s">
        <v>209</v>
      </c>
      <c r="D479" s="46">
        <v>633</v>
      </c>
      <c r="E479" s="46" t="s">
        <v>199</v>
      </c>
      <c r="F479" s="46">
        <v>644</v>
      </c>
      <c r="G479" s="46" t="s">
        <v>195</v>
      </c>
      <c r="H479" s="46">
        <v>655</v>
      </c>
      <c r="I479" s="46" t="s">
        <v>199</v>
      </c>
      <c r="J479" s="48">
        <v>655</v>
      </c>
      <c r="K479" t="s">
        <v>196</v>
      </c>
      <c r="L479" t="s">
        <v>196</v>
      </c>
      <c r="P479">
        <v>3671</v>
      </c>
      <c r="Q479">
        <v>5</v>
      </c>
      <c r="R479">
        <v>3676</v>
      </c>
    </row>
    <row r="480" spans="1:18" ht="19.899999999999999" customHeight="1" x14ac:dyDescent="0.25">
      <c r="A480" t="str">
        <f t="shared" si="7"/>
        <v>IB28</v>
      </c>
      <c r="B480" s="46" t="s">
        <v>646</v>
      </c>
      <c r="C480" s="46" t="s">
        <v>652</v>
      </c>
      <c r="D480" s="46">
        <v>160</v>
      </c>
      <c r="E480" s="46" t="s">
        <v>199</v>
      </c>
      <c r="F480" s="46">
        <v>148</v>
      </c>
      <c r="G480" s="46" t="s">
        <v>199</v>
      </c>
      <c r="H480" s="46">
        <v>159</v>
      </c>
      <c r="I480" s="46" t="s">
        <v>213</v>
      </c>
      <c r="J480" s="48">
        <v>160</v>
      </c>
      <c r="K480">
        <v>41</v>
      </c>
      <c r="L480" t="s">
        <v>200</v>
      </c>
      <c r="P480">
        <v>180</v>
      </c>
      <c r="Q480">
        <v>1</v>
      </c>
      <c r="R480">
        <v>181</v>
      </c>
    </row>
    <row r="481" spans="1:18" ht="19.899999999999999" customHeight="1" x14ac:dyDescent="0.25">
      <c r="A481" t="str">
        <f t="shared" si="7"/>
        <v>IB25</v>
      </c>
      <c r="B481" s="46" t="s">
        <v>646</v>
      </c>
      <c r="C481" s="46" t="s">
        <v>653</v>
      </c>
      <c r="D481" s="46">
        <v>207</v>
      </c>
      <c r="E481" s="46" t="s">
        <v>198</v>
      </c>
      <c r="F481" s="46">
        <v>203</v>
      </c>
      <c r="G481" s="46" t="s">
        <v>195</v>
      </c>
      <c r="H481" s="46">
        <v>183</v>
      </c>
      <c r="I481" s="46" t="s">
        <v>202</v>
      </c>
      <c r="J481" s="48">
        <v>207</v>
      </c>
      <c r="K481">
        <v>62</v>
      </c>
      <c r="L481" t="s">
        <v>218</v>
      </c>
      <c r="P481">
        <v>39</v>
      </c>
      <c r="Q481">
        <v>2</v>
      </c>
      <c r="R481">
        <v>41</v>
      </c>
    </row>
    <row r="482" spans="1:18" ht="19.899999999999999" customHeight="1" x14ac:dyDescent="0.25">
      <c r="A482" t="str">
        <f t="shared" si="7"/>
        <v>IB33</v>
      </c>
      <c r="B482" s="46" t="s">
        <v>646</v>
      </c>
      <c r="C482" s="46" t="s">
        <v>654</v>
      </c>
      <c r="D482" s="46">
        <v>148</v>
      </c>
      <c r="E482" s="46" t="s">
        <v>199</v>
      </c>
      <c r="F482" s="46">
        <v>146</v>
      </c>
      <c r="G482" s="46" t="s">
        <v>213</v>
      </c>
      <c r="H482" s="46">
        <v>165</v>
      </c>
      <c r="I482" s="46" t="s">
        <v>213</v>
      </c>
      <c r="J482" s="48">
        <v>165</v>
      </c>
      <c r="K482">
        <v>46</v>
      </c>
      <c r="L482" t="s">
        <v>222</v>
      </c>
      <c r="P482">
        <v>557</v>
      </c>
      <c r="Q482" t="s">
        <v>192</v>
      </c>
      <c r="R482">
        <v>557</v>
      </c>
    </row>
    <row r="483" spans="1:18" ht="19.899999999999999" customHeight="1" x14ac:dyDescent="0.25">
      <c r="A483" t="str">
        <f t="shared" si="7"/>
        <v>IB27</v>
      </c>
      <c r="B483" s="46" t="s">
        <v>646</v>
      </c>
      <c r="C483" s="46" t="s">
        <v>655</v>
      </c>
      <c r="D483" s="46">
        <v>80</v>
      </c>
      <c r="E483" s="46" t="s">
        <v>218</v>
      </c>
      <c r="F483" s="46">
        <v>78</v>
      </c>
      <c r="G483" s="46" t="s">
        <v>235</v>
      </c>
      <c r="H483" s="46">
        <v>90</v>
      </c>
      <c r="I483" s="46" t="s">
        <v>202</v>
      </c>
      <c r="J483" s="48">
        <v>90</v>
      </c>
      <c r="K483">
        <v>34</v>
      </c>
      <c r="L483" t="s">
        <v>227</v>
      </c>
      <c r="P483">
        <v>795</v>
      </c>
      <c r="Q483">
        <v>8</v>
      </c>
      <c r="R483">
        <v>803</v>
      </c>
    </row>
    <row r="484" spans="1:18" ht="19.899999999999999" customHeight="1" x14ac:dyDescent="0.25">
      <c r="A484" t="str">
        <f t="shared" si="7"/>
        <v>IB24</v>
      </c>
      <c r="B484" s="46" t="s">
        <v>646</v>
      </c>
      <c r="C484" s="46" t="s">
        <v>656</v>
      </c>
      <c r="D484" s="46">
        <v>121</v>
      </c>
      <c r="E484" s="46" t="s">
        <v>200</v>
      </c>
      <c r="F484" s="46">
        <v>138</v>
      </c>
      <c r="G484" s="46" t="s">
        <v>206</v>
      </c>
      <c r="H484" s="46">
        <v>113</v>
      </c>
      <c r="I484" s="46" t="s">
        <v>199</v>
      </c>
      <c r="J484" s="48">
        <v>138</v>
      </c>
      <c r="K484">
        <v>40</v>
      </c>
      <c r="L484" t="s">
        <v>198</v>
      </c>
      <c r="P484">
        <v>1007</v>
      </c>
      <c r="Q484" t="s">
        <v>192</v>
      </c>
      <c r="R484">
        <v>1007</v>
      </c>
    </row>
    <row r="485" spans="1:18" ht="19.899999999999999" customHeight="1" x14ac:dyDescent="0.25">
      <c r="A485" t="str">
        <f t="shared" si="7"/>
        <v>IB#3MTR</v>
      </c>
      <c r="B485" s="46" t="s">
        <v>646</v>
      </c>
      <c r="C485" s="46" t="s">
        <v>217</v>
      </c>
      <c r="D485" s="46">
        <v>291</v>
      </c>
      <c r="E485" s="46" t="s">
        <v>195</v>
      </c>
      <c r="F485" s="46">
        <v>319</v>
      </c>
      <c r="G485" s="46" t="s">
        <v>198</v>
      </c>
      <c r="H485" s="46">
        <v>307</v>
      </c>
      <c r="I485" s="46" t="s">
        <v>195</v>
      </c>
      <c r="J485" s="48">
        <v>319</v>
      </c>
      <c r="K485" t="s">
        <v>196</v>
      </c>
      <c r="L485" t="s">
        <v>196</v>
      </c>
      <c r="P485">
        <v>2336</v>
      </c>
      <c r="Q485">
        <v>3</v>
      </c>
      <c r="R485">
        <v>2339</v>
      </c>
    </row>
    <row r="486" spans="1:18" ht="19.899999999999999" customHeight="1" x14ac:dyDescent="0.25">
      <c r="A486" t="str">
        <f t="shared" si="7"/>
        <v>IB34</v>
      </c>
      <c r="B486" s="46" t="s">
        <v>646</v>
      </c>
      <c r="C486" s="46" t="s">
        <v>657</v>
      </c>
      <c r="D486" s="46">
        <v>14</v>
      </c>
      <c r="E486" s="46" t="s">
        <v>218</v>
      </c>
      <c r="F486" s="46">
        <v>15</v>
      </c>
      <c r="G486" s="46" t="s">
        <v>235</v>
      </c>
      <c r="H486" s="46">
        <v>15</v>
      </c>
      <c r="I486" s="46" t="s">
        <v>218</v>
      </c>
      <c r="J486" s="48">
        <v>15</v>
      </c>
      <c r="K486">
        <v>4</v>
      </c>
      <c r="L486" t="s">
        <v>198</v>
      </c>
      <c r="P486">
        <v>344</v>
      </c>
      <c r="Q486">
        <v>1</v>
      </c>
      <c r="R486">
        <v>345</v>
      </c>
    </row>
    <row r="487" spans="1:18" ht="19.899999999999999" customHeight="1" x14ac:dyDescent="0.25">
      <c r="A487" t="str">
        <f t="shared" si="7"/>
        <v>IB29</v>
      </c>
      <c r="B487" s="46" t="s">
        <v>646</v>
      </c>
      <c r="C487" s="46" t="s">
        <v>658</v>
      </c>
      <c r="D487" s="46">
        <v>127</v>
      </c>
      <c r="E487" s="46" t="s">
        <v>202</v>
      </c>
      <c r="F487" s="46">
        <v>141</v>
      </c>
      <c r="G487" s="46" t="s">
        <v>206</v>
      </c>
      <c r="H487" s="46">
        <v>134</v>
      </c>
      <c r="I487" s="46" t="s">
        <v>195</v>
      </c>
      <c r="J487" s="48">
        <v>141</v>
      </c>
      <c r="K487">
        <v>42</v>
      </c>
      <c r="L487" t="s">
        <v>231</v>
      </c>
      <c r="P487">
        <v>263</v>
      </c>
      <c r="Q487">
        <v>3</v>
      </c>
      <c r="R487">
        <v>266</v>
      </c>
    </row>
    <row r="488" spans="1:18" ht="19.899999999999999" customHeight="1" x14ac:dyDescent="0.25">
      <c r="A488" t="str">
        <f t="shared" si="7"/>
        <v>IB32</v>
      </c>
      <c r="B488" s="46" t="s">
        <v>646</v>
      </c>
      <c r="C488" s="46" t="s">
        <v>659</v>
      </c>
      <c r="D488" s="46">
        <v>39</v>
      </c>
      <c r="E488" s="46" t="s">
        <v>235</v>
      </c>
      <c r="F488" s="46">
        <v>64</v>
      </c>
      <c r="G488" s="46" t="s">
        <v>198</v>
      </c>
      <c r="H488" s="46">
        <v>48</v>
      </c>
      <c r="I488" s="46" t="s">
        <v>206</v>
      </c>
      <c r="J488" s="48">
        <v>64</v>
      </c>
      <c r="K488">
        <v>39</v>
      </c>
      <c r="L488" t="s">
        <v>213</v>
      </c>
      <c r="P488">
        <v>2029</v>
      </c>
      <c r="Q488">
        <v>2</v>
      </c>
      <c r="R488">
        <v>2031</v>
      </c>
    </row>
    <row r="489" spans="1:18" ht="19.899999999999999" customHeight="1" x14ac:dyDescent="0.25">
      <c r="A489" t="str">
        <f t="shared" si="7"/>
        <v>IB26</v>
      </c>
      <c r="B489" s="46" t="s">
        <v>646</v>
      </c>
      <c r="C489" s="46" t="s">
        <v>660</v>
      </c>
      <c r="D489" s="46">
        <v>77</v>
      </c>
      <c r="E489" s="46" t="s">
        <v>206</v>
      </c>
      <c r="F489" s="46">
        <v>82</v>
      </c>
      <c r="G489" s="46" t="s">
        <v>198</v>
      </c>
      <c r="H489" s="46">
        <v>87</v>
      </c>
      <c r="I489" s="46" t="s">
        <v>238</v>
      </c>
      <c r="J489" s="48">
        <v>87</v>
      </c>
      <c r="K489">
        <v>30</v>
      </c>
      <c r="L489" t="s">
        <v>198</v>
      </c>
      <c r="P489">
        <v>377</v>
      </c>
      <c r="Q489">
        <v>7</v>
      </c>
      <c r="R489">
        <v>384</v>
      </c>
    </row>
    <row r="490" spans="1:18" ht="19.899999999999999" customHeight="1" x14ac:dyDescent="0.25">
      <c r="A490" t="str">
        <f t="shared" si="7"/>
        <v>IB23</v>
      </c>
      <c r="B490" s="46" t="s">
        <v>646</v>
      </c>
      <c r="C490" s="46" t="s">
        <v>661</v>
      </c>
      <c r="D490" s="46">
        <v>36</v>
      </c>
      <c r="E490" s="46" t="s">
        <v>235</v>
      </c>
      <c r="F490" s="46">
        <v>11</v>
      </c>
      <c r="G490" s="46" t="s">
        <v>235</v>
      </c>
      <c r="H490" s="46">
        <v>36</v>
      </c>
      <c r="I490" s="46" t="s">
        <v>206</v>
      </c>
      <c r="J490" s="48">
        <v>36</v>
      </c>
      <c r="K490">
        <v>27</v>
      </c>
      <c r="L490" t="s">
        <v>206</v>
      </c>
      <c r="P490">
        <v>3074</v>
      </c>
      <c r="Q490">
        <v>4</v>
      </c>
      <c r="R490">
        <v>3078</v>
      </c>
    </row>
    <row r="491" spans="1:18" ht="19.899999999999999" customHeight="1" x14ac:dyDescent="0.25">
      <c r="A491" t="str">
        <f t="shared" si="7"/>
        <v>IT#1MTR</v>
      </c>
      <c r="B491" s="46" t="s">
        <v>662</v>
      </c>
      <c r="C491" s="46" t="s">
        <v>194</v>
      </c>
      <c r="D491" s="46">
        <v>969</v>
      </c>
      <c r="E491" s="46" t="s">
        <v>199</v>
      </c>
      <c r="F491" s="46">
        <v>1002</v>
      </c>
      <c r="G491" s="46" t="s">
        <v>199</v>
      </c>
      <c r="H491" s="46">
        <v>968</v>
      </c>
      <c r="I491" s="46" t="s">
        <v>199</v>
      </c>
      <c r="J491" s="48">
        <v>1002</v>
      </c>
      <c r="K491" t="s">
        <v>196</v>
      </c>
      <c r="L491" t="s">
        <v>196</v>
      </c>
      <c r="P491">
        <v>1051</v>
      </c>
      <c r="Q491">
        <v>2</v>
      </c>
      <c r="R491">
        <v>1053</v>
      </c>
    </row>
    <row r="492" spans="1:18" ht="19.899999999999999" customHeight="1" x14ac:dyDescent="0.25">
      <c r="A492" t="str">
        <f t="shared" si="7"/>
        <v>IT29</v>
      </c>
      <c r="B492" s="46" t="s">
        <v>662</v>
      </c>
      <c r="C492" s="46" t="s">
        <v>663</v>
      </c>
      <c r="D492" s="46">
        <v>128</v>
      </c>
      <c r="E492" s="46" t="s">
        <v>213</v>
      </c>
      <c r="F492" s="46">
        <v>155</v>
      </c>
      <c r="G492" s="46" t="s">
        <v>218</v>
      </c>
      <c r="H492" s="46">
        <v>134</v>
      </c>
      <c r="I492" s="46" t="s">
        <v>200</v>
      </c>
      <c r="J492" s="48">
        <v>155</v>
      </c>
      <c r="K492">
        <v>46</v>
      </c>
      <c r="L492" t="s">
        <v>195</v>
      </c>
      <c r="P492" t="s">
        <v>192</v>
      </c>
      <c r="Q492" t="s">
        <v>192</v>
      </c>
      <c r="R492">
        <v>0</v>
      </c>
    </row>
    <row r="493" spans="1:18" ht="19.899999999999999" customHeight="1" x14ac:dyDescent="0.25">
      <c r="A493" t="str">
        <f t="shared" si="7"/>
        <v>IT22</v>
      </c>
      <c r="B493" s="46" t="s">
        <v>662</v>
      </c>
      <c r="C493" s="46" t="s">
        <v>664</v>
      </c>
      <c r="D493" s="46">
        <v>197</v>
      </c>
      <c r="E493" s="46" t="s">
        <v>199</v>
      </c>
      <c r="F493" s="46">
        <v>200</v>
      </c>
      <c r="G493" s="46" t="s">
        <v>199</v>
      </c>
      <c r="H493" s="46">
        <v>207</v>
      </c>
      <c r="I493" s="46" t="s">
        <v>199</v>
      </c>
      <c r="J493" s="48">
        <v>207</v>
      </c>
      <c r="K493">
        <v>38</v>
      </c>
      <c r="L493" t="s">
        <v>222</v>
      </c>
      <c r="P493">
        <v>2346</v>
      </c>
      <c r="Q493">
        <v>1</v>
      </c>
      <c r="R493">
        <v>2347</v>
      </c>
    </row>
    <row r="494" spans="1:18" ht="19.899999999999999" customHeight="1" x14ac:dyDescent="0.25">
      <c r="A494" t="str">
        <f t="shared" si="7"/>
        <v>IT34</v>
      </c>
      <c r="B494" s="46" t="s">
        <v>662</v>
      </c>
      <c r="C494" s="46" t="s">
        <v>665</v>
      </c>
      <c r="D494" s="46">
        <v>277</v>
      </c>
      <c r="E494" s="46" t="s">
        <v>199</v>
      </c>
      <c r="F494" s="46">
        <v>264</v>
      </c>
      <c r="G494" s="46" t="s">
        <v>199</v>
      </c>
      <c r="H494" s="46">
        <v>274</v>
      </c>
      <c r="I494" s="46" t="s">
        <v>202</v>
      </c>
      <c r="J494" s="48">
        <v>277</v>
      </c>
      <c r="K494">
        <v>51</v>
      </c>
      <c r="L494" t="s">
        <v>206</v>
      </c>
      <c r="P494">
        <v>2611</v>
      </c>
      <c r="Q494">
        <v>1</v>
      </c>
      <c r="R494">
        <v>2612</v>
      </c>
    </row>
    <row r="495" spans="1:18" ht="19.899999999999999" customHeight="1" x14ac:dyDescent="0.25">
      <c r="A495" t="str">
        <f t="shared" si="7"/>
        <v>IT23</v>
      </c>
      <c r="B495" s="46" t="s">
        <v>662</v>
      </c>
      <c r="C495" s="46" t="s">
        <v>666</v>
      </c>
      <c r="D495" s="46">
        <v>298</v>
      </c>
      <c r="E495" s="46" t="s">
        <v>199</v>
      </c>
      <c r="F495" s="46">
        <v>327</v>
      </c>
      <c r="G495" s="46" t="s">
        <v>199</v>
      </c>
      <c r="H495" s="46">
        <v>327</v>
      </c>
      <c r="I495" s="46" t="s">
        <v>199</v>
      </c>
      <c r="J495" s="48">
        <v>327</v>
      </c>
      <c r="K495">
        <v>68</v>
      </c>
      <c r="L495" t="s">
        <v>293</v>
      </c>
      <c r="P495">
        <v>498</v>
      </c>
      <c r="Q495">
        <v>1</v>
      </c>
      <c r="R495">
        <v>499</v>
      </c>
    </row>
    <row r="496" spans="1:18" ht="19.899999999999999" customHeight="1" x14ac:dyDescent="0.25">
      <c r="A496" t="str">
        <f t="shared" si="7"/>
        <v>IT25</v>
      </c>
      <c r="B496" s="46" t="s">
        <v>662</v>
      </c>
      <c r="C496" s="46" t="s">
        <v>667</v>
      </c>
      <c r="D496" s="46">
        <v>144</v>
      </c>
      <c r="E496" s="46" t="s">
        <v>199</v>
      </c>
      <c r="F496" s="46">
        <v>144</v>
      </c>
      <c r="G496" s="46" t="s">
        <v>199</v>
      </c>
      <c r="H496" s="46">
        <v>127</v>
      </c>
      <c r="I496" s="46" t="s">
        <v>204</v>
      </c>
      <c r="J496" s="48">
        <v>144</v>
      </c>
      <c r="K496">
        <v>36</v>
      </c>
      <c r="L496" t="s">
        <v>200</v>
      </c>
      <c r="P496">
        <v>2575</v>
      </c>
      <c r="Q496" t="s">
        <v>192</v>
      </c>
      <c r="R496">
        <v>2575</v>
      </c>
    </row>
    <row r="497" spans="1:18" ht="19.899999999999999" customHeight="1" x14ac:dyDescent="0.25">
      <c r="A497" t="str">
        <f t="shared" si="7"/>
        <v>IT#2MTR</v>
      </c>
      <c r="B497" s="46" t="s">
        <v>662</v>
      </c>
      <c r="C497" s="46" t="s">
        <v>209</v>
      </c>
      <c r="D497" s="46">
        <v>717</v>
      </c>
      <c r="E497" s="46" t="s">
        <v>199</v>
      </c>
      <c r="F497" s="46">
        <v>646</v>
      </c>
      <c r="G497" s="46" t="s">
        <v>199</v>
      </c>
      <c r="H497" s="46">
        <v>718</v>
      </c>
      <c r="I497" s="46" t="s">
        <v>199</v>
      </c>
      <c r="J497" s="48">
        <v>718</v>
      </c>
      <c r="K497" t="s">
        <v>196</v>
      </c>
      <c r="L497" t="s">
        <v>196</v>
      </c>
      <c r="P497">
        <v>120</v>
      </c>
      <c r="Q497">
        <v>1</v>
      </c>
      <c r="R497">
        <v>121</v>
      </c>
    </row>
    <row r="498" spans="1:18" ht="19.899999999999999" customHeight="1" x14ac:dyDescent="0.25">
      <c r="A498" t="str">
        <f t="shared" si="7"/>
        <v>IT24</v>
      </c>
      <c r="B498" s="46" t="s">
        <v>662</v>
      </c>
      <c r="C498" s="46" t="s">
        <v>668</v>
      </c>
      <c r="D498" s="46">
        <v>62</v>
      </c>
      <c r="E498" s="46" t="s">
        <v>199</v>
      </c>
      <c r="F498" s="46">
        <v>75</v>
      </c>
      <c r="G498" s="46" t="s">
        <v>204</v>
      </c>
      <c r="H498" s="46">
        <v>86</v>
      </c>
      <c r="I498" s="46" t="s">
        <v>206</v>
      </c>
      <c r="J498" s="48">
        <v>86</v>
      </c>
      <c r="K498">
        <v>36</v>
      </c>
      <c r="L498" t="s">
        <v>218</v>
      </c>
      <c r="P498">
        <v>3062</v>
      </c>
      <c r="Q498">
        <v>4</v>
      </c>
      <c r="R498">
        <v>3066</v>
      </c>
    </row>
    <row r="499" spans="1:18" ht="19.899999999999999" customHeight="1" x14ac:dyDescent="0.25">
      <c r="A499" t="str">
        <f t="shared" si="7"/>
        <v>IT20</v>
      </c>
      <c r="B499" s="46" t="s">
        <v>662</v>
      </c>
      <c r="C499" s="46" t="s">
        <v>669</v>
      </c>
      <c r="D499" s="46">
        <v>179</v>
      </c>
      <c r="E499" s="46" t="s">
        <v>199</v>
      </c>
      <c r="F499" s="46">
        <v>167</v>
      </c>
      <c r="G499" s="46" t="s">
        <v>204</v>
      </c>
      <c r="H499" s="46">
        <v>178</v>
      </c>
      <c r="I499" s="46" t="s">
        <v>204</v>
      </c>
      <c r="J499" s="48">
        <v>179</v>
      </c>
      <c r="K499">
        <v>34</v>
      </c>
      <c r="L499" t="s">
        <v>238</v>
      </c>
      <c r="P499">
        <v>40</v>
      </c>
      <c r="Q499">
        <v>14</v>
      </c>
      <c r="R499">
        <v>54</v>
      </c>
    </row>
    <row r="500" spans="1:18" ht="19.899999999999999" customHeight="1" x14ac:dyDescent="0.25">
      <c r="A500" t="str">
        <f t="shared" si="7"/>
        <v>IT32</v>
      </c>
      <c r="B500" s="46" t="s">
        <v>662</v>
      </c>
      <c r="C500" s="46" t="s">
        <v>670</v>
      </c>
      <c r="D500" s="46">
        <v>157</v>
      </c>
      <c r="E500" s="46" t="s">
        <v>199</v>
      </c>
      <c r="F500" s="46">
        <v>131</v>
      </c>
      <c r="G500" s="46" t="s">
        <v>204</v>
      </c>
      <c r="H500" s="46">
        <v>135</v>
      </c>
      <c r="I500" s="46" t="s">
        <v>199</v>
      </c>
      <c r="J500" s="48">
        <v>157</v>
      </c>
      <c r="K500">
        <v>69</v>
      </c>
      <c r="L500" t="s">
        <v>238</v>
      </c>
      <c r="P500">
        <v>5</v>
      </c>
      <c r="Q500">
        <v>5</v>
      </c>
      <c r="R500">
        <v>10</v>
      </c>
    </row>
    <row r="501" spans="1:18" ht="19.899999999999999" customHeight="1" x14ac:dyDescent="0.25">
      <c r="A501" t="str">
        <f t="shared" si="7"/>
        <v>IT33</v>
      </c>
      <c r="B501" s="46" t="s">
        <v>662</v>
      </c>
      <c r="C501" s="46" t="s">
        <v>671</v>
      </c>
      <c r="D501" s="46">
        <v>108</v>
      </c>
      <c r="E501" s="46" t="s">
        <v>218</v>
      </c>
      <c r="F501" s="46">
        <v>79</v>
      </c>
      <c r="G501" s="46" t="s">
        <v>218</v>
      </c>
      <c r="H501" s="46">
        <v>108</v>
      </c>
      <c r="I501" s="46" t="s">
        <v>218</v>
      </c>
      <c r="J501" s="48">
        <v>108</v>
      </c>
      <c r="K501">
        <v>45</v>
      </c>
      <c r="L501" t="s">
        <v>213</v>
      </c>
      <c r="P501">
        <v>30</v>
      </c>
      <c r="Q501">
        <v>4</v>
      </c>
      <c r="R501">
        <v>34</v>
      </c>
    </row>
    <row r="502" spans="1:18" ht="19.899999999999999" customHeight="1" x14ac:dyDescent="0.25">
      <c r="A502" t="str">
        <f t="shared" si="7"/>
        <v>IT27</v>
      </c>
      <c r="B502" s="46" t="s">
        <v>662</v>
      </c>
      <c r="C502" s="46" t="s">
        <v>672</v>
      </c>
      <c r="D502" s="46">
        <v>0</v>
      </c>
      <c r="E502" s="46" t="s">
        <v>215</v>
      </c>
      <c r="F502" s="46">
        <v>0</v>
      </c>
      <c r="G502" s="46" t="s">
        <v>215</v>
      </c>
      <c r="H502" s="46">
        <v>0</v>
      </c>
      <c r="I502" s="46" t="s">
        <v>215</v>
      </c>
      <c r="J502" s="48">
        <v>0</v>
      </c>
      <c r="K502">
        <v>0</v>
      </c>
      <c r="L502" t="s">
        <v>215</v>
      </c>
      <c r="P502">
        <v>64</v>
      </c>
      <c r="Q502">
        <v>5</v>
      </c>
      <c r="R502">
        <v>69</v>
      </c>
    </row>
    <row r="503" spans="1:18" ht="19.899999999999999" customHeight="1" x14ac:dyDescent="0.25">
      <c r="A503" t="str">
        <f t="shared" si="7"/>
        <v>IT#3MTR</v>
      </c>
      <c r="B503" s="46" t="s">
        <v>662</v>
      </c>
      <c r="C503" s="46" t="s">
        <v>217</v>
      </c>
      <c r="D503" s="46">
        <v>0</v>
      </c>
      <c r="E503" s="46" t="s">
        <v>215</v>
      </c>
      <c r="F503" s="46">
        <v>0</v>
      </c>
      <c r="G503" s="46" t="s">
        <v>215</v>
      </c>
      <c r="H503" s="46">
        <v>0</v>
      </c>
      <c r="I503" s="46" t="s">
        <v>215</v>
      </c>
      <c r="J503" s="48">
        <v>0</v>
      </c>
      <c r="K503" t="s">
        <v>196</v>
      </c>
      <c r="L503" t="s">
        <v>196</v>
      </c>
      <c r="P503">
        <v>15</v>
      </c>
      <c r="Q503">
        <v>6</v>
      </c>
      <c r="R503">
        <v>21</v>
      </c>
    </row>
    <row r="504" spans="1:18" ht="19.899999999999999" customHeight="1" x14ac:dyDescent="0.25">
      <c r="A504" t="str">
        <f t="shared" si="7"/>
        <v>IT21</v>
      </c>
      <c r="B504" s="46" t="s">
        <v>662</v>
      </c>
      <c r="C504" s="46" t="s">
        <v>673</v>
      </c>
      <c r="D504" s="46">
        <v>0</v>
      </c>
      <c r="E504" s="46" t="s">
        <v>215</v>
      </c>
      <c r="F504" s="46">
        <v>0</v>
      </c>
      <c r="G504" s="46" t="s">
        <v>215</v>
      </c>
      <c r="H504" s="46">
        <v>0</v>
      </c>
      <c r="I504" s="46" t="s">
        <v>215</v>
      </c>
      <c r="J504" s="48">
        <v>0</v>
      </c>
      <c r="K504">
        <v>0</v>
      </c>
      <c r="L504" t="s">
        <v>215</v>
      </c>
      <c r="P504">
        <v>5</v>
      </c>
      <c r="Q504">
        <v>17</v>
      </c>
      <c r="R504">
        <v>22</v>
      </c>
    </row>
    <row r="505" spans="1:18" ht="19.899999999999999" customHeight="1" x14ac:dyDescent="0.25">
      <c r="A505" t="str">
        <f t="shared" si="7"/>
        <v>IT30</v>
      </c>
      <c r="B505" s="46" t="s">
        <v>662</v>
      </c>
      <c r="C505" s="46" t="s">
        <v>674</v>
      </c>
      <c r="D505" s="46">
        <v>219</v>
      </c>
      <c r="E505" s="46" t="s">
        <v>199</v>
      </c>
      <c r="F505" s="46">
        <v>208</v>
      </c>
      <c r="G505" s="46" t="s">
        <v>199</v>
      </c>
      <c r="H505" s="46">
        <v>199</v>
      </c>
      <c r="I505" s="46" t="s">
        <v>199</v>
      </c>
      <c r="J505" s="48">
        <v>219</v>
      </c>
      <c r="K505">
        <v>36</v>
      </c>
      <c r="L505" t="s">
        <v>222</v>
      </c>
      <c r="P505">
        <v>3</v>
      </c>
      <c r="Q505">
        <v>1</v>
      </c>
      <c r="R505">
        <v>4</v>
      </c>
    </row>
    <row r="506" spans="1:18" ht="19.899999999999999" customHeight="1" x14ac:dyDescent="0.25">
      <c r="A506" t="str">
        <f t="shared" si="7"/>
        <v>IT26</v>
      </c>
      <c r="B506" s="46" t="s">
        <v>662</v>
      </c>
      <c r="C506" s="46" t="s">
        <v>675</v>
      </c>
      <c r="D506" s="46">
        <v>0</v>
      </c>
      <c r="E506" s="46" t="s">
        <v>215</v>
      </c>
      <c r="F506" s="46">
        <v>0</v>
      </c>
      <c r="G506" s="46" t="s">
        <v>215</v>
      </c>
      <c r="H506" s="46">
        <v>0</v>
      </c>
      <c r="I506" s="46" t="s">
        <v>215</v>
      </c>
      <c r="J506" s="48">
        <v>0</v>
      </c>
      <c r="K506">
        <v>0</v>
      </c>
      <c r="L506" t="s">
        <v>215</v>
      </c>
      <c r="P506">
        <v>0</v>
      </c>
      <c r="Q506">
        <v>1</v>
      </c>
      <c r="R506">
        <v>1</v>
      </c>
    </row>
    <row r="507" spans="1:18" ht="19.899999999999999" customHeight="1" x14ac:dyDescent="0.25">
      <c r="A507" t="str">
        <f t="shared" si="7"/>
        <v>IT31</v>
      </c>
      <c r="B507" s="46" t="s">
        <v>662</v>
      </c>
      <c r="C507" s="46" t="s">
        <v>676</v>
      </c>
      <c r="D507" s="46">
        <v>69</v>
      </c>
      <c r="E507" s="46" t="s">
        <v>200</v>
      </c>
      <c r="F507" s="46">
        <v>60</v>
      </c>
      <c r="G507" s="46" t="s">
        <v>200</v>
      </c>
      <c r="H507" s="46">
        <v>86</v>
      </c>
      <c r="I507" s="46" t="s">
        <v>200</v>
      </c>
      <c r="J507" s="48">
        <v>86</v>
      </c>
      <c r="K507">
        <v>50</v>
      </c>
      <c r="L507" t="s">
        <v>200</v>
      </c>
      <c r="P507">
        <v>22</v>
      </c>
      <c r="Q507">
        <v>15</v>
      </c>
      <c r="R507">
        <v>37</v>
      </c>
    </row>
    <row r="508" spans="1:18" ht="19.899999999999999" customHeight="1" x14ac:dyDescent="0.25">
      <c r="A508" t="str">
        <f t="shared" si="7"/>
        <v>IT28</v>
      </c>
      <c r="B508" s="46" t="s">
        <v>662</v>
      </c>
      <c r="C508" s="46" t="s">
        <v>677</v>
      </c>
      <c r="D508" s="46">
        <v>0</v>
      </c>
      <c r="E508" s="46" t="s">
        <v>215</v>
      </c>
      <c r="F508" s="46">
        <v>0</v>
      </c>
      <c r="G508" s="46" t="s">
        <v>215</v>
      </c>
      <c r="H508" s="46">
        <v>0</v>
      </c>
      <c r="I508" s="46" t="s">
        <v>215</v>
      </c>
      <c r="J508" s="48">
        <v>0</v>
      </c>
      <c r="K508">
        <v>0</v>
      </c>
      <c r="L508" t="s">
        <v>215</v>
      </c>
      <c r="P508">
        <v>119</v>
      </c>
      <c r="Q508">
        <v>13</v>
      </c>
      <c r="R508">
        <v>132</v>
      </c>
    </row>
    <row r="509" spans="1:18" ht="19.899999999999999" customHeight="1" x14ac:dyDescent="0.25">
      <c r="A509" t="str">
        <f t="shared" si="7"/>
        <v>IF#1MTR</v>
      </c>
      <c r="B509" s="46" t="s">
        <v>678</v>
      </c>
      <c r="C509" s="46" t="s">
        <v>194</v>
      </c>
      <c r="D509" s="46">
        <v>341</v>
      </c>
      <c r="E509" s="46" t="s">
        <v>195</v>
      </c>
      <c r="F509" s="46">
        <v>305</v>
      </c>
      <c r="G509" s="46" t="s">
        <v>195</v>
      </c>
      <c r="H509" s="46">
        <v>336</v>
      </c>
      <c r="I509" s="46" t="s">
        <v>195</v>
      </c>
      <c r="J509" s="48">
        <v>341</v>
      </c>
      <c r="K509" t="s">
        <v>196</v>
      </c>
      <c r="L509" t="s">
        <v>196</v>
      </c>
      <c r="P509">
        <v>8</v>
      </c>
      <c r="Q509">
        <v>3</v>
      </c>
      <c r="R509">
        <v>11</v>
      </c>
    </row>
    <row r="510" spans="1:18" ht="19.899999999999999" customHeight="1" x14ac:dyDescent="0.25">
      <c r="A510" t="str">
        <f t="shared" si="7"/>
        <v>IF21</v>
      </c>
      <c r="B510" s="46" t="s">
        <v>678</v>
      </c>
      <c r="C510" s="46" t="s">
        <v>679</v>
      </c>
      <c r="D510" s="46">
        <v>126</v>
      </c>
      <c r="E510" s="46" t="s">
        <v>222</v>
      </c>
      <c r="F510" s="46">
        <v>145</v>
      </c>
      <c r="G510" s="46" t="s">
        <v>222</v>
      </c>
      <c r="H510" s="46">
        <v>118</v>
      </c>
      <c r="I510" s="46" t="s">
        <v>222</v>
      </c>
      <c r="J510" s="48">
        <v>145</v>
      </c>
      <c r="K510">
        <v>39</v>
      </c>
      <c r="L510" t="s">
        <v>227</v>
      </c>
      <c r="P510">
        <v>1</v>
      </c>
      <c r="Q510">
        <v>7</v>
      </c>
      <c r="R510">
        <v>8</v>
      </c>
    </row>
    <row r="511" spans="1:18" ht="19.899999999999999" customHeight="1" x14ac:dyDescent="0.25">
      <c r="A511" t="str">
        <f t="shared" si="7"/>
        <v>IF25</v>
      </c>
      <c r="B511" s="46" t="s">
        <v>678</v>
      </c>
      <c r="C511" s="46" t="s">
        <v>680</v>
      </c>
      <c r="D511" s="46">
        <v>155</v>
      </c>
      <c r="E511" s="46" t="s">
        <v>227</v>
      </c>
      <c r="F511" s="46">
        <v>150</v>
      </c>
      <c r="G511" s="46" t="s">
        <v>227</v>
      </c>
      <c r="H511" s="46">
        <v>155</v>
      </c>
      <c r="I511" s="46" t="s">
        <v>227</v>
      </c>
      <c r="J511" s="48">
        <v>155</v>
      </c>
      <c r="K511">
        <v>23</v>
      </c>
      <c r="L511" t="s">
        <v>206</v>
      </c>
      <c r="P511">
        <v>40</v>
      </c>
      <c r="Q511">
        <v>13</v>
      </c>
      <c r="R511">
        <v>53</v>
      </c>
    </row>
    <row r="512" spans="1:18" ht="19.899999999999999" customHeight="1" x14ac:dyDescent="0.25">
      <c r="A512" t="str">
        <f t="shared" si="7"/>
        <v>IF30</v>
      </c>
      <c r="B512" s="46" t="s">
        <v>678</v>
      </c>
      <c r="C512" s="46" t="s">
        <v>681</v>
      </c>
      <c r="D512" s="46">
        <v>168</v>
      </c>
      <c r="E512" s="46" t="s">
        <v>199</v>
      </c>
      <c r="F512" s="46">
        <v>161</v>
      </c>
      <c r="G512" s="46" t="s">
        <v>199</v>
      </c>
      <c r="H512" s="46">
        <v>149</v>
      </c>
      <c r="I512" s="46" t="s">
        <v>199</v>
      </c>
      <c r="J512" s="48">
        <v>168</v>
      </c>
      <c r="K512">
        <v>71</v>
      </c>
      <c r="L512" t="s">
        <v>231</v>
      </c>
      <c r="P512">
        <v>0</v>
      </c>
      <c r="Q512">
        <v>1</v>
      </c>
      <c r="R512">
        <v>1</v>
      </c>
    </row>
    <row r="513" spans="1:18" ht="19.899999999999999" customHeight="1" x14ac:dyDescent="0.25">
      <c r="A513" t="str">
        <f t="shared" si="7"/>
        <v>IF33</v>
      </c>
      <c r="B513" s="46" t="s">
        <v>678</v>
      </c>
      <c r="C513" s="46" t="s">
        <v>682</v>
      </c>
      <c r="D513" s="46">
        <v>0</v>
      </c>
      <c r="E513" s="46" t="s">
        <v>215</v>
      </c>
      <c r="F513" s="46">
        <v>2</v>
      </c>
      <c r="G513" s="46" t="s">
        <v>215</v>
      </c>
      <c r="H513" s="46">
        <v>3</v>
      </c>
      <c r="I513" s="46" t="s">
        <v>218</v>
      </c>
      <c r="J513" s="48">
        <v>3</v>
      </c>
      <c r="K513">
        <v>0</v>
      </c>
      <c r="L513" t="s">
        <v>215</v>
      </c>
      <c r="P513">
        <v>53</v>
      </c>
      <c r="Q513">
        <v>7</v>
      </c>
      <c r="R513">
        <v>60</v>
      </c>
    </row>
    <row r="514" spans="1:18" ht="19.899999999999999" customHeight="1" x14ac:dyDescent="0.25">
      <c r="A514" t="str">
        <f t="shared" si="7"/>
        <v>IF34</v>
      </c>
      <c r="B514" s="46" t="s">
        <v>678</v>
      </c>
      <c r="C514" s="46" t="s">
        <v>683</v>
      </c>
      <c r="D514" s="46">
        <v>32</v>
      </c>
      <c r="E514" s="46" t="s">
        <v>235</v>
      </c>
      <c r="F514" s="46">
        <v>31</v>
      </c>
      <c r="G514" s="46" t="s">
        <v>200</v>
      </c>
      <c r="H514" s="46">
        <v>32</v>
      </c>
      <c r="I514" s="46" t="s">
        <v>235</v>
      </c>
      <c r="J514" s="48">
        <v>32</v>
      </c>
      <c r="K514">
        <v>3</v>
      </c>
      <c r="L514" t="s">
        <v>215</v>
      </c>
      <c r="P514" t="s">
        <v>192</v>
      </c>
      <c r="Q514">
        <v>1</v>
      </c>
      <c r="R514">
        <v>1</v>
      </c>
    </row>
    <row r="515" spans="1:18" ht="19.899999999999999" customHeight="1" x14ac:dyDescent="0.25">
      <c r="A515" t="str">
        <f t="shared" si="7"/>
        <v>IF#2MTR</v>
      </c>
      <c r="B515" s="46" t="s">
        <v>678</v>
      </c>
      <c r="C515" s="46" t="s">
        <v>209</v>
      </c>
      <c r="D515" s="46">
        <v>386</v>
      </c>
      <c r="E515" s="46" t="s">
        <v>195</v>
      </c>
      <c r="F515" s="46">
        <v>375</v>
      </c>
      <c r="G515" s="46" t="s">
        <v>195</v>
      </c>
      <c r="H515" s="46">
        <v>395</v>
      </c>
      <c r="I515" s="46" t="s">
        <v>195</v>
      </c>
      <c r="J515" s="48">
        <v>395</v>
      </c>
      <c r="K515" t="s">
        <v>196</v>
      </c>
      <c r="L515" t="s">
        <v>196</v>
      </c>
      <c r="P515">
        <v>13</v>
      </c>
      <c r="Q515">
        <v>10</v>
      </c>
      <c r="R515">
        <v>23</v>
      </c>
    </row>
    <row r="516" spans="1:18" ht="19.899999999999999" customHeight="1" x14ac:dyDescent="0.25">
      <c r="A516" t="str">
        <f t="shared" ref="A516:A579" si="8">IF(COUNTIF(C516,"*TR*")&gt;0,SUBSTITUTE(RIGHT(B516,3) &amp; C516," ",""),MID(C516,FIND("(",C516)+1,4))</f>
        <v>IF31</v>
      </c>
      <c r="B516" s="46" t="s">
        <v>678</v>
      </c>
      <c r="C516" s="46" t="s">
        <v>684</v>
      </c>
      <c r="D516" s="46">
        <v>38</v>
      </c>
      <c r="E516" s="46" t="s">
        <v>302</v>
      </c>
      <c r="F516" s="46">
        <v>43</v>
      </c>
      <c r="G516" s="46" t="s">
        <v>195</v>
      </c>
      <c r="H516" s="46">
        <v>40</v>
      </c>
      <c r="I516" s="46" t="s">
        <v>195</v>
      </c>
      <c r="J516" s="48">
        <v>43</v>
      </c>
      <c r="K516">
        <v>18</v>
      </c>
      <c r="L516" t="s">
        <v>213</v>
      </c>
      <c r="P516">
        <v>9</v>
      </c>
      <c r="Q516">
        <v>9</v>
      </c>
      <c r="R516">
        <v>18</v>
      </c>
    </row>
    <row r="517" spans="1:18" ht="19.899999999999999" customHeight="1" x14ac:dyDescent="0.25">
      <c r="A517" t="str">
        <f t="shared" si="8"/>
        <v>IF22</v>
      </c>
      <c r="B517" s="46" t="s">
        <v>678</v>
      </c>
      <c r="C517" s="46" t="s">
        <v>685</v>
      </c>
      <c r="D517" s="46">
        <v>51</v>
      </c>
      <c r="E517" s="46" t="s">
        <v>222</v>
      </c>
      <c r="F517" s="46">
        <v>51</v>
      </c>
      <c r="G517" s="46" t="s">
        <v>222</v>
      </c>
      <c r="H517" s="46">
        <v>52</v>
      </c>
      <c r="I517" s="46" t="s">
        <v>222</v>
      </c>
      <c r="J517" s="48">
        <v>52</v>
      </c>
      <c r="K517">
        <v>0</v>
      </c>
      <c r="L517" t="s">
        <v>215</v>
      </c>
      <c r="P517">
        <v>1033</v>
      </c>
      <c r="Q517">
        <v>4</v>
      </c>
      <c r="R517">
        <v>1037</v>
      </c>
    </row>
    <row r="518" spans="1:18" ht="19.899999999999999" customHeight="1" x14ac:dyDescent="0.25">
      <c r="A518" t="str">
        <f t="shared" si="8"/>
        <v>IF23</v>
      </c>
      <c r="B518" s="46" t="s">
        <v>678</v>
      </c>
      <c r="C518" s="46" t="s">
        <v>686</v>
      </c>
      <c r="D518" s="46">
        <v>91</v>
      </c>
      <c r="E518" s="46" t="s">
        <v>195</v>
      </c>
      <c r="F518" s="46">
        <v>88</v>
      </c>
      <c r="G518" s="46" t="s">
        <v>195</v>
      </c>
      <c r="H518" s="46">
        <v>118</v>
      </c>
      <c r="I518" s="46" t="s">
        <v>195</v>
      </c>
      <c r="J518" s="48">
        <v>118</v>
      </c>
      <c r="K518">
        <v>45</v>
      </c>
      <c r="L518" t="s">
        <v>293</v>
      </c>
      <c r="P518">
        <v>2066</v>
      </c>
      <c r="Q518">
        <v>3</v>
      </c>
      <c r="R518">
        <v>2069</v>
      </c>
    </row>
    <row r="519" spans="1:18" ht="19.899999999999999" customHeight="1" x14ac:dyDescent="0.25">
      <c r="A519" t="str">
        <f t="shared" si="8"/>
        <v>IF24</v>
      </c>
      <c r="B519" s="46" t="s">
        <v>678</v>
      </c>
      <c r="C519" s="46" t="s">
        <v>687</v>
      </c>
      <c r="D519" s="46">
        <v>192</v>
      </c>
      <c r="E519" s="46" t="s">
        <v>227</v>
      </c>
      <c r="F519" s="46">
        <v>172</v>
      </c>
      <c r="G519" s="46" t="s">
        <v>227</v>
      </c>
      <c r="H519" s="46">
        <v>162</v>
      </c>
      <c r="I519" s="46" t="s">
        <v>227</v>
      </c>
      <c r="J519" s="48">
        <v>192</v>
      </c>
      <c r="K519">
        <v>43</v>
      </c>
      <c r="L519" t="s">
        <v>227</v>
      </c>
      <c r="P519">
        <v>258</v>
      </c>
      <c r="Q519">
        <v>5</v>
      </c>
      <c r="R519">
        <v>263</v>
      </c>
    </row>
    <row r="520" spans="1:18" ht="19.899999999999999" customHeight="1" x14ac:dyDescent="0.25">
      <c r="A520" t="str">
        <f t="shared" si="8"/>
        <v>IF26</v>
      </c>
      <c r="B520" s="46" t="s">
        <v>678</v>
      </c>
      <c r="C520" s="46" t="s">
        <v>688</v>
      </c>
      <c r="D520" s="46">
        <v>68</v>
      </c>
      <c r="E520" s="46" t="s">
        <v>195</v>
      </c>
      <c r="F520" s="46">
        <v>42</v>
      </c>
      <c r="G520" s="46" t="s">
        <v>195</v>
      </c>
      <c r="H520" s="46">
        <v>44</v>
      </c>
      <c r="I520" s="46" t="s">
        <v>195</v>
      </c>
      <c r="J520" s="48">
        <v>68</v>
      </c>
      <c r="K520">
        <v>39</v>
      </c>
      <c r="L520" t="s">
        <v>202</v>
      </c>
      <c r="P520" t="s">
        <v>192</v>
      </c>
      <c r="Q520">
        <v>1</v>
      </c>
      <c r="R520">
        <v>1</v>
      </c>
    </row>
    <row r="521" spans="1:18" ht="19.899999999999999" customHeight="1" x14ac:dyDescent="0.25">
      <c r="A521" t="str">
        <f t="shared" si="8"/>
        <v>IF#3MTR</v>
      </c>
      <c r="B521" s="46" t="s">
        <v>678</v>
      </c>
      <c r="C521" s="46" t="s">
        <v>217</v>
      </c>
      <c r="D521" s="46">
        <v>488</v>
      </c>
      <c r="E521" s="46" t="s">
        <v>195</v>
      </c>
      <c r="F521" s="46">
        <v>484</v>
      </c>
      <c r="G521" s="46" t="s">
        <v>195</v>
      </c>
      <c r="H521" s="46">
        <v>507</v>
      </c>
      <c r="I521" s="46" t="s">
        <v>195</v>
      </c>
      <c r="J521" s="48">
        <v>507</v>
      </c>
      <c r="K521" t="s">
        <v>196</v>
      </c>
      <c r="L521" t="s">
        <v>196</v>
      </c>
      <c r="P521">
        <v>2</v>
      </c>
      <c r="Q521">
        <v>3</v>
      </c>
      <c r="R521">
        <v>5</v>
      </c>
    </row>
    <row r="522" spans="1:18" ht="19.899999999999999" customHeight="1" x14ac:dyDescent="0.25">
      <c r="A522" t="str">
        <f t="shared" si="8"/>
        <v>IF35</v>
      </c>
      <c r="B522" s="46" t="s">
        <v>678</v>
      </c>
      <c r="C522" s="46" t="s">
        <v>689</v>
      </c>
      <c r="D522" s="46">
        <v>19</v>
      </c>
      <c r="E522" s="46" t="s">
        <v>231</v>
      </c>
      <c r="F522" s="46">
        <v>16</v>
      </c>
      <c r="G522" s="46" t="s">
        <v>231</v>
      </c>
      <c r="H522" s="46">
        <v>19</v>
      </c>
      <c r="I522" s="46" t="s">
        <v>231</v>
      </c>
      <c r="J522" s="48">
        <v>19</v>
      </c>
      <c r="K522">
        <v>14</v>
      </c>
      <c r="L522" t="s">
        <v>222</v>
      </c>
      <c r="P522">
        <v>6</v>
      </c>
      <c r="Q522">
        <v>4</v>
      </c>
      <c r="R522">
        <v>10</v>
      </c>
    </row>
    <row r="523" spans="1:18" ht="19.899999999999999" customHeight="1" x14ac:dyDescent="0.25">
      <c r="A523" t="str">
        <f t="shared" si="8"/>
        <v>IF38</v>
      </c>
      <c r="B523" s="46" t="s">
        <v>678</v>
      </c>
      <c r="C523" s="46" t="s">
        <v>690</v>
      </c>
      <c r="D523" s="46">
        <v>104</v>
      </c>
      <c r="E523" s="46" t="s">
        <v>195</v>
      </c>
      <c r="F523" s="46">
        <v>114</v>
      </c>
      <c r="G523" s="46" t="s">
        <v>206</v>
      </c>
      <c r="H523" s="46">
        <v>112</v>
      </c>
      <c r="I523" s="46" t="s">
        <v>206</v>
      </c>
      <c r="J523" s="48">
        <v>114</v>
      </c>
      <c r="K523">
        <v>31</v>
      </c>
      <c r="L523" t="s">
        <v>202</v>
      </c>
      <c r="P523">
        <v>278</v>
      </c>
      <c r="Q523">
        <v>6</v>
      </c>
      <c r="R523">
        <v>284</v>
      </c>
    </row>
    <row r="524" spans="1:18" ht="19.899999999999999" customHeight="1" x14ac:dyDescent="0.25">
      <c r="A524" t="str">
        <f t="shared" si="8"/>
        <v>IF36</v>
      </c>
      <c r="B524" s="46" t="s">
        <v>678</v>
      </c>
      <c r="C524" s="46" t="s">
        <v>691</v>
      </c>
      <c r="D524" s="46">
        <v>121</v>
      </c>
      <c r="E524" s="46" t="s">
        <v>206</v>
      </c>
      <c r="F524" s="46">
        <v>84</v>
      </c>
      <c r="G524" s="46" t="s">
        <v>195</v>
      </c>
      <c r="H524" s="46">
        <v>89</v>
      </c>
      <c r="I524" s="46" t="s">
        <v>235</v>
      </c>
      <c r="J524" s="48">
        <v>121</v>
      </c>
      <c r="K524">
        <v>45</v>
      </c>
      <c r="L524" t="s">
        <v>206</v>
      </c>
      <c r="P524">
        <v>1720</v>
      </c>
      <c r="Q524">
        <v>5</v>
      </c>
      <c r="R524">
        <v>1725</v>
      </c>
    </row>
    <row r="525" spans="1:18" ht="19.899999999999999" customHeight="1" x14ac:dyDescent="0.25">
      <c r="A525" t="str">
        <f t="shared" si="8"/>
        <v>IF37</v>
      </c>
      <c r="B525" s="46" t="s">
        <v>678</v>
      </c>
      <c r="C525" s="46" t="s">
        <v>692</v>
      </c>
      <c r="D525" s="46">
        <v>209</v>
      </c>
      <c r="E525" s="46" t="s">
        <v>195</v>
      </c>
      <c r="F525" s="46">
        <v>219</v>
      </c>
      <c r="G525" s="46" t="s">
        <v>195</v>
      </c>
      <c r="H525" s="46">
        <v>224</v>
      </c>
      <c r="I525" s="46" t="s">
        <v>195</v>
      </c>
      <c r="J525" s="48">
        <v>224</v>
      </c>
      <c r="K525">
        <v>48</v>
      </c>
      <c r="L525" t="s">
        <v>293</v>
      </c>
      <c r="P525">
        <v>653</v>
      </c>
      <c r="Q525">
        <v>2</v>
      </c>
      <c r="R525">
        <v>655</v>
      </c>
    </row>
    <row r="526" spans="1:18" ht="19.899999999999999" customHeight="1" x14ac:dyDescent="0.25">
      <c r="A526" t="str">
        <f t="shared" si="8"/>
        <v>IF39</v>
      </c>
      <c r="B526" s="46" t="s">
        <v>678</v>
      </c>
      <c r="C526" s="46" t="s">
        <v>693</v>
      </c>
      <c r="D526" s="46">
        <v>95</v>
      </c>
      <c r="E526" s="46" t="s">
        <v>222</v>
      </c>
      <c r="F526" s="46">
        <v>88</v>
      </c>
      <c r="G526" s="46" t="s">
        <v>222</v>
      </c>
      <c r="H526" s="46">
        <v>83</v>
      </c>
      <c r="I526" s="46" t="s">
        <v>195</v>
      </c>
      <c r="J526" s="48">
        <v>95</v>
      </c>
      <c r="K526">
        <v>39</v>
      </c>
      <c r="L526" t="s">
        <v>206</v>
      </c>
      <c r="P526">
        <v>2883</v>
      </c>
      <c r="Q526">
        <v>1</v>
      </c>
      <c r="R526">
        <v>2884</v>
      </c>
    </row>
    <row r="527" spans="1:18" ht="19.899999999999999" customHeight="1" x14ac:dyDescent="0.25">
      <c r="A527" t="str">
        <f t="shared" si="8"/>
        <v>IF#4MTR</v>
      </c>
      <c r="B527" s="46" t="s">
        <v>678</v>
      </c>
      <c r="C527" s="46" t="s">
        <v>436</v>
      </c>
      <c r="D527" s="46">
        <v>511</v>
      </c>
      <c r="E527" s="46" t="s">
        <v>195</v>
      </c>
      <c r="F527" s="46">
        <v>464</v>
      </c>
      <c r="G527" s="46" t="s">
        <v>195</v>
      </c>
      <c r="H527" s="46">
        <v>503</v>
      </c>
      <c r="I527" s="46" t="s">
        <v>195</v>
      </c>
      <c r="J527" s="48">
        <v>511</v>
      </c>
      <c r="K527" t="s">
        <v>196</v>
      </c>
      <c r="L527" t="s">
        <v>196</v>
      </c>
      <c r="P527">
        <v>20</v>
      </c>
      <c r="Q527">
        <v>12</v>
      </c>
      <c r="R527">
        <v>32</v>
      </c>
    </row>
    <row r="528" spans="1:18" ht="19.899999999999999" customHeight="1" x14ac:dyDescent="0.25">
      <c r="A528" t="str">
        <f t="shared" si="8"/>
        <v>IF27</v>
      </c>
      <c r="B528" s="46" t="s">
        <v>678</v>
      </c>
      <c r="C528" s="46" t="s">
        <v>694</v>
      </c>
      <c r="D528" s="46">
        <v>34</v>
      </c>
      <c r="E528" s="46" t="s">
        <v>195</v>
      </c>
      <c r="F528" s="46">
        <v>31</v>
      </c>
      <c r="G528" s="46" t="s">
        <v>195</v>
      </c>
      <c r="H528" s="46">
        <v>29</v>
      </c>
      <c r="I528" s="46" t="s">
        <v>195</v>
      </c>
      <c r="J528" s="48">
        <v>34</v>
      </c>
      <c r="K528">
        <v>17</v>
      </c>
      <c r="L528" t="s">
        <v>202</v>
      </c>
      <c r="P528">
        <v>2153</v>
      </c>
      <c r="Q528">
        <v>3</v>
      </c>
      <c r="R528">
        <v>2156</v>
      </c>
    </row>
    <row r="529" spans="1:18" ht="19.899999999999999" customHeight="1" x14ac:dyDescent="0.25">
      <c r="A529" t="str">
        <f t="shared" si="8"/>
        <v>IF20</v>
      </c>
      <c r="B529" s="46" t="s">
        <v>678</v>
      </c>
      <c r="C529" s="46" t="s">
        <v>695</v>
      </c>
      <c r="D529" s="46">
        <v>185</v>
      </c>
      <c r="E529" s="46" t="s">
        <v>195</v>
      </c>
      <c r="F529" s="46">
        <v>160</v>
      </c>
      <c r="G529" s="46" t="s">
        <v>195</v>
      </c>
      <c r="H529" s="46">
        <v>185</v>
      </c>
      <c r="I529" s="46" t="s">
        <v>198</v>
      </c>
      <c r="J529" s="48">
        <v>185</v>
      </c>
      <c r="K529">
        <v>52</v>
      </c>
      <c r="L529" t="s">
        <v>200</v>
      </c>
      <c r="P529">
        <v>118</v>
      </c>
      <c r="Q529">
        <v>4</v>
      </c>
      <c r="R529">
        <v>122</v>
      </c>
    </row>
    <row r="530" spans="1:18" ht="19.899999999999999" customHeight="1" x14ac:dyDescent="0.25">
      <c r="A530" t="str">
        <f t="shared" si="8"/>
        <v>IF28</v>
      </c>
      <c r="B530" s="46" t="s">
        <v>678</v>
      </c>
      <c r="C530" s="46" t="s">
        <v>696</v>
      </c>
      <c r="D530" s="46">
        <v>117</v>
      </c>
      <c r="E530" s="46" t="s">
        <v>195</v>
      </c>
      <c r="F530" s="46">
        <v>121</v>
      </c>
      <c r="G530" s="46" t="s">
        <v>195</v>
      </c>
      <c r="H530" s="46">
        <v>127</v>
      </c>
      <c r="I530" s="46" t="s">
        <v>195</v>
      </c>
      <c r="J530" s="48">
        <v>127</v>
      </c>
      <c r="K530">
        <v>33</v>
      </c>
      <c r="L530" t="s">
        <v>213</v>
      </c>
      <c r="P530">
        <v>3042</v>
      </c>
      <c r="Q530">
        <v>5</v>
      </c>
      <c r="R530">
        <v>3047</v>
      </c>
    </row>
    <row r="531" spans="1:18" ht="19.899999999999999" customHeight="1" x14ac:dyDescent="0.25">
      <c r="A531" t="str">
        <f t="shared" si="8"/>
        <v>IF32</v>
      </c>
      <c r="B531" s="46" t="s">
        <v>678</v>
      </c>
      <c r="C531" s="46" t="s">
        <v>697</v>
      </c>
      <c r="D531" s="46">
        <v>61</v>
      </c>
      <c r="E531" s="46" t="s">
        <v>195</v>
      </c>
      <c r="F531" s="46">
        <v>46</v>
      </c>
      <c r="G531" s="46" t="s">
        <v>222</v>
      </c>
      <c r="H531" s="46">
        <v>48</v>
      </c>
      <c r="I531" s="46" t="s">
        <v>222</v>
      </c>
      <c r="J531" s="48">
        <v>61</v>
      </c>
      <c r="K531">
        <v>32</v>
      </c>
      <c r="L531" t="s">
        <v>195</v>
      </c>
      <c r="P531">
        <v>1259</v>
      </c>
      <c r="Q531">
        <v>7</v>
      </c>
      <c r="R531">
        <v>1266</v>
      </c>
    </row>
    <row r="532" spans="1:18" ht="19.899999999999999" customHeight="1" x14ac:dyDescent="0.25">
      <c r="A532" t="str">
        <f t="shared" si="8"/>
        <v>IF29</v>
      </c>
      <c r="B532" s="46" t="s">
        <v>678</v>
      </c>
      <c r="C532" s="46" t="s">
        <v>698</v>
      </c>
      <c r="D532" s="46">
        <v>113</v>
      </c>
      <c r="E532" s="46" t="s">
        <v>199</v>
      </c>
      <c r="F532" s="46">
        <v>114</v>
      </c>
      <c r="G532" s="46" t="s">
        <v>199</v>
      </c>
      <c r="H532" s="46">
        <v>120</v>
      </c>
      <c r="I532" s="46" t="s">
        <v>199</v>
      </c>
      <c r="J532" s="48">
        <v>120</v>
      </c>
      <c r="K532">
        <v>17</v>
      </c>
      <c r="L532" t="s">
        <v>199</v>
      </c>
      <c r="P532" t="s">
        <v>192</v>
      </c>
      <c r="Q532" t="s">
        <v>192</v>
      </c>
      <c r="R532">
        <v>0</v>
      </c>
    </row>
    <row r="533" spans="1:18" ht="19.899999999999999" customHeight="1" x14ac:dyDescent="0.25">
      <c r="A533" t="str">
        <f t="shared" si="8"/>
        <v>ID#1MTR</v>
      </c>
      <c r="B533" s="46" t="s">
        <v>699</v>
      </c>
      <c r="C533" s="46" t="s">
        <v>194</v>
      </c>
      <c r="D533" s="46">
        <v>621</v>
      </c>
      <c r="E533" s="46" t="s">
        <v>195</v>
      </c>
      <c r="F533" s="46">
        <v>523</v>
      </c>
      <c r="G533" s="46" t="s">
        <v>206</v>
      </c>
      <c r="H533" s="46">
        <v>587</v>
      </c>
      <c r="I533" s="46" t="s">
        <v>195</v>
      </c>
      <c r="J533" s="48">
        <v>621</v>
      </c>
      <c r="K533" t="s">
        <v>196</v>
      </c>
      <c r="L533" t="s">
        <v>196</v>
      </c>
      <c r="P533">
        <v>1335</v>
      </c>
      <c r="Q533">
        <v>9</v>
      </c>
      <c r="R533">
        <v>1344</v>
      </c>
    </row>
    <row r="534" spans="1:18" ht="19.899999999999999" customHeight="1" x14ac:dyDescent="0.25">
      <c r="A534" t="str">
        <f t="shared" si="8"/>
        <v>ID20</v>
      </c>
      <c r="B534" s="46" t="s">
        <v>699</v>
      </c>
      <c r="C534" s="46" t="s">
        <v>700</v>
      </c>
      <c r="D534" s="46">
        <v>15</v>
      </c>
      <c r="E534" s="46" t="s">
        <v>198</v>
      </c>
      <c r="F534" s="46">
        <v>10</v>
      </c>
      <c r="G534" s="46" t="s">
        <v>200</v>
      </c>
      <c r="H534" s="46">
        <v>12</v>
      </c>
      <c r="I534" s="46" t="s">
        <v>200</v>
      </c>
      <c r="J534" s="48">
        <v>15</v>
      </c>
      <c r="K534">
        <v>13</v>
      </c>
      <c r="L534" t="s">
        <v>198</v>
      </c>
      <c r="P534">
        <v>499</v>
      </c>
      <c r="Q534">
        <v>2</v>
      </c>
      <c r="R534">
        <v>501</v>
      </c>
    </row>
    <row r="535" spans="1:18" ht="19.899999999999999" customHeight="1" x14ac:dyDescent="0.25">
      <c r="A535" t="str">
        <f t="shared" si="8"/>
        <v>ID23</v>
      </c>
      <c r="B535" s="46" t="s">
        <v>699</v>
      </c>
      <c r="C535" s="46" t="s">
        <v>701</v>
      </c>
      <c r="D535" s="46">
        <v>108</v>
      </c>
      <c r="E535" s="46" t="s">
        <v>222</v>
      </c>
      <c r="F535" s="46">
        <v>122</v>
      </c>
      <c r="G535" s="46" t="s">
        <v>222</v>
      </c>
      <c r="H535" s="46">
        <v>109</v>
      </c>
      <c r="I535" s="46" t="s">
        <v>222</v>
      </c>
      <c r="J535" s="48">
        <v>122</v>
      </c>
      <c r="K535">
        <v>42</v>
      </c>
      <c r="L535" t="s">
        <v>235</v>
      </c>
      <c r="P535">
        <v>2141</v>
      </c>
      <c r="Q535">
        <v>2</v>
      </c>
      <c r="R535">
        <v>2143</v>
      </c>
    </row>
    <row r="536" spans="1:18" ht="19.899999999999999" customHeight="1" x14ac:dyDescent="0.25">
      <c r="A536" t="str">
        <f t="shared" si="8"/>
        <v>ID28</v>
      </c>
      <c r="B536" s="46" t="s">
        <v>699</v>
      </c>
      <c r="C536" s="46" t="s">
        <v>702</v>
      </c>
      <c r="D536" s="46">
        <v>218</v>
      </c>
      <c r="E536" s="46" t="s">
        <v>195</v>
      </c>
      <c r="F536" s="46">
        <v>227</v>
      </c>
      <c r="G536" s="46" t="s">
        <v>206</v>
      </c>
      <c r="H536" s="46">
        <v>249</v>
      </c>
      <c r="I536" s="46" t="s">
        <v>206</v>
      </c>
      <c r="J536" s="48">
        <v>249</v>
      </c>
      <c r="K536">
        <v>60</v>
      </c>
      <c r="L536" t="s">
        <v>235</v>
      </c>
      <c r="P536">
        <v>1151</v>
      </c>
      <c r="Q536">
        <v>3</v>
      </c>
      <c r="R536">
        <v>1154</v>
      </c>
    </row>
    <row r="537" spans="1:18" ht="19.899999999999999" customHeight="1" x14ac:dyDescent="0.25">
      <c r="A537" t="str">
        <f t="shared" si="8"/>
        <v>ID26</v>
      </c>
      <c r="B537" s="46" t="s">
        <v>699</v>
      </c>
      <c r="C537" s="46" t="s">
        <v>703</v>
      </c>
      <c r="D537" s="46">
        <v>145</v>
      </c>
      <c r="E537" s="46" t="s">
        <v>202</v>
      </c>
      <c r="F537" s="46">
        <v>127</v>
      </c>
      <c r="G537" s="46" t="s">
        <v>204</v>
      </c>
      <c r="H537" s="46">
        <v>106</v>
      </c>
      <c r="I537" s="46" t="s">
        <v>231</v>
      </c>
      <c r="J537" s="48">
        <v>145</v>
      </c>
      <c r="K537">
        <v>45</v>
      </c>
      <c r="L537" t="s">
        <v>204</v>
      </c>
      <c r="P537">
        <v>1898</v>
      </c>
      <c r="Q537">
        <v>2</v>
      </c>
      <c r="R537">
        <v>1900</v>
      </c>
    </row>
    <row r="538" spans="1:18" ht="19.899999999999999" customHeight="1" x14ac:dyDescent="0.25">
      <c r="A538" t="str">
        <f t="shared" si="8"/>
        <v>ID31</v>
      </c>
      <c r="B538" s="46" t="s">
        <v>699</v>
      </c>
      <c r="C538" s="46" t="s">
        <v>704</v>
      </c>
      <c r="D538" s="46">
        <v>221</v>
      </c>
      <c r="E538" s="46" t="s">
        <v>195</v>
      </c>
      <c r="F538" s="46">
        <v>181</v>
      </c>
      <c r="G538" s="46" t="s">
        <v>206</v>
      </c>
      <c r="H538" s="46">
        <v>203</v>
      </c>
      <c r="I538" s="46" t="s">
        <v>195</v>
      </c>
      <c r="J538" s="48">
        <v>221</v>
      </c>
      <c r="K538">
        <v>66</v>
      </c>
      <c r="L538" t="s">
        <v>195</v>
      </c>
      <c r="P538">
        <v>1436</v>
      </c>
      <c r="Q538">
        <v>2</v>
      </c>
      <c r="R538">
        <v>1438</v>
      </c>
    </row>
    <row r="539" spans="1:18" ht="19.899999999999999" customHeight="1" x14ac:dyDescent="0.25">
      <c r="A539" t="str">
        <f t="shared" si="8"/>
        <v>ID#2MTR</v>
      </c>
      <c r="B539" s="46" t="s">
        <v>699</v>
      </c>
      <c r="C539" s="46" t="s">
        <v>209</v>
      </c>
      <c r="D539" s="46">
        <v>778</v>
      </c>
      <c r="E539" s="46" t="s">
        <v>199</v>
      </c>
      <c r="F539" s="46">
        <v>763</v>
      </c>
      <c r="G539" s="46" t="s">
        <v>199</v>
      </c>
      <c r="H539" s="46">
        <v>802</v>
      </c>
      <c r="I539" s="46" t="s">
        <v>202</v>
      </c>
      <c r="J539" s="48">
        <v>802</v>
      </c>
      <c r="K539" t="s">
        <v>196</v>
      </c>
      <c r="L539" t="s">
        <v>196</v>
      </c>
      <c r="P539">
        <v>850</v>
      </c>
      <c r="Q539" t="s">
        <v>192</v>
      </c>
      <c r="R539">
        <v>850</v>
      </c>
    </row>
    <row r="540" spans="1:18" ht="19.899999999999999" customHeight="1" x14ac:dyDescent="0.25">
      <c r="A540" t="str">
        <f t="shared" si="8"/>
        <v>ID30</v>
      </c>
      <c r="B540" s="46" t="s">
        <v>699</v>
      </c>
      <c r="C540" s="46" t="s">
        <v>705</v>
      </c>
      <c r="D540" s="46">
        <v>80</v>
      </c>
      <c r="E540" s="46" t="s">
        <v>195</v>
      </c>
      <c r="F540" s="46">
        <v>78</v>
      </c>
      <c r="G540" s="46" t="s">
        <v>195</v>
      </c>
      <c r="H540" s="46">
        <v>99</v>
      </c>
      <c r="I540" s="46" t="s">
        <v>195</v>
      </c>
      <c r="J540" s="48">
        <v>99</v>
      </c>
      <c r="K540">
        <v>34</v>
      </c>
      <c r="L540" t="s">
        <v>222</v>
      </c>
      <c r="P540">
        <v>2010</v>
      </c>
      <c r="Q540">
        <v>2</v>
      </c>
      <c r="R540">
        <v>2012</v>
      </c>
    </row>
    <row r="541" spans="1:18" ht="19.899999999999999" customHeight="1" x14ac:dyDescent="0.25">
      <c r="A541" t="str">
        <f t="shared" si="8"/>
        <v>ID24</v>
      </c>
      <c r="B541" s="46" t="s">
        <v>699</v>
      </c>
      <c r="C541" s="46" t="s">
        <v>706</v>
      </c>
      <c r="D541" s="46">
        <v>335</v>
      </c>
      <c r="E541" s="46" t="s">
        <v>204</v>
      </c>
      <c r="F541" s="46">
        <v>337</v>
      </c>
      <c r="G541" s="46" t="s">
        <v>204</v>
      </c>
      <c r="H541" s="46">
        <v>342</v>
      </c>
      <c r="I541" s="46" t="s">
        <v>200</v>
      </c>
      <c r="J541" s="48">
        <v>342</v>
      </c>
      <c r="K541">
        <v>40</v>
      </c>
      <c r="L541" t="s">
        <v>218</v>
      </c>
      <c r="P541">
        <v>4</v>
      </c>
      <c r="Q541" t="s">
        <v>192</v>
      </c>
      <c r="R541">
        <v>4</v>
      </c>
    </row>
    <row r="542" spans="1:18" ht="19.899999999999999" customHeight="1" x14ac:dyDescent="0.25">
      <c r="A542" t="str">
        <f t="shared" si="8"/>
        <v>ID21</v>
      </c>
      <c r="B542" s="46" t="s">
        <v>699</v>
      </c>
      <c r="C542" s="46" t="s">
        <v>707</v>
      </c>
      <c r="D542" s="46">
        <v>196</v>
      </c>
      <c r="E542" s="46" t="s">
        <v>199</v>
      </c>
      <c r="F542" s="46">
        <v>191</v>
      </c>
      <c r="G542" s="46" t="s">
        <v>202</v>
      </c>
      <c r="H542" s="46">
        <v>206</v>
      </c>
      <c r="I542" s="46" t="s">
        <v>199</v>
      </c>
      <c r="J542" s="48">
        <v>206</v>
      </c>
      <c r="K542">
        <v>32</v>
      </c>
      <c r="L542" t="s">
        <v>213</v>
      </c>
      <c r="P542">
        <v>1157</v>
      </c>
      <c r="Q542">
        <v>5</v>
      </c>
      <c r="R542">
        <v>1162</v>
      </c>
    </row>
    <row r="543" spans="1:18" ht="19.899999999999999" customHeight="1" x14ac:dyDescent="0.25">
      <c r="A543" t="str">
        <f t="shared" si="8"/>
        <v>ID29</v>
      </c>
      <c r="B543" s="46" t="s">
        <v>699</v>
      </c>
      <c r="C543" s="46" t="s">
        <v>708</v>
      </c>
      <c r="D543" s="46">
        <v>131</v>
      </c>
      <c r="E543" s="46" t="s">
        <v>195</v>
      </c>
      <c r="F543" s="46">
        <v>121</v>
      </c>
      <c r="G543" s="46" t="s">
        <v>195</v>
      </c>
      <c r="H543" s="46">
        <v>158</v>
      </c>
      <c r="I543" s="46" t="s">
        <v>195</v>
      </c>
      <c r="J543" s="48">
        <v>158</v>
      </c>
      <c r="K543">
        <v>58</v>
      </c>
      <c r="L543" t="s">
        <v>238</v>
      </c>
      <c r="P543">
        <v>1060</v>
      </c>
      <c r="Q543">
        <v>3</v>
      </c>
      <c r="R543">
        <v>1063</v>
      </c>
    </row>
    <row r="544" spans="1:18" ht="19.899999999999999" customHeight="1" x14ac:dyDescent="0.25">
      <c r="A544" t="str">
        <f t="shared" si="8"/>
        <v>ID25</v>
      </c>
      <c r="B544" s="46" t="s">
        <v>699</v>
      </c>
      <c r="C544" s="46" t="s">
        <v>709</v>
      </c>
      <c r="D544" s="46">
        <v>129</v>
      </c>
      <c r="E544" s="46" t="s">
        <v>195</v>
      </c>
      <c r="F544" s="46">
        <v>129</v>
      </c>
      <c r="G544" s="46" t="s">
        <v>195</v>
      </c>
      <c r="H544" s="46">
        <v>88</v>
      </c>
      <c r="I544" s="46" t="s">
        <v>195</v>
      </c>
      <c r="J544" s="48">
        <v>129</v>
      </c>
      <c r="K544">
        <v>47</v>
      </c>
      <c r="L544" t="s">
        <v>206</v>
      </c>
      <c r="P544">
        <v>2398</v>
      </c>
      <c r="Q544" t="s">
        <v>192</v>
      </c>
      <c r="R544">
        <v>2398</v>
      </c>
    </row>
    <row r="545" spans="1:18" ht="19.899999999999999" customHeight="1" x14ac:dyDescent="0.25">
      <c r="A545" t="str">
        <f t="shared" si="8"/>
        <v>ID#3MTR</v>
      </c>
      <c r="B545" s="46" t="s">
        <v>699</v>
      </c>
      <c r="C545" s="46" t="s">
        <v>217</v>
      </c>
      <c r="D545" s="46">
        <v>234</v>
      </c>
      <c r="E545" s="46" t="s">
        <v>218</v>
      </c>
      <c r="F545" s="46">
        <v>258</v>
      </c>
      <c r="G545" s="46" t="s">
        <v>218</v>
      </c>
      <c r="H545" s="46">
        <v>234</v>
      </c>
      <c r="I545" s="46" t="s">
        <v>218</v>
      </c>
      <c r="J545" s="48">
        <v>258</v>
      </c>
      <c r="K545" t="s">
        <v>196</v>
      </c>
      <c r="L545" t="s">
        <v>196</v>
      </c>
      <c r="P545">
        <v>996</v>
      </c>
      <c r="Q545">
        <v>1</v>
      </c>
      <c r="R545">
        <v>997</v>
      </c>
    </row>
    <row r="546" spans="1:18" ht="19.899999999999999" customHeight="1" x14ac:dyDescent="0.25">
      <c r="A546" t="str">
        <f t="shared" si="8"/>
        <v>F15)</v>
      </c>
      <c r="B546" s="46" t="s">
        <v>699</v>
      </c>
      <c r="C546" s="46" t="s">
        <v>544</v>
      </c>
      <c r="D546" s="46">
        <v>0</v>
      </c>
      <c r="E546" s="46" t="s">
        <v>215</v>
      </c>
      <c r="F546" s="46">
        <v>0</v>
      </c>
      <c r="G546" s="46" t="s">
        <v>215</v>
      </c>
      <c r="H546" s="46">
        <v>0</v>
      </c>
      <c r="I546" s="46" t="s">
        <v>215</v>
      </c>
      <c r="J546" s="48">
        <v>0</v>
      </c>
      <c r="K546">
        <v>0</v>
      </c>
      <c r="L546" t="s">
        <v>215</v>
      </c>
      <c r="P546">
        <v>2201</v>
      </c>
      <c r="Q546" t="s">
        <v>192</v>
      </c>
      <c r="R546">
        <v>2201</v>
      </c>
    </row>
    <row r="547" spans="1:18" ht="19.899999999999999" customHeight="1" x14ac:dyDescent="0.25">
      <c r="A547" t="str">
        <f t="shared" si="8"/>
        <v>ID27</v>
      </c>
      <c r="B547" s="46" t="s">
        <v>699</v>
      </c>
      <c r="C547" s="46" t="s">
        <v>710</v>
      </c>
      <c r="D547" s="46">
        <v>204</v>
      </c>
      <c r="E547" s="46" t="s">
        <v>218</v>
      </c>
      <c r="F547" s="46">
        <v>223</v>
      </c>
      <c r="G547" s="46" t="s">
        <v>218</v>
      </c>
      <c r="H547" s="46">
        <v>225</v>
      </c>
      <c r="I547" s="46" t="s">
        <v>218</v>
      </c>
      <c r="J547" s="48">
        <v>225</v>
      </c>
      <c r="K547">
        <v>27</v>
      </c>
      <c r="L547" t="s">
        <v>218</v>
      </c>
      <c r="P547">
        <v>1432</v>
      </c>
      <c r="Q547">
        <v>3</v>
      </c>
      <c r="R547">
        <v>1435</v>
      </c>
    </row>
    <row r="548" spans="1:18" ht="19.899999999999999" customHeight="1" x14ac:dyDescent="0.25">
      <c r="A548" t="str">
        <f t="shared" si="8"/>
        <v>F14)</v>
      </c>
      <c r="B548" s="46" t="s">
        <v>699</v>
      </c>
      <c r="C548" s="46" t="s">
        <v>545</v>
      </c>
      <c r="D548" s="46">
        <v>0</v>
      </c>
      <c r="E548" s="46" t="s">
        <v>215</v>
      </c>
      <c r="F548" s="46">
        <v>0</v>
      </c>
      <c r="G548" s="46" t="s">
        <v>215</v>
      </c>
      <c r="H548" s="46">
        <v>0</v>
      </c>
      <c r="I548" s="46" t="s">
        <v>215</v>
      </c>
      <c r="J548" s="48">
        <v>0</v>
      </c>
      <c r="K548">
        <v>0</v>
      </c>
      <c r="L548" t="s">
        <v>215</v>
      </c>
      <c r="P548">
        <v>2916</v>
      </c>
      <c r="Q548">
        <v>3</v>
      </c>
      <c r="R548">
        <v>2919</v>
      </c>
    </row>
    <row r="549" spans="1:18" ht="19.899999999999999" customHeight="1" x14ac:dyDescent="0.25">
      <c r="A549" t="str">
        <f t="shared" si="8"/>
        <v>ID32</v>
      </c>
      <c r="B549" s="46" t="s">
        <v>699</v>
      </c>
      <c r="C549" s="46" t="s">
        <v>711</v>
      </c>
      <c r="D549" s="46">
        <v>0</v>
      </c>
      <c r="E549" s="46" t="s">
        <v>215</v>
      </c>
      <c r="F549" s="46">
        <v>0</v>
      </c>
      <c r="G549" s="46" t="s">
        <v>215</v>
      </c>
      <c r="H549" s="46">
        <v>0</v>
      </c>
      <c r="I549" s="46" t="s">
        <v>215</v>
      </c>
      <c r="J549" s="48">
        <v>0</v>
      </c>
      <c r="K549">
        <v>0</v>
      </c>
      <c r="L549" t="s">
        <v>215</v>
      </c>
      <c r="P549">
        <v>2783</v>
      </c>
      <c r="Q549">
        <v>1</v>
      </c>
      <c r="R549">
        <v>2784</v>
      </c>
    </row>
    <row r="550" spans="1:18" ht="19.899999999999999" customHeight="1" x14ac:dyDescent="0.25">
      <c r="A550" t="str">
        <f t="shared" si="8"/>
        <v>ID22</v>
      </c>
      <c r="B550" s="46" t="s">
        <v>699</v>
      </c>
      <c r="C550" s="46" t="s">
        <v>712</v>
      </c>
      <c r="D550" s="46">
        <v>30</v>
      </c>
      <c r="E550" s="46" t="s">
        <v>218</v>
      </c>
      <c r="F550" s="46">
        <v>46</v>
      </c>
      <c r="G550" s="46" t="s">
        <v>195</v>
      </c>
      <c r="H550" s="46">
        <v>17</v>
      </c>
      <c r="I550" s="46" t="s">
        <v>206</v>
      </c>
      <c r="J550" s="48">
        <v>46</v>
      </c>
      <c r="K550">
        <v>37</v>
      </c>
      <c r="L550" t="s">
        <v>218</v>
      </c>
      <c r="P550">
        <v>2339</v>
      </c>
      <c r="Q550">
        <v>2</v>
      </c>
      <c r="R550">
        <v>2341</v>
      </c>
    </row>
    <row r="551" spans="1:18" ht="19.899999999999999" customHeight="1" x14ac:dyDescent="0.25">
      <c r="A551" t="str">
        <f t="shared" si="8"/>
        <v>IK#1DTR(A)</v>
      </c>
      <c r="B551" s="46" t="s">
        <v>713</v>
      </c>
      <c r="C551" s="46" t="s">
        <v>272</v>
      </c>
      <c r="D551" s="46">
        <v>531</v>
      </c>
      <c r="E551" s="46" t="s">
        <v>204</v>
      </c>
      <c r="F551" s="46">
        <v>547</v>
      </c>
      <c r="G551" s="46" t="s">
        <v>204</v>
      </c>
      <c r="H551" s="46">
        <v>534</v>
      </c>
      <c r="I551" s="46" t="s">
        <v>204</v>
      </c>
      <c r="J551" s="48">
        <v>547</v>
      </c>
      <c r="K551" t="s">
        <v>196</v>
      </c>
      <c r="L551" t="s">
        <v>196</v>
      </c>
      <c r="P551">
        <v>1989</v>
      </c>
      <c r="Q551">
        <v>1</v>
      </c>
      <c r="R551">
        <v>1990</v>
      </c>
    </row>
    <row r="552" spans="1:18" ht="19.899999999999999" customHeight="1" x14ac:dyDescent="0.25">
      <c r="A552" t="str">
        <f t="shared" si="8"/>
        <v>IK30</v>
      </c>
      <c r="B552" s="46" t="s">
        <v>713</v>
      </c>
      <c r="C552" s="46" t="s">
        <v>714</v>
      </c>
      <c r="D552" s="46">
        <v>216</v>
      </c>
      <c r="E552" s="46" t="s">
        <v>200</v>
      </c>
      <c r="F552" s="46">
        <v>214</v>
      </c>
      <c r="G552" s="46" t="s">
        <v>227</v>
      </c>
      <c r="H552" s="46">
        <v>222</v>
      </c>
      <c r="I552" s="46" t="s">
        <v>218</v>
      </c>
      <c r="J552" s="48">
        <v>222</v>
      </c>
      <c r="K552">
        <v>21</v>
      </c>
      <c r="L552" t="s">
        <v>235</v>
      </c>
      <c r="P552">
        <v>2265</v>
      </c>
      <c r="Q552">
        <v>3</v>
      </c>
      <c r="R552">
        <v>2268</v>
      </c>
    </row>
    <row r="553" spans="1:18" ht="19.899999999999999" customHeight="1" x14ac:dyDescent="0.25">
      <c r="A553" t="str">
        <f t="shared" si="8"/>
        <v>IK31</v>
      </c>
      <c r="B553" s="46" t="s">
        <v>713</v>
      </c>
      <c r="C553" s="46" t="s">
        <v>715</v>
      </c>
      <c r="D553" s="46">
        <v>119</v>
      </c>
      <c r="E553" s="46" t="s">
        <v>227</v>
      </c>
      <c r="F553" s="46">
        <v>122</v>
      </c>
      <c r="G553" s="46" t="s">
        <v>227</v>
      </c>
      <c r="H553" s="46">
        <v>120</v>
      </c>
      <c r="I553" s="46" t="s">
        <v>227</v>
      </c>
      <c r="J553" s="48">
        <v>122</v>
      </c>
      <c r="K553">
        <v>8</v>
      </c>
      <c r="L553" t="s">
        <v>235</v>
      </c>
      <c r="P553">
        <v>3878</v>
      </c>
      <c r="Q553">
        <v>1</v>
      </c>
      <c r="R553">
        <v>3879</v>
      </c>
    </row>
    <row r="554" spans="1:18" ht="19.899999999999999" customHeight="1" x14ac:dyDescent="0.25">
      <c r="A554" t="str">
        <f t="shared" si="8"/>
        <v>IK32</v>
      </c>
      <c r="B554" s="46" t="s">
        <v>713</v>
      </c>
      <c r="C554" s="46" t="s">
        <v>716</v>
      </c>
      <c r="D554" s="46">
        <v>54</v>
      </c>
      <c r="E554" s="46" t="s">
        <v>218</v>
      </c>
      <c r="F554" s="46">
        <v>56</v>
      </c>
      <c r="G554" s="46" t="s">
        <v>206</v>
      </c>
      <c r="H554" s="46">
        <v>44</v>
      </c>
      <c r="I554" s="46" t="s">
        <v>195</v>
      </c>
      <c r="J554" s="48">
        <v>56</v>
      </c>
      <c r="K554">
        <v>32</v>
      </c>
      <c r="L554" t="s">
        <v>206</v>
      </c>
      <c r="P554">
        <v>2506</v>
      </c>
      <c r="Q554">
        <v>3</v>
      </c>
      <c r="R554">
        <v>2509</v>
      </c>
    </row>
    <row r="555" spans="1:18" ht="19.899999999999999" customHeight="1" x14ac:dyDescent="0.25">
      <c r="A555" t="str">
        <f t="shared" si="8"/>
        <v>IK33</v>
      </c>
      <c r="B555" s="46" t="s">
        <v>713</v>
      </c>
      <c r="C555" s="46" t="s">
        <v>717</v>
      </c>
      <c r="D555" s="46">
        <v>163</v>
      </c>
      <c r="E555" s="46" t="s">
        <v>206</v>
      </c>
      <c r="F555" s="46">
        <v>185</v>
      </c>
      <c r="G555" s="46" t="s">
        <v>199</v>
      </c>
      <c r="H555" s="46">
        <v>175</v>
      </c>
      <c r="I555" s="46" t="s">
        <v>199</v>
      </c>
      <c r="J555" s="48">
        <v>185</v>
      </c>
      <c r="K555">
        <v>50</v>
      </c>
      <c r="L555" t="s">
        <v>222</v>
      </c>
      <c r="P555">
        <v>2069</v>
      </c>
      <c r="Q555">
        <v>1</v>
      </c>
      <c r="R555">
        <v>2070</v>
      </c>
    </row>
    <row r="556" spans="1:18" ht="19.899999999999999" customHeight="1" x14ac:dyDescent="0.25">
      <c r="A556" t="str">
        <f t="shared" si="8"/>
        <v>IK34</v>
      </c>
      <c r="B556" s="46" t="s">
        <v>713</v>
      </c>
      <c r="C556" s="46" t="s">
        <v>718</v>
      </c>
      <c r="D556" s="46">
        <v>11</v>
      </c>
      <c r="E556" s="46" t="s">
        <v>202</v>
      </c>
      <c r="F556" s="46">
        <v>7</v>
      </c>
      <c r="G556" s="46" t="s">
        <v>206</v>
      </c>
      <c r="H556" s="46">
        <v>13</v>
      </c>
      <c r="I556" s="46" t="s">
        <v>202</v>
      </c>
      <c r="J556" s="48">
        <v>13</v>
      </c>
      <c r="K556">
        <v>10</v>
      </c>
      <c r="L556" t="s">
        <v>199</v>
      </c>
      <c r="P556">
        <v>918</v>
      </c>
      <c r="Q556">
        <v>1</v>
      </c>
      <c r="R556">
        <v>919</v>
      </c>
    </row>
    <row r="557" spans="1:18" ht="19.899999999999999" customHeight="1" x14ac:dyDescent="0.25">
      <c r="A557" t="str">
        <f t="shared" si="8"/>
        <v>IK35</v>
      </c>
      <c r="B557" s="46" t="s">
        <v>713</v>
      </c>
      <c r="C557" s="46" t="s">
        <v>719</v>
      </c>
      <c r="D557" s="46">
        <v>0</v>
      </c>
      <c r="E557" s="46" t="s">
        <v>215</v>
      </c>
      <c r="F557" s="46">
        <v>0</v>
      </c>
      <c r="G557" s="46" t="s">
        <v>215</v>
      </c>
      <c r="H557" s="46">
        <v>0</v>
      </c>
      <c r="I557" s="46" t="s">
        <v>215</v>
      </c>
      <c r="J557" s="48">
        <v>0</v>
      </c>
      <c r="K557">
        <v>0</v>
      </c>
      <c r="L557" t="s">
        <v>215</v>
      </c>
      <c r="P557">
        <v>3948</v>
      </c>
      <c r="Q557">
        <v>6</v>
      </c>
      <c r="R557">
        <v>3954</v>
      </c>
    </row>
    <row r="558" spans="1:18" ht="19.899999999999999" customHeight="1" x14ac:dyDescent="0.25">
      <c r="A558" t="str">
        <f t="shared" si="8"/>
        <v>IK#1DTR(B)</v>
      </c>
      <c r="B558" s="46" t="s">
        <v>713</v>
      </c>
      <c r="C558" s="46" t="s">
        <v>279</v>
      </c>
      <c r="D558" s="46">
        <v>383</v>
      </c>
      <c r="E558" s="46" t="s">
        <v>199</v>
      </c>
      <c r="F558" s="46">
        <v>344</v>
      </c>
      <c r="G558" s="46" t="s">
        <v>199</v>
      </c>
      <c r="H558" s="46">
        <v>357</v>
      </c>
      <c r="I558" s="46" t="s">
        <v>199</v>
      </c>
      <c r="J558" s="48">
        <v>383</v>
      </c>
      <c r="K558" t="s">
        <v>196</v>
      </c>
      <c r="L558" t="s">
        <v>196</v>
      </c>
      <c r="P558" t="s">
        <v>192</v>
      </c>
      <c r="Q558" t="s">
        <v>192</v>
      </c>
      <c r="R558">
        <v>0</v>
      </c>
    </row>
    <row r="559" spans="1:18" ht="19.899999999999999" customHeight="1" x14ac:dyDescent="0.25">
      <c r="A559" t="str">
        <f t="shared" si="8"/>
        <v>IK49</v>
      </c>
      <c r="B559" s="46" t="s">
        <v>713</v>
      </c>
      <c r="C559" s="46" t="s">
        <v>720</v>
      </c>
      <c r="D559" s="46">
        <v>150</v>
      </c>
      <c r="E559" s="46" t="s">
        <v>199</v>
      </c>
      <c r="F559" s="46">
        <v>147</v>
      </c>
      <c r="G559" s="46" t="s">
        <v>199</v>
      </c>
      <c r="H559" s="46">
        <v>117</v>
      </c>
      <c r="I559" s="46" t="s">
        <v>199</v>
      </c>
      <c r="J559" s="48">
        <v>150</v>
      </c>
      <c r="K559">
        <v>59</v>
      </c>
      <c r="L559" t="s">
        <v>199</v>
      </c>
      <c r="P559">
        <v>2236</v>
      </c>
      <c r="Q559">
        <v>2</v>
      </c>
      <c r="R559">
        <v>2238</v>
      </c>
    </row>
    <row r="560" spans="1:18" ht="19.899999999999999" customHeight="1" x14ac:dyDescent="0.25">
      <c r="A560" t="str">
        <f t="shared" si="8"/>
        <v>IK48</v>
      </c>
      <c r="B560" s="46" t="s">
        <v>713</v>
      </c>
      <c r="C560" s="46" t="s">
        <v>721</v>
      </c>
      <c r="D560" s="46">
        <v>144</v>
      </c>
      <c r="E560" s="46" t="s">
        <v>199</v>
      </c>
      <c r="F560" s="46">
        <v>114</v>
      </c>
      <c r="G560" s="46" t="s">
        <v>199</v>
      </c>
      <c r="H560" s="46">
        <v>138</v>
      </c>
      <c r="I560" s="46" t="s">
        <v>202</v>
      </c>
      <c r="J560" s="48">
        <v>144</v>
      </c>
      <c r="K560">
        <v>46</v>
      </c>
      <c r="L560" t="s">
        <v>202</v>
      </c>
      <c r="P560">
        <v>1498</v>
      </c>
      <c r="Q560">
        <v>4</v>
      </c>
      <c r="R560">
        <v>1502</v>
      </c>
    </row>
    <row r="561" spans="1:18" ht="19.899999999999999" customHeight="1" x14ac:dyDescent="0.25">
      <c r="A561" t="str">
        <f t="shared" si="8"/>
        <v>IK47</v>
      </c>
      <c r="B561" s="46" t="s">
        <v>713</v>
      </c>
      <c r="C561" s="46" t="s">
        <v>722</v>
      </c>
      <c r="D561" s="46">
        <v>91</v>
      </c>
      <c r="E561" s="46" t="s">
        <v>199</v>
      </c>
      <c r="F561" s="46">
        <v>86</v>
      </c>
      <c r="G561" s="46" t="s">
        <v>199</v>
      </c>
      <c r="H561" s="46">
        <v>105</v>
      </c>
      <c r="I561" s="46" t="s">
        <v>199</v>
      </c>
      <c r="J561" s="48">
        <v>105</v>
      </c>
      <c r="K561">
        <v>54</v>
      </c>
      <c r="L561" t="s">
        <v>218</v>
      </c>
      <c r="P561">
        <v>4727</v>
      </c>
      <c r="Q561">
        <v>3</v>
      </c>
      <c r="R561">
        <v>4730</v>
      </c>
    </row>
    <row r="562" spans="1:18" ht="19.899999999999999" customHeight="1" x14ac:dyDescent="0.25">
      <c r="A562" t="str">
        <f t="shared" si="8"/>
        <v>IK46</v>
      </c>
      <c r="B562" s="46" t="s">
        <v>713</v>
      </c>
      <c r="C562" s="46" t="s">
        <v>723</v>
      </c>
      <c r="D562" s="46">
        <v>0</v>
      </c>
      <c r="E562" s="46" t="s">
        <v>215</v>
      </c>
      <c r="F562" s="46">
        <v>0</v>
      </c>
      <c r="G562" s="46" t="s">
        <v>293</v>
      </c>
      <c r="H562" s="46">
        <v>0</v>
      </c>
      <c r="I562" s="46" t="s">
        <v>235</v>
      </c>
      <c r="J562" s="48">
        <v>0</v>
      </c>
      <c r="K562">
        <v>0</v>
      </c>
      <c r="L562" t="s">
        <v>215</v>
      </c>
      <c r="P562">
        <v>651</v>
      </c>
      <c r="Q562">
        <v>3</v>
      </c>
      <c r="R562">
        <v>654</v>
      </c>
    </row>
    <row r="563" spans="1:18" ht="19.899999999999999" customHeight="1" x14ac:dyDescent="0.25">
      <c r="A563" t="str">
        <f t="shared" si="8"/>
        <v>IK#2DTR(A)</v>
      </c>
      <c r="B563" s="46" t="s">
        <v>713</v>
      </c>
      <c r="C563" s="46" t="s">
        <v>289</v>
      </c>
      <c r="D563" s="46">
        <v>516</v>
      </c>
      <c r="E563" s="46" t="s">
        <v>204</v>
      </c>
      <c r="F563" s="46">
        <v>489</v>
      </c>
      <c r="G563" s="46" t="s">
        <v>204</v>
      </c>
      <c r="H563" s="46">
        <v>492</v>
      </c>
      <c r="I563" s="46" t="s">
        <v>204</v>
      </c>
      <c r="J563" s="48">
        <v>516</v>
      </c>
      <c r="K563" t="s">
        <v>196</v>
      </c>
      <c r="L563" t="s">
        <v>196</v>
      </c>
      <c r="P563">
        <v>1862</v>
      </c>
      <c r="Q563">
        <v>4</v>
      </c>
      <c r="R563">
        <v>1866</v>
      </c>
    </row>
    <row r="564" spans="1:18" ht="19.899999999999999" customHeight="1" x14ac:dyDescent="0.25">
      <c r="A564" t="str">
        <f t="shared" si="8"/>
        <v>IK36</v>
      </c>
      <c r="B564" s="46" t="s">
        <v>713</v>
      </c>
      <c r="C564" s="46" t="s">
        <v>724</v>
      </c>
      <c r="D564" s="46">
        <v>126</v>
      </c>
      <c r="E564" s="46" t="s">
        <v>199</v>
      </c>
      <c r="F564" s="46">
        <v>117</v>
      </c>
      <c r="G564" s="46" t="s">
        <v>204</v>
      </c>
      <c r="H564" s="46">
        <v>111</v>
      </c>
      <c r="I564" s="46" t="s">
        <v>204</v>
      </c>
      <c r="J564" s="48">
        <v>126</v>
      </c>
      <c r="K564">
        <v>25</v>
      </c>
      <c r="L564" t="s">
        <v>198</v>
      </c>
      <c r="P564">
        <v>1607</v>
      </c>
      <c r="Q564">
        <v>8</v>
      </c>
      <c r="R564">
        <v>1615</v>
      </c>
    </row>
    <row r="565" spans="1:18" ht="19.899999999999999" customHeight="1" x14ac:dyDescent="0.25">
      <c r="A565" t="str">
        <f t="shared" si="8"/>
        <v>IK37</v>
      </c>
      <c r="B565" s="46" t="s">
        <v>713</v>
      </c>
      <c r="C565" s="46" t="s">
        <v>725</v>
      </c>
      <c r="D565" s="46">
        <v>165</v>
      </c>
      <c r="E565" s="46" t="s">
        <v>204</v>
      </c>
      <c r="F565" s="46">
        <v>147</v>
      </c>
      <c r="G565" s="46" t="s">
        <v>204</v>
      </c>
      <c r="H565" s="46">
        <v>137</v>
      </c>
      <c r="I565" s="46" t="s">
        <v>204</v>
      </c>
      <c r="J565" s="48">
        <v>165</v>
      </c>
      <c r="K565">
        <v>41</v>
      </c>
      <c r="L565" t="s">
        <v>200</v>
      </c>
      <c r="P565">
        <v>6036</v>
      </c>
      <c r="Q565">
        <v>3</v>
      </c>
      <c r="R565">
        <v>6039</v>
      </c>
    </row>
    <row r="566" spans="1:18" ht="19.899999999999999" customHeight="1" x14ac:dyDescent="0.25">
      <c r="A566" t="str">
        <f t="shared" si="8"/>
        <v>IK38</v>
      </c>
      <c r="B566" s="46" t="s">
        <v>713</v>
      </c>
      <c r="C566" s="46" t="s">
        <v>726</v>
      </c>
      <c r="D566" s="46">
        <v>133</v>
      </c>
      <c r="E566" s="46" t="s">
        <v>227</v>
      </c>
      <c r="F566" s="46">
        <v>113</v>
      </c>
      <c r="G566" s="46" t="s">
        <v>227</v>
      </c>
      <c r="H566" s="46">
        <v>127</v>
      </c>
      <c r="I566" s="46" t="s">
        <v>200</v>
      </c>
      <c r="J566" s="48">
        <v>133</v>
      </c>
      <c r="K566">
        <v>57</v>
      </c>
      <c r="L566" t="s">
        <v>222</v>
      </c>
      <c r="P566">
        <v>2642</v>
      </c>
      <c r="Q566">
        <v>0</v>
      </c>
      <c r="R566">
        <v>2642</v>
      </c>
    </row>
    <row r="567" spans="1:18" ht="19.899999999999999" customHeight="1" x14ac:dyDescent="0.25">
      <c r="A567" t="str">
        <f t="shared" si="8"/>
        <v>IK39</v>
      </c>
      <c r="B567" s="46" t="s">
        <v>713</v>
      </c>
      <c r="C567" s="46" t="s">
        <v>727</v>
      </c>
      <c r="D567" s="46">
        <v>114</v>
      </c>
      <c r="E567" s="46" t="s">
        <v>204</v>
      </c>
      <c r="F567" s="46">
        <v>117</v>
      </c>
      <c r="G567" s="46" t="s">
        <v>204</v>
      </c>
      <c r="H567" s="46">
        <v>106</v>
      </c>
      <c r="I567" s="46" t="s">
        <v>199</v>
      </c>
      <c r="J567" s="48">
        <v>117</v>
      </c>
      <c r="K567">
        <v>24</v>
      </c>
      <c r="L567" t="s">
        <v>195</v>
      </c>
      <c r="P567">
        <v>5055</v>
      </c>
      <c r="Q567">
        <v>3</v>
      </c>
      <c r="R567">
        <v>5058</v>
      </c>
    </row>
    <row r="568" spans="1:18" ht="19.899999999999999" customHeight="1" x14ac:dyDescent="0.25">
      <c r="A568" t="str">
        <f t="shared" si="8"/>
        <v>IK#2DTR(B)</v>
      </c>
      <c r="B568" s="46" t="s">
        <v>713</v>
      </c>
      <c r="C568" s="46" t="s">
        <v>300</v>
      </c>
      <c r="D568" s="46">
        <v>559</v>
      </c>
      <c r="E568" s="46" t="s">
        <v>199</v>
      </c>
      <c r="F568" s="46">
        <v>563</v>
      </c>
      <c r="G568" s="46" t="s">
        <v>199</v>
      </c>
      <c r="H568" s="46">
        <v>562</v>
      </c>
      <c r="I568" s="46" t="s">
        <v>199</v>
      </c>
      <c r="J568" s="48">
        <v>563</v>
      </c>
      <c r="K568" t="s">
        <v>196</v>
      </c>
      <c r="L568" t="s">
        <v>196</v>
      </c>
      <c r="P568">
        <v>660</v>
      </c>
      <c r="Q568" t="s">
        <v>192</v>
      </c>
      <c r="R568">
        <v>660</v>
      </c>
    </row>
    <row r="569" spans="1:18" ht="19.899999999999999" customHeight="1" x14ac:dyDescent="0.25">
      <c r="A569" t="str">
        <f t="shared" si="8"/>
        <v>IK45</v>
      </c>
      <c r="B569" s="46" t="s">
        <v>713</v>
      </c>
      <c r="C569" s="46" t="s">
        <v>728</v>
      </c>
      <c r="D569" s="46">
        <v>0</v>
      </c>
      <c r="E569" s="46" t="s">
        <v>215</v>
      </c>
      <c r="F569" s="46">
        <v>0</v>
      </c>
      <c r="G569" s="46" t="s">
        <v>215</v>
      </c>
      <c r="H569" s="46">
        <v>0</v>
      </c>
      <c r="I569" s="46" t="s">
        <v>215</v>
      </c>
      <c r="J569" s="48">
        <v>0</v>
      </c>
      <c r="K569">
        <v>0</v>
      </c>
      <c r="L569" t="s">
        <v>215</v>
      </c>
      <c r="P569">
        <v>2318</v>
      </c>
      <c r="Q569" t="s">
        <v>192</v>
      </c>
      <c r="R569">
        <v>2318</v>
      </c>
    </row>
    <row r="570" spans="1:18" ht="19.899999999999999" customHeight="1" x14ac:dyDescent="0.25">
      <c r="A570" t="str">
        <f t="shared" si="8"/>
        <v>IK44</v>
      </c>
      <c r="B570" s="46" t="s">
        <v>713</v>
      </c>
      <c r="C570" s="46" t="s">
        <v>729</v>
      </c>
      <c r="D570" s="46">
        <v>184</v>
      </c>
      <c r="E570" s="46" t="s">
        <v>218</v>
      </c>
      <c r="F570" s="46">
        <v>195</v>
      </c>
      <c r="G570" s="46" t="s">
        <v>218</v>
      </c>
      <c r="H570" s="46">
        <v>186</v>
      </c>
      <c r="I570" s="46" t="s">
        <v>213</v>
      </c>
      <c r="J570" s="48">
        <v>195</v>
      </c>
      <c r="K570">
        <v>31</v>
      </c>
      <c r="L570" t="s">
        <v>238</v>
      </c>
      <c r="P570">
        <v>3029</v>
      </c>
      <c r="Q570">
        <v>1</v>
      </c>
      <c r="R570">
        <v>3030</v>
      </c>
    </row>
    <row r="571" spans="1:18" ht="19.899999999999999" customHeight="1" x14ac:dyDescent="0.25">
      <c r="A571" t="str">
        <f t="shared" si="8"/>
        <v>IK43</v>
      </c>
      <c r="B571" s="46" t="s">
        <v>713</v>
      </c>
      <c r="C571" s="46" t="s">
        <v>730</v>
      </c>
      <c r="D571" s="46">
        <v>141</v>
      </c>
      <c r="E571" s="46" t="s">
        <v>227</v>
      </c>
      <c r="F571" s="46">
        <v>125</v>
      </c>
      <c r="G571" s="46" t="s">
        <v>227</v>
      </c>
      <c r="H571" s="46">
        <v>154</v>
      </c>
      <c r="I571" s="46" t="s">
        <v>227</v>
      </c>
      <c r="J571" s="48">
        <v>154</v>
      </c>
      <c r="K571">
        <v>60</v>
      </c>
      <c r="L571" t="s">
        <v>200</v>
      </c>
      <c r="P571">
        <v>3298</v>
      </c>
      <c r="Q571">
        <v>2</v>
      </c>
      <c r="R571">
        <v>3300</v>
      </c>
    </row>
    <row r="572" spans="1:18" ht="19.899999999999999" customHeight="1" x14ac:dyDescent="0.25">
      <c r="A572" t="str">
        <f t="shared" si="8"/>
        <v>IK42</v>
      </c>
      <c r="B572" s="46" t="s">
        <v>713</v>
      </c>
      <c r="C572" s="46" t="s">
        <v>731</v>
      </c>
      <c r="D572" s="46">
        <v>137</v>
      </c>
      <c r="E572" s="46" t="s">
        <v>195</v>
      </c>
      <c r="F572" s="46">
        <v>156</v>
      </c>
      <c r="G572" s="46" t="s">
        <v>195</v>
      </c>
      <c r="H572" s="46">
        <v>149</v>
      </c>
      <c r="I572" s="46" t="s">
        <v>202</v>
      </c>
      <c r="J572" s="48">
        <v>156</v>
      </c>
      <c r="K572">
        <v>48</v>
      </c>
      <c r="L572" t="s">
        <v>222</v>
      </c>
      <c r="P572">
        <v>2823</v>
      </c>
      <c r="Q572" t="s">
        <v>192</v>
      </c>
      <c r="R572">
        <v>2823</v>
      </c>
    </row>
    <row r="573" spans="1:18" ht="19.899999999999999" customHeight="1" x14ac:dyDescent="0.25">
      <c r="A573" t="str">
        <f t="shared" si="8"/>
        <v>IK41</v>
      </c>
      <c r="B573" s="46" t="s">
        <v>713</v>
      </c>
      <c r="C573" s="46" t="s">
        <v>732</v>
      </c>
      <c r="D573" s="46">
        <v>61</v>
      </c>
      <c r="E573" s="46" t="s">
        <v>206</v>
      </c>
      <c r="F573" s="46">
        <v>57</v>
      </c>
      <c r="G573" s="46" t="s">
        <v>206</v>
      </c>
      <c r="H573" s="46">
        <v>75</v>
      </c>
      <c r="I573" s="46" t="s">
        <v>195</v>
      </c>
      <c r="J573" s="48">
        <v>75</v>
      </c>
      <c r="K573">
        <v>27</v>
      </c>
      <c r="L573" t="s">
        <v>195</v>
      </c>
      <c r="P573">
        <v>2223</v>
      </c>
      <c r="Q573">
        <v>3</v>
      </c>
      <c r="R573">
        <v>2226</v>
      </c>
    </row>
    <row r="574" spans="1:18" ht="19.899999999999999" customHeight="1" x14ac:dyDescent="0.25">
      <c r="A574" t="str">
        <f t="shared" si="8"/>
        <v>IK40</v>
      </c>
      <c r="B574" s="46" t="s">
        <v>713</v>
      </c>
      <c r="C574" s="46" t="s">
        <v>733</v>
      </c>
      <c r="D574" s="46">
        <v>133</v>
      </c>
      <c r="E574" s="46" t="s">
        <v>227</v>
      </c>
      <c r="F574" s="46">
        <v>126</v>
      </c>
      <c r="G574" s="46" t="s">
        <v>202</v>
      </c>
      <c r="H574" s="46">
        <v>106</v>
      </c>
      <c r="I574" s="46" t="s">
        <v>227</v>
      </c>
      <c r="J574" s="48">
        <v>133</v>
      </c>
      <c r="K574">
        <v>70</v>
      </c>
      <c r="L574" t="s">
        <v>195</v>
      </c>
      <c r="P574">
        <v>53</v>
      </c>
      <c r="Q574">
        <v>1</v>
      </c>
      <c r="R574">
        <v>54</v>
      </c>
    </row>
    <row r="575" spans="1:18" ht="19.899999999999999" customHeight="1" x14ac:dyDescent="0.25">
      <c r="A575" t="str">
        <f t="shared" si="8"/>
        <v>9N#1DTR(A)</v>
      </c>
      <c r="B575" s="46" t="s">
        <v>734</v>
      </c>
      <c r="C575" s="46" t="s">
        <v>272</v>
      </c>
      <c r="D575" s="46">
        <v>628</v>
      </c>
      <c r="E575" s="46" t="s">
        <v>199</v>
      </c>
      <c r="F575" s="46">
        <v>652</v>
      </c>
      <c r="G575" s="46" t="s">
        <v>199</v>
      </c>
      <c r="H575" s="46">
        <v>601</v>
      </c>
      <c r="I575" s="46" t="s">
        <v>199</v>
      </c>
      <c r="J575" s="48">
        <v>652</v>
      </c>
      <c r="K575" t="s">
        <v>196</v>
      </c>
      <c r="L575" t="s">
        <v>196</v>
      </c>
      <c r="P575">
        <v>2028</v>
      </c>
      <c r="Q575" t="s">
        <v>192</v>
      </c>
      <c r="R575">
        <v>2028</v>
      </c>
    </row>
    <row r="576" spans="1:18" ht="19.899999999999999" customHeight="1" x14ac:dyDescent="0.25">
      <c r="A576" t="str">
        <f t="shared" si="8"/>
        <v>9N20</v>
      </c>
      <c r="B576" s="46" t="s">
        <v>734</v>
      </c>
      <c r="C576" s="46" t="s">
        <v>735</v>
      </c>
      <c r="D576" s="46">
        <v>84</v>
      </c>
      <c r="E576" s="46" t="s">
        <v>195</v>
      </c>
      <c r="F576" s="46">
        <v>78</v>
      </c>
      <c r="G576" s="46" t="s">
        <v>195</v>
      </c>
      <c r="H576" s="46">
        <v>57</v>
      </c>
      <c r="I576" s="46" t="s">
        <v>238</v>
      </c>
      <c r="J576" s="48">
        <v>84</v>
      </c>
      <c r="K576">
        <v>43</v>
      </c>
      <c r="L576" t="s">
        <v>199</v>
      </c>
      <c r="P576">
        <v>1677</v>
      </c>
      <c r="Q576" t="s">
        <v>192</v>
      </c>
      <c r="R576">
        <v>1677</v>
      </c>
    </row>
    <row r="577" spans="1:18" ht="19.899999999999999" customHeight="1" x14ac:dyDescent="0.25">
      <c r="A577" t="str">
        <f t="shared" si="8"/>
        <v>9N21</v>
      </c>
      <c r="B577" s="46" t="s">
        <v>734</v>
      </c>
      <c r="C577" s="46" t="s">
        <v>736</v>
      </c>
      <c r="D577" s="46">
        <v>151</v>
      </c>
      <c r="E577" s="46" t="s">
        <v>206</v>
      </c>
      <c r="F577" s="46">
        <v>164</v>
      </c>
      <c r="G577" s="46" t="s">
        <v>195</v>
      </c>
      <c r="H577" s="46">
        <v>117</v>
      </c>
      <c r="I577" s="46" t="s">
        <v>206</v>
      </c>
      <c r="J577" s="48">
        <v>164</v>
      </c>
      <c r="K577">
        <v>63</v>
      </c>
      <c r="L577" t="s">
        <v>195</v>
      </c>
      <c r="P577">
        <v>267</v>
      </c>
      <c r="Q577" t="s">
        <v>192</v>
      </c>
      <c r="R577">
        <v>267</v>
      </c>
    </row>
    <row r="578" spans="1:18" ht="19.899999999999999" customHeight="1" x14ac:dyDescent="0.25">
      <c r="A578" t="str">
        <f t="shared" si="8"/>
        <v>9N22</v>
      </c>
      <c r="B578" s="46" t="s">
        <v>734</v>
      </c>
      <c r="C578" s="46" t="s">
        <v>737</v>
      </c>
      <c r="D578" s="46">
        <v>174</v>
      </c>
      <c r="E578" s="46" t="s">
        <v>199</v>
      </c>
      <c r="F578" s="46">
        <v>191</v>
      </c>
      <c r="G578" s="46" t="s">
        <v>199</v>
      </c>
      <c r="H578" s="46">
        <v>175</v>
      </c>
      <c r="I578" s="46" t="s">
        <v>199</v>
      </c>
      <c r="J578" s="48">
        <v>191</v>
      </c>
      <c r="K578">
        <v>25</v>
      </c>
      <c r="L578" t="s">
        <v>202</v>
      </c>
      <c r="P578">
        <v>338</v>
      </c>
      <c r="Q578">
        <v>2</v>
      </c>
      <c r="R578">
        <v>340</v>
      </c>
    </row>
    <row r="579" spans="1:18" ht="19.899999999999999" customHeight="1" x14ac:dyDescent="0.25">
      <c r="A579" t="str">
        <f t="shared" si="8"/>
        <v>9N23</v>
      </c>
      <c r="B579" s="46" t="s">
        <v>734</v>
      </c>
      <c r="C579" s="46" t="s">
        <v>738</v>
      </c>
      <c r="D579" s="46">
        <v>127</v>
      </c>
      <c r="E579" s="46" t="s">
        <v>200</v>
      </c>
      <c r="F579" s="46">
        <v>117</v>
      </c>
      <c r="G579" s="46" t="s">
        <v>204</v>
      </c>
      <c r="H579" s="46">
        <v>132</v>
      </c>
      <c r="I579" s="46" t="s">
        <v>200</v>
      </c>
      <c r="J579" s="48">
        <v>132</v>
      </c>
      <c r="K579">
        <v>38</v>
      </c>
      <c r="L579" t="s">
        <v>200</v>
      </c>
      <c r="P579">
        <v>997</v>
      </c>
      <c r="Q579">
        <v>5</v>
      </c>
      <c r="R579">
        <v>1002</v>
      </c>
    </row>
    <row r="580" spans="1:18" ht="19.899999999999999" customHeight="1" x14ac:dyDescent="0.25">
      <c r="A580" t="str">
        <f t="shared" ref="A580:A643" si="9">IF(COUNTIF(C580,"*TR*")&gt;0,SUBSTITUTE(RIGHT(B580,3) &amp; C580," ",""),MID(C580,FIND("(",C580)+1,4))</f>
        <v>9N24</v>
      </c>
      <c r="B580" s="46" t="s">
        <v>734</v>
      </c>
      <c r="C580" s="46" t="s">
        <v>739</v>
      </c>
      <c r="D580" s="46">
        <v>157</v>
      </c>
      <c r="E580" s="46" t="s">
        <v>218</v>
      </c>
      <c r="F580" s="46">
        <v>162</v>
      </c>
      <c r="G580" s="46" t="s">
        <v>218</v>
      </c>
      <c r="H580" s="46">
        <v>167</v>
      </c>
      <c r="I580" s="46" t="s">
        <v>227</v>
      </c>
      <c r="J580" s="48">
        <v>167</v>
      </c>
      <c r="K580">
        <v>34</v>
      </c>
      <c r="L580" t="s">
        <v>238</v>
      </c>
      <c r="P580">
        <v>2161</v>
      </c>
      <c r="Q580">
        <v>5</v>
      </c>
      <c r="R580">
        <v>2166</v>
      </c>
    </row>
    <row r="581" spans="1:18" ht="19.899999999999999" customHeight="1" x14ac:dyDescent="0.25">
      <c r="A581" t="str">
        <f t="shared" si="9"/>
        <v>9N#1DTR(B)</v>
      </c>
      <c r="B581" s="46" t="s">
        <v>734</v>
      </c>
      <c r="C581" s="46" t="s">
        <v>279</v>
      </c>
      <c r="D581" s="46">
        <v>273</v>
      </c>
      <c r="E581" s="46" t="s">
        <v>195</v>
      </c>
      <c r="F581" s="46">
        <v>222</v>
      </c>
      <c r="G581" s="46" t="s">
        <v>195</v>
      </c>
      <c r="H581" s="46">
        <v>229</v>
      </c>
      <c r="I581" s="46" t="s">
        <v>195</v>
      </c>
      <c r="J581" s="48">
        <v>273</v>
      </c>
      <c r="K581" t="s">
        <v>196</v>
      </c>
      <c r="L581" t="s">
        <v>196</v>
      </c>
      <c r="P581">
        <v>1802</v>
      </c>
      <c r="Q581">
        <v>2</v>
      </c>
      <c r="R581">
        <v>1804</v>
      </c>
    </row>
    <row r="582" spans="1:18" ht="19.899999999999999" customHeight="1" x14ac:dyDescent="0.25">
      <c r="A582" t="str">
        <f t="shared" si="9"/>
        <v>9N25</v>
      </c>
      <c r="B582" s="46" t="s">
        <v>734</v>
      </c>
      <c r="C582" s="46" t="s">
        <v>740</v>
      </c>
      <c r="D582" s="46">
        <v>67</v>
      </c>
      <c r="E582" s="46" t="s">
        <v>238</v>
      </c>
      <c r="F582" s="46">
        <v>55</v>
      </c>
      <c r="G582" s="46" t="s">
        <v>235</v>
      </c>
      <c r="H582" s="46">
        <v>38</v>
      </c>
      <c r="I582" s="46" t="s">
        <v>206</v>
      </c>
      <c r="J582" s="48">
        <v>67</v>
      </c>
      <c r="K582">
        <v>39</v>
      </c>
      <c r="L582" t="s">
        <v>238</v>
      </c>
      <c r="P582">
        <v>1630</v>
      </c>
      <c r="Q582">
        <v>1</v>
      </c>
      <c r="R582">
        <v>1631</v>
      </c>
    </row>
    <row r="583" spans="1:18" ht="19.899999999999999" customHeight="1" x14ac:dyDescent="0.25">
      <c r="A583" t="str">
        <f t="shared" si="9"/>
        <v>9N26</v>
      </c>
      <c r="B583" s="46" t="s">
        <v>734</v>
      </c>
      <c r="C583" s="46" t="s">
        <v>741</v>
      </c>
      <c r="D583" s="46">
        <v>63</v>
      </c>
      <c r="E583" s="46" t="s">
        <v>206</v>
      </c>
      <c r="F583" s="46">
        <v>46</v>
      </c>
      <c r="G583" s="46" t="s">
        <v>206</v>
      </c>
      <c r="H583" s="46">
        <v>53</v>
      </c>
      <c r="I583" s="46" t="s">
        <v>206</v>
      </c>
      <c r="J583" s="48">
        <v>63</v>
      </c>
      <c r="K583">
        <v>41</v>
      </c>
      <c r="L583" t="s">
        <v>218</v>
      </c>
      <c r="P583">
        <v>761</v>
      </c>
      <c r="Q583">
        <v>3</v>
      </c>
      <c r="R583">
        <v>764</v>
      </c>
    </row>
    <row r="584" spans="1:18" ht="19.899999999999999" customHeight="1" x14ac:dyDescent="0.25">
      <c r="A584" t="str">
        <f t="shared" si="9"/>
        <v>9N27</v>
      </c>
      <c r="B584" s="46" t="s">
        <v>734</v>
      </c>
      <c r="C584" s="46" t="s">
        <v>742</v>
      </c>
      <c r="D584" s="46">
        <v>48</v>
      </c>
      <c r="E584" s="46" t="s">
        <v>222</v>
      </c>
      <c r="F584" s="46">
        <v>27</v>
      </c>
      <c r="G584" s="46" t="s">
        <v>200</v>
      </c>
      <c r="H584" s="46">
        <v>47</v>
      </c>
      <c r="I584" s="46" t="s">
        <v>218</v>
      </c>
      <c r="J584" s="48">
        <v>48</v>
      </c>
      <c r="K584">
        <v>33</v>
      </c>
      <c r="L584" t="s">
        <v>222</v>
      </c>
      <c r="P584">
        <v>992</v>
      </c>
      <c r="Q584">
        <v>1</v>
      </c>
      <c r="R584">
        <v>993</v>
      </c>
    </row>
    <row r="585" spans="1:18" ht="19.899999999999999" customHeight="1" x14ac:dyDescent="0.25">
      <c r="A585" t="str">
        <f t="shared" si="9"/>
        <v>9N28</v>
      </c>
      <c r="B585" s="46" t="s">
        <v>734</v>
      </c>
      <c r="C585" s="46" t="s">
        <v>743</v>
      </c>
      <c r="D585" s="46">
        <v>37</v>
      </c>
      <c r="E585" s="46" t="s">
        <v>235</v>
      </c>
      <c r="F585" s="46">
        <v>30</v>
      </c>
      <c r="G585" s="46" t="s">
        <v>238</v>
      </c>
      <c r="H585" s="46">
        <v>32</v>
      </c>
      <c r="I585" s="46" t="s">
        <v>235</v>
      </c>
      <c r="J585" s="48">
        <v>37</v>
      </c>
      <c r="K585">
        <v>16</v>
      </c>
      <c r="L585" t="s">
        <v>235</v>
      </c>
      <c r="P585">
        <v>393</v>
      </c>
      <c r="Q585">
        <v>0</v>
      </c>
      <c r="R585">
        <v>393</v>
      </c>
    </row>
    <row r="586" spans="1:18" ht="19.899999999999999" customHeight="1" x14ac:dyDescent="0.25">
      <c r="A586" t="str">
        <f t="shared" si="9"/>
        <v>9N29</v>
      </c>
      <c r="B586" s="46" t="s">
        <v>734</v>
      </c>
      <c r="C586" s="46" t="s">
        <v>744</v>
      </c>
      <c r="D586" s="46">
        <v>94</v>
      </c>
      <c r="E586" s="46" t="s">
        <v>199</v>
      </c>
      <c r="F586" s="46">
        <v>92</v>
      </c>
      <c r="G586" s="46" t="s">
        <v>227</v>
      </c>
      <c r="H586" s="46">
        <v>82</v>
      </c>
      <c r="I586" s="46" t="s">
        <v>195</v>
      </c>
      <c r="J586" s="48">
        <v>94</v>
      </c>
      <c r="K586">
        <v>49</v>
      </c>
      <c r="L586" t="s">
        <v>199</v>
      </c>
      <c r="P586">
        <v>644</v>
      </c>
      <c r="Q586">
        <v>1</v>
      </c>
      <c r="R586">
        <v>645</v>
      </c>
    </row>
    <row r="587" spans="1:18" ht="19.899999999999999" customHeight="1" x14ac:dyDescent="0.25">
      <c r="A587" t="str">
        <f t="shared" si="9"/>
        <v>IH#1MTR</v>
      </c>
      <c r="B587" s="46" t="s">
        <v>745</v>
      </c>
      <c r="C587" s="46" t="s">
        <v>194</v>
      </c>
      <c r="D587" s="46">
        <v>681</v>
      </c>
      <c r="E587" s="46" t="s">
        <v>204</v>
      </c>
      <c r="F587" s="46">
        <v>748</v>
      </c>
      <c r="G587" s="46" t="s">
        <v>199</v>
      </c>
      <c r="H587" s="46">
        <v>684</v>
      </c>
      <c r="I587" s="46" t="s">
        <v>199</v>
      </c>
      <c r="J587" s="48">
        <v>748</v>
      </c>
      <c r="K587" t="s">
        <v>196</v>
      </c>
      <c r="L587" t="s">
        <v>196</v>
      </c>
      <c r="P587">
        <v>153</v>
      </c>
      <c r="Q587">
        <v>1</v>
      </c>
      <c r="R587">
        <v>154</v>
      </c>
    </row>
    <row r="588" spans="1:18" ht="19.899999999999999" customHeight="1" x14ac:dyDescent="0.25">
      <c r="A588" t="str">
        <f t="shared" si="9"/>
        <v>IH27</v>
      </c>
      <c r="B588" s="46" t="s">
        <v>745</v>
      </c>
      <c r="C588" s="46" t="s">
        <v>746</v>
      </c>
      <c r="D588" s="46">
        <v>174</v>
      </c>
      <c r="E588" s="46" t="s">
        <v>200</v>
      </c>
      <c r="F588" s="46">
        <v>224</v>
      </c>
      <c r="G588" s="46" t="s">
        <v>200</v>
      </c>
      <c r="H588" s="46">
        <v>204</v>
      </c>
      <c r="I588" s="46" t="s">
        <v>204</v>
      </c>
      <c r="J588" s="48">
        <v>224</v>
      </c>
      <c r="K588">
        <v>69</v>
      </c>
      <c r="L588" t="s">
        <v>200</v>
      </c>
      <c r="P588">
        <v>639</v>
      </c>
      <c r="Q588" t="s">
        <v>192</v>
      </c>
      <c r="R588">
        <v>639</v>
      </c>
    </row>
    <row r="589" spans="1:18" ht="19.899999999999999" customHeight="1" x14ac:dyDescent="0.25">
      <c r="A589" t="str">
        <f t="shared" si="9"/>
        <v>IH21</v>
      </c>
      <c r="B589" s="46" t="s">
        <v>745</v>
      </c>
      <c r="C589" s="46" t="s">
        <v>747</v>
      </c>
      <c r="D589" s="46">
        <v>120</v>
      </c>
      <c r="E589" s="46" t="s">
        <v>199</v>
      </c>
      <c r="F589" s="46">
        <v>110</v>
      </c>
      <c r="G589" s="46" t="s">
        <v>199</v>
      </c>
      <c r="H589" s="46">
        <v>119</v>
      </c>
      <c r="I589" s="46" t="s">
        <v>199</v>
      </c>
      <c r="J589" s="48">
        <v>120</v>
      </c>
      <c r="K589">
        <v>42</v>
      </c>
      <c r="L589" t="s">
        <v>198</v>
      </c>
      <c r="P589">
        <v>1810</v>
      </c>
      <c r="Q589">
        <v>4</v>
      </c>
      <c r="R589">
        <v>1814</v>
      </c>
    </row>
    <row r="590" spans="1:18" ht="19.899999999999999" customHeight="1" x14ac:dyDescent="0.25">
      <c r="A590" t="str">
        <f t="shared" si="9"/>
        <v>IH25</v>
      </c>
      <c r="B590" s="46" t="s">
        <v>745</v>
      </c>
      <c r="C590" s="46" t="s">
        <v>748</v>
      </c>
      <c r="D590" s="46">
        <v>78</v>
      </c>
      <c r="E590" s="46" t="s">
        <v>204</v>
      </c>
      <c r="F590" s="46">
        <v>93</v>
      </c>
      <c r="G590" s="46" t="s">
        <v>204</v>
      </c>
      <c r="H590" s="46">
        <v>92</v>
      </c>
      <c r="I590" s="46" t="s">
        <v>204</v>
      </c>
      <c r="J590" s="48">
        <v>93</v>
      </c>
      <c r="K590">
        <v>51</v>
      </c>
      <c r="L590" t="s">
        <v>200</v>
      </c>
      <c r="P590">
        <v>292</v>
      </c>
      <c r="Q590">
        <v>1</v>
      </c>
      <c r="R590">
        <v>293</v>
      </c>
    </row>
    <row r="591" spans="1:18" ht="19.899999999999999" customHeight="1" x14ac:dyDescent="0.25">
      <c r="A591" t="str">
        <f t="shared" si="9"/>
        <v>IH24</v>
      </c>
      <c r="B591" s="46" t="s">
        <v>745</v>
      </c>
      <c r="C591" s="46" t="s">
        <v>749</v>
      </c>
      <c r="D591" s="46">
        <v>126</v>
      </c>
      <c r="E591" s="46" t="s">
        <v>200</v>
      </c>
      <c r="F591" s="46">
        <v>144</v>
      </c>
      <c r="G591" s="46" t="s">
        <v>200</v>
      </c>
      <c r="H591" s="46">
        <v>126</v>
      </c>
      <c r="I591" s="46" t="s">
        <v>202</v>
      </c>
      <c r="J591" s="48">
        <v>144</v>
      </c>
      <c r="K591">
        <v>42</v>
      </c>
      <c r="L591" t="s">
        <v>227</v>
      </c>
      <c r="P591">
        <v>1204</v>
      </c>
      <c r="Q591">
        <v>5</v>
      </c>
      <c r="R591">
        <v>1209</v>
      </c>
    </row>
    <row r="592" spans="1:18" ht="19.899999999999999" customHeight="1" x14ac:dyDescent="0.25">
      <c r="A592" t="str">
        <f t="shared" si="9"/>
        <v>IH28</v>
      </c>
      <c r="B592" s="46" t="s">
        <v>745</v>
      </c>
      <c r="C592" s="46" t="s">
        <v>750</v>
      </c>
      <c r="D592" s="46">
        <v>219</v>
      </c>
      <c r="E592" s="46" t="s">
        <v>204</v>
      </c>
      <c r="F592" s="46">
        <v>219</v>
      </c>
      <c r="G592" s="46" t="s">
        <v>199</v>
      </c>
      <c r="H592" s="46">
        <v>192</v>
      </c>
      <c r="I592" s="46" t="s">
        <v>204</v>
      </c>
      <c r="J592" s="48">
        <v>219</v>
      </c>
      <c r="K592">
        <v>65</v>
      </c>
      <c r="L592" t="s">
        <v>213</v>
      </c>
      <c r="P592">
        <v>1252</v>
      </c>
      <c r="Q592">
        <v>2</v>
      </c>
      <c r="R592">
        <v>1254</v>
      </c>
    </row>
    <row r="593" spans="1:18" ht="19.899999999999999" customHeight="1" x14ac:dyDescent="0.25">
      <c r="A593" t="str">
        <f t="shared" si="9"/>
        <v>IH#2MTR</v>
      </c>
      <c r="B593" s="46" t="s">
        <v>745</v>
      </c>
      <c r="C593" s="46" t="s">
        <v>209</v>
      </c>
      <c r="D593" s="46">
        <v>445</v>
      </c>
      <c r="E593" s="46" t="s">
        <v>206</v>
      </c>
      <c r="F593" s="46">
        <v>426</v>
      </c>
      <c r="G593" s="46" t="s">
        <v>195</v>
      </c>
      <c r="H593" s="46">
        <v>376</v>
      </c>
      <c r="I593" s="46" t="s">
        <v>195</v>
      </c>
      <c r="J593" s="48">
        <v>445</v>
      </c>
      <c r="K593" t="s">
        <v>196</v>
      </c>
      <c r="L593" t="s">
        <v>196</v>
      </c>
      <c r="P593">
        <v>681</v>
      </c>
      <c r="Q593">
        <v>4</v>
      </c>
      <c r="R593">
        <v>685</v>
      </c>
    </row>
    <row r="594" spans="1:18" ht="19.899999999999999" customHeight="1" x14ac:dyDescent="0.25">
      <c r="A594" t="str">
        <f t="shared" si="9"/>
        <v>IH33</v>
      </c>
      <c r="B594" s="46" t="s">
        <v>745</v>
      </c>
      <c r="C594" s="46" t="s">
        <v>751</v>
      </c>
      <c r="D594" s="46">
        <v>100</v>
      </c>
      <c r="E594" s="46" t="s">
        <v>195</v>
      </c>
      <c r="F594" s="46">
        <v>129</v>
      </c>
      <c r="G594" s="46" t="s">
        <v>195</v>
      </c>
      <c r="H594" s="46">
        <v>101</v>
      </c>
      <c r="I594" s="46" t="s">
        <v>195</v>
      </c>
      <c r="J594" s="48">
        <v>129</v>
      </c>
      <c r="K594">
        <v>54</v>
      </c>
      <c r="L594" t="s">
        <v>206</v>
      </c>
      <c r="P594" t="s">
        <v>192</v>
      </c>
      <c r="Q594" t="s">
        <v>192</v>
      </c>
      <c r="R594">
        <v>0</v>
      </c>
    </row>
    <row r="595" spans="1:18" ht="19.899999999999999" customHeight="1" x14ac:dyDescent="0.25">
      <c r="A595" t="str">
        <f t="shared" si="9"/>
        <v>IH32</v>
      </c>
      <c r="B595" s="46" t="s">
        <v>745</v>
      </c>
      <c r="C595" s="46" t="s">
        <v>752</v>
      </c>
      <c r="D595" s="46">
        <v>52</v>
      </c>
      <c r="E595" s="46" t="s">
        <v>206</v>
      </c>
      <c r="F595" s="46">
        <v>53</v>
      </c>
      <c r="G595" s="46" t="s">
        <v>206</v>
      </c>
      <c r="H595" s="46">
        <v>44</v>
      </c>
      <c r="I595" s="46" t="s">
        <v>195</v>
      </c>
      <c r="J595" s="48">
        <v>53</v>
      </c>
      <c r="K595">
        <v>28</v>
      </c>
      <c r="L595" t="s">
        <v>206</v>
      </c>
      <c r="P595">
        <v>1092</v>
      </c>
      <c r="Q595">
        <v>7</v>
      </c>
      <c r="R595">
        <v>1099</v>
      </c>
    </row>
    <row r="596" spans="1:18" ht="19.899999999999999" customHeight="1" x14ac:dyDescent="0.25">
      <c r="A596" t="str">
        <f t="shared" si="9"/>
        <v>IH34</v>
      </c>
      <c r="B596" s="46" t="s">
        <v>745</v>
      </c>
      <c r="C596" s="46" t="s">
        <v>753</v>
      </c>
      <c r="D596" s="46">
        <v>90</v>
      </c>
      <c r="E596" s="46" t="s">
        <v>238</v>
      </c>
      <c r="F596" s="46">
        <v>58</v>
      </c>
      <c r="G596" s="46" t="s">
        <v>231</v>
      </c>
      <c r="H596" s="46">
        <v>66</v>
      </c>
      <c r="I596" s="46" t="s">
        <v>204</v>
      </c>
      <c r="J596" s="48">
        <v>90</v>
      </c>
      <c r="K596">
        <v>43</v>
      </c>
      <c r="L596" t="s">
        <v>238</v>
      </c>
      <c r="P596">
        <v>226</v>
      </c>
      <c r="Q596">
        <v>4</v>
      </c>
      <c r="R596">
        <v>230</v>
      </c>
    </row>
    <row r="597" spans="1:18" ht="19.899999999999999" customHeight="1" x14ac:dyDescent="0.25">
      <c r="A597" t="str">
        <f t="shared" si="9"/>
        <v>IH31</v>
      </c>
      <c r="B597" s="46" t="s">
        <v>745</v>
      </c>
      <c r="C597" s="46" t="s">
        <v>754</v>
      </c>
      <c r="D597" s="46">
        <v>86</v>
      </c>
      <c r="E597" s="46" t="s">
        <v>195</v>
      </c>
      <c r="F597" s="46">
        <v>76</v>
      </c>
      <c r="G597" s="46" t="s">
        <v>206</v>
      </c>
      <c r="H597" s="46">
        <v>38</v>
      </c>
      <c r="I597" s="46" t="s">
        <v>235</v>
      </c>
      <c r="J597" s="48">
        <v>86</v>
      </c>
      <c r="K597">
        <v>66</v>
      </c>
      <c r="L597" t="s">
        <v>195</v>
      </c>
      <c r="P597">
        <v>1938</v>
      </c>
      <c r="Q597">
        <v>5</v>
      </c>
      <c r="R597">
        <v>1943</v>
      </c>
    </row>
    <row r="598" spans="1:18" ht="19.899999999999999" customHeight="1" x14ac:dyDescent="0.25">
      <c r="A598" t="str">
        <f t="shared" si="9"/>
        <v>IH35</v>
      </c>
      <c r="B598" s="46" t="s">
        <v>745</v>
      </c>
      <c r="C598" s="46" t="s">
        <v>755</v>
      </c>
      <c r="D598" s="46">
        <v>139</v>
      </c>
      <c r="E598" s="46" t="s">
        <v>235</v>
      </c>
      <c r="F598" s="46">
        <v>138</v>
      </c>
      <c r="G598" s="46" t="s">
        <v>238</v>
      </c>
      <c r="H598" s="46">
        <v>139</v>
      </c>
      <c r="I598" s="46" t="s">
        <v>238</v>
      </c>
      <c r="J598" s="48">
        <v>139</v>
      </c>
      <c r="K598">
        <v>57</v>
      </c>
      <c r="L598" t="s">
        <v>222</v>
      </c>
      <c r="P598">
        <v>1181</v>
      </c>
      <c r="Q598">
        <v>2</v>
      </c>
      <c r="R598">
        <v>1183</v>
      </c>
    </row>
    <row r="599" spans="1:18" ht="19.899999999999999" customHeight="1" x14ac:dyDescent="0.25">
      <c r="A599" t="str">
        <f t="shared" si="9"/>
        <v>IH#3MTR</v>
      </c>
      <c r="B599" s="46" t="s">
        <v>745</v>
      </c>
      <c r="C599" s="46" t="s">
        <v>217</v>
      </c>
      <c r="D599" s="46">
        <v>730</v>
      </c>
      <c r="E599" s="46" t="s">
        <v>199</v>
      </c>
      <c r="F599" s="46">
        <v>712</v>
      </c>
      <c r="G599" s="46" t="s">
        <v>199</v>
      </c>
      <c r="H599" s="46">
        <v>782</v>
      </c>
      <c r="I599" s="46" t="s">
        <v>199</v>
      </c>
      <c r="J599" s="48">
        <v>782</v>
      </c>
      <c r="K599" t="s">
        <v>196</v>
      </c>
      <c r="L599" t="s">
        <v>196</v>
      </c>
      <c r="P599">
        <v>3654</v>
      </c>
      <c r="Q599">
        <v>0</v>
      </c>
      <c r="R599">
        <v>3654</v>
      </c>
    </row>
    <row r="600" spans="1:18" ht="19.899999999999999" customHeight="1" x14ac:dyDescent="0.25">
      <c r="A600" t="str">
        <f t="shared" si="9"/>
        <v>IH29</v>
      </c>
      <c r="B600" s="46" t="s">
        <v>745</v>
      </c>
      <c r="C600" s="46" t="s">
        <v>756</v>
      </c>
      <c r="D600" s="46">
        <v>134</v>
      </c>
      <c r="E600" s="46" t="s">
        <v>199</v>
      </c>
      <c r="F600" s="46">
        <v>140</v>
      </c>
      <c r="G600" s="46" t="s">
        <v>204</v>
      </c>
      <c r="H600" s="46">
        <v>147</v>
      </c>
      <c r="I600" s="46" t="s">
        <v>204</v>
      </c>
      <c r="J600" s="48">
        <v>147</v>
      </c>
      <c r="K600">
        <v>33</v>
      </c>
      <c r="L600" t="s">
        <v>206</v>
      </c>
      <c r="P600">
        <v>3807</v>
      </c>
      <c r="Q600">
        <v>1</v>
      </c>
      <c r="R600">
        <v>3808</v>
      </c>
    </row>
    <row r="601" spans="1:18" ht="19.899999999999999" customHeight="1" x14ac:dyDescent="0.25">
      <c r="A601" t="str">
        <f t="shared" si="9"/>
        <v>IH23</v>
      </c>
      <c r="B601" s="46" t="s">
        <v>745</v>
      </c>
      <c r="C601" s="46" t="s">
        <v>757</v>
      </c>
      <c r="D601" s="46">
        <v>105</v>
      </c>
      <c r="E601" s="46" t="s">
        <v>195</v>
      </c>
      <c r="F601" s="46">
        <v>112</v>
      </c>
      <c r="G601" s="46" t="s">
        <v>198</v>
      </c>
      <c r="H601" s="46">
        <v>141</v>
      </c>
      <c r="I601" s="46" t="s">
        <v>195</v>
      </c>
      <c r="J601" s="48">
        <v>141</v>
      </c>
      <c r="K601">
        <v>62</v>
      </c>
      <c r="L601" t="s">
        <v>213</v>
      </c>
      <c r="P601">
        <v>1727</v>
      </c>
      <c r="Q601">
        <v>2</v>
      </c>
      <c r="R601">
        <v>1729</v>
      </c>
    </row>
    <row r="602" spans="1:18" ht="19.899999999999999" customHeight="1" x14ac:dyDescent="0.25">
      <c r="A602" t="str">
        <f t="shared" si="9"/>
        <v>IH22</v>
      </c>
      <c r="B602" s="46" t="s">
        <v>745</v>
      </c>
      <c r="C602" s="46" t="s">
        <v>758</v>
      </c>
      <c r="D602" s="46">
        <v>153</v>
      </c>
      <c r="E602" s="46" t="s">
        <v>200</v>
      </c>
      <c r="F602" s="46">
        <v>135</v>
      </c>
      <c r="G602" s="46" t="s">
        <v>202</v>
      </c>
      <c r="H602" s="46">
        <v>148</v>
      </c>
      <c r="I602" s="46" t="s">
        <v>202</v>
      </c>
      <c r="J602" s="48">
        <v>153</v>
      </c>
      <c r="K602">
        <v>59</v>
      </c>
      <c r="L602" t="s">
        <v>218</v>
      </c>
      <c r="P602">
        <v>3115</v>
      </c>
      <c r="Q602">
        <v>6</v>
      </c>
      <c r="R602">
        <v>3121</v>
      </c>
    </row>
    <row r="603" spans="1:18" ht="19.899999999999999" customHeight="1" x14ac:dyDescent="0.25">
      <c r="A603" t="str">
        <f t="shared" si="9"/>
        <v>IH26</v>
      </c>
      <c r="B603" s="46" t="s">
        <v>745</v>
      </c>
      <c r="C603" s="46" t="s">
        <v>759</v>
      </c>
      <c r="D603" s="46">
        <v>146</v>
      </c>
      <c r="E603" s="46" t="s">
        <v>199</v>
      </c>
      <c r="F603" s="46">
        <v>115</v>
      </c>
      <c r="G603" s="46" t="s">
        <v>199</v>
      </c>
      <c r="H603" s="46">
        <v>128</v>
      </c>
      <c r="I603" s="46" t="s">
        <v>199</v>
      </c>
      <c r="J603" s="48">
        <v>146</v>
      </c>
      <c r="K603">
        <v>36</v>
      </c>
      <c r="L603" t="s">
        <v>199</v>
      </c>
      <c r="P603">
        <v>2862</v>
      </c>
      <c r="Q603">
        <v>2</v>
      </c>
      <c r="R603">
        <v>2864</v>
      </c>
    </row>
    <row r="604" spans="1:18" ht="19.899999999999999" customHeight="1" x14ac:dyDescent="0.25">
      <c r="A604" t="str">
        <f t="shared" si="9"/>
        <v>IH20</v>
      </c>
      <c r="B604" s="46" t="s">
        <v>745</v>
      </c>
      <c r="C604" s="46" t="s">
        <v>760</v>
      </c>
      <c r="D604" s="46">
        <v>276</v>
      </c>
      <c r="E604" s="46" t="s">
        <v>199</v>
      </c>
      <c r="F604" s="46">
        <v>274</v>
      </c>
      <c r="G604" s="46" t="s">
        <v>199</v>
      </c>
      <c r="H604" s="46">
        <v>300</v>
      </c>
      <c r="I604" s="46" t="s">
        <v>199</v>
      </c>
      <c r="J604" s="48">
        <v>300</v>
      </c>
      <c r="K604">
        <v>59</v>
      </c>
      <c r="L604" t="s">
        <v>227</v>
      </c>
      <c r="P604">
        <v>1633</v>
      </c>
      <c r="Q604">
        <v>2</v>
      </c>
      <c r="R604">
        <v>1635</v>
      </c>
    </row>
    <row r="605" spans="1:18" ht="19.899999999999999" customHeight="1" x14ac:dyDescent="0.25">
      <c r="A605" t="str">
        <f t="shared" si="9"/>
        <v>IQ#1MTR</v>
      </c>
      <c r="B605" s="46" t="s">
        <v>761</v>
      </c>
      <c r="C605" s="46" t="s">
        <v>194</v>
      </c>
      <c r="D605" s="46">
        <v>597</v>
      </c>
      <c r="E605" s="46" t="s">
        <v>199</v>
      </c>
      <c r="F605" s="46">
        <v>562</v>
      </c>
      <c r="G605" s="46" t="s">
        <v>199</v>
      </c>
      <c r="H605" s="46">
        <v>542</v>
      </c>
      <c r="I605" s="46" t="s">
        <v>199</v>
      </c>
      <c r="J605" s="48">
        <v>597</v>
      </c>
      <c r="K605" t="s">
        <v>196</v>
      </c>
      <c r="L605" t="s">
        <v>196</v>
      </c>
      <c r="P605">
        <v>1262</v>
      </c>
      <c r="Q605">
        <v>6</v>
      </c>
      <c r="R605">
        <v>1268</v>
      </c>
    </row>
    <row r="606" spans="1:18" ht="19.899999999999999" customHeight="1" x14ac:dyDescent="0.25">
      <c r="A606" t="str">
        <f t="shared" si="9"/>
        <v>IQ21</v>
      </c>
      <c r="B606" s="46" t="s">
        <v>761</v>
      </c>
      <c r="C606" s="46" t="s">
        <v>762</v>
      </c>
      <c r="D606" s="46">
        <v>138</v>
      </c>
      <c r="E606" s="46" t="s">
        <v>199</v>
      </c>
      <c r="F606" s="46">
        <v>144</v>
      </c>
      <c r="G606" s="46" t="s">
        <v>199</v>
      </c>
      <c r="H606" s="46">
        <v>132</v>
      </c>
      <c r="I606" s="46" t="s">
        <v>199</v>
      </c>
      <c r="J606" s="48">
        <v>144</v>
      </c>
      <c r="K606">
        <v>31</v>
      </c>
      <c r="L606" t="s">
        <v>206</v>
      </c>
      <c r="P606">
        <v>3157</v>
      </c>
      <c r="Q606">
        <v>2</v>
      </c>
      <c r="R606">
        <v>3159</v>
      </c>
    </row>
    <row r="607" spans="1:18" ht="19.899999999999999" customHeight="1" x14ac:dyDescent="0.25">
      <c r="A607" t="str">
        <f t="shared" si="9"/>
        <v>IQ22</v>
      </c>
      <c r="B607" s="46" t="s">
        <v>761</v>
      </c>
      <c r="C607" s="46" t="s">
        <v>763</v>
      </c>
      <c r="D607" s="46">
        <v>162</v>
      </c>
      <c r="E607" s="46" t="s">
        <v>199</v>
      </c>
      <c r="F607" s="46">
        <v>163</v>
      </c>
      <c r="G607" s="46" t="s">
        <v>227</v>
      </c>
      <c r="H607" s="46">
        <v>164</v>
      </c>
      <c r="I607" s="46" t="s">
        <v>199</v>
      </c>
      <c r="J607" s="48">
        <v>164</v>
      </c>
      <c r="K607">
        <v>16</v>
      </c>
      <c r="L607" t="s">
        <v>198</v>
      </c>
      <c r="P607">
        <v>3413</v>
      </c>
      <c r="Q607">
        <v>3</v>
      </c>
      <c r="R607">
        <v>3416</v>
      </c>
    </row>
    <row r="608" spans="1:18" ht="19.899999999999999" customHeight="1" x14ac:dyDescent="0.25">
      <c r="A608" t="str">
        <f t="shared" si="9"/>
        <v>IQ23</v>
      </c>
      <c r="B608" s="46" t="s">
        <v>761</v>
      </c>
      <c r="C608" s="46" t="s">
        <v>764</v>
      </c>
      <c r="D608" s="46">
        <v>114</v>
      </c>
      <c r="E608" s="46" t="s">
        <v>195</v>
      </c>
      <c r="F608" s="46">
        <v>65</v>
      </c>
      <c r="G608" s="46" t="s">
        <v>195</v>
      </c>
      <c r="H608" s="46">
        <v>84</v>
      </c>
      <c r="I608" s="46" t="s">
        <v>195</v>
      </c>
      <c r="J608" s="48">
        <v>114</v>
      </c>
      <c r="K608">
        <v>53</v>
      </c>
      <c r="L608" t="s">
        <v>195</v>
      </c>
      <c r="P608">
        <v>2525</v>
      </c>
      <c r="Q608">
        <v>2</v>
      </c>
      <c r="R608">
        <v>2527</v>
      </c>
    </row>
    <row r="609" spans="1:18" ht="19.899999999999999" customHeight="1" x14ac:dyDescent="0.25">
      <c r="A609" t="str">
        <f t="shared" si="9"/>
        <v>IQ24</v>
      </c>
      <c r="B609" s="46" t="s">
        <v>761</v>
      </c>
      <c r="C609" s="46" t="s">
        <v>765</v>
      </c>
      <c r="D609" s="46">
        <v>165</v>
      </c>
      <c r="E609" s="46" t="s">
        <v>200</v>
      </c>
      <c r="F609" s="46">
        <v>158</v>
      </c>
      <c r="G609" s="46" t="s">
        <v>200</v>
      </c>
      <c r="H609" s="46">
        <v>149</v>
      </c>
      <c r="I609" s="46" t="s">
        <v>200</v>
      </c>
      <c r="J609" s="48">
        <v>165</v>
      </c>
      <c r="K609">
        <v>31</v>
      </c>
      <c r="L609" t="s">
        <v>224</v>
      </c>
      <c r="P609">
        <v>4514</v>
      </c>
      <c r="Q609">
        <v>1</v>
      </c>
      <c r="R609">
        <v>4515</v>
      </c>
    </row>
    <row r="610" spans="1:18" ht="19.899999999999999" customHeight="1" x14ac:dyDescent="0.25">
      <c r="A610" t="str">
        <f t="shared" si="9"/>
        <v>IQ25</v>
      </c>
      <c r="B610" s="46" t="s">
        <v>761</v>
      </c>
      <c r="C610" s="46" t="s">
        <v>766</v>
      </c>
      <c r="D610" s="46">
        <v>74</v>
      </c>
      <c r="E610" s="46" t="s">
        <v>195</v>
      </c>
      <c r="F610" s="46">
        <v>75</v>
      </c>
      <c r="G610" s="46" t="s">
        <v>195</v>
      </c>
      <c r="H610" s="46">
        <v>57</v>
      </c>
      <c r="I610" s="46" t="s">
        <v>195</v>
      </c>
      <c r="J610" s="48">
        <v>75</v>
      </c>
      <c r="K610">
        <v>31</v>
      </c>
      <c r="L610" t="s">
        <v>206</v>
      </c>
      <c r="P610">
        <v>1010</v>
      </c>
      <c r="Q610">
        <v>4</v>
      </c>
      <c r="R610">
        <v>1014</v>
      </c>
    </row>
    <row r="611" spans="1:18" ht="19.899999999999999" customHeight="1" x14ac:dyDescent="0.25">
      <c r="A611" t="str">
        <f t="shared" si="9"/>
        <v>IQ#2MTR</v>
      </c>
      <c r="B611" s="46" t="s">
        <v>761</v>
      </c>
      <c r="C611" s="46" t="s">
        <v>209</v>
      </c>
      <c r="D611" s="46">
        <v>301</v>
      </c>
      <c r="E611" s="46" t="s">
        <v>195</v>
      </c>
      <c r="F611" s="46">
        <v>265</v>
      </c>
      <c r="G611" s="46" t="s">
        <v>204</v>
      </c>
      <c r="H611" s="46">
        <v>317</v>
      </c>
      <c r="I611" s="46" t="s">
        <v>204</v>
      </c>
      <c r="J611" s="48">
        <v>317</v>
      </c>
      <c r="K611" t="s">
        <v>196</v>
      </c>
      <c r="L611" t="s">
        <v>196</v>
      </c>
      <c r="P611">
        <v>3678</v>
      </c>
      <c r="Q611">
        <v>1</v>
      </c>
      <c r="R611">
        <v>3679</v>
      </c>
    </row>
    <row r="612" spans="1:18" ht="19.899999999999999" customHeight="1" x14ac:dyDescent="0.25">
      <c r="A612" t="str">
        <f t="shared" si="9"/>
        <v>IQ26</v>
      </c>
      <c r="B612" s="46" t="s">
        <v>761</v>
      </c>
      <c r="C612" s="46" t="s">
        <v>767</v>
      </c>
      <c r="D612" s="46">
        <v>56</v>
      </c>
      <c r="E612" s="46" t="s">
        <v>206</v>
      </c>
      <c r="F612" s="46">
        <v>41</v>
      </c>
      <c r="G612" s="46" t="s">
        <v>235</v>
      </c>
      <c r="H612" s="46">
        <v>41</v>
      </c>
      <c r="I612" s="46" t="s">
        <v>198</v>
      </c>
      <c r="J612" s="48">
        <v>56</v>
      </c>
      <c r="K612">
        <v>18</v>
      </c>
      <c r="L612" t="s">
        <v>195</v>
      </c>
      <c r="P612">
        <v>218</v>
      </c>
      <c r="Q612">
        <v>6</v>
      </c>
      <c r="R612">
        <v>224</v>
      </c>
    </row>
    <row r="613" spans="1:18" ht="19.899999999999999" customHeight="1" x14ac:dyDescent="0.25">
      <c r="A613" t="str">
        <f t="shared" si="9"/>
        <v>IQ29</v>
      </c>
      <c r="B613" s="46" t="s">
        <v>761</v>
      </c>
      <c r="C613" s="46" t="s">
        <v>768</v>
      </c>
      <c r="D613" s="46">
        <v>9</v>
      </c>
      <c r="E613" s="46" t="s">
        <v>293</v>
      </c>
      <c r="F613" s="46">
        <v>10</v>
      </c>
      <c r="G613" s="46" t="s">
        <v>199</v>
      </c>
      <c r="H613" s="46">
        <v>10</v>
      </c>
      <c r="I613" s="46" t="s">
        <v>199</v>
      </c>
      <c r="J613" s="48">
        <v>10</v>
      </c>
      <c r="K613">
        <v>4</v>
      </c>
      <c r="L613" t="s">
        <v>224</v>
      </c>
      <c r="P613">
        <v>1472</v>
      </c>
      <c r="Q613">
        <v>1</v>
      </c>
      <c r="R613">
        <v>1473</v>
      </c>
    </row>
    <row r="614" spans="1:18" ht="19.899999999999999" customHeight="1" x14ac:dyDescent="0.25">
      <c r="A614" t="str">
        <f t="shared" si="9"/>
        <v>IQ30</v>
      </c>
      <c r="B614" s="46" t="s">
        <v>761</v>
      </c>
      <c r="C614" s="46" t="s">
        <v>769</v>
      </c>
      <c r="D614" s="46">
        <v>122</v>
      </c>
      <c r="E614" s="46" t="s">
        <v>204</v>
      </c>
      <c r="F614" s="46">
        <v>86</v>
      </c>
      <c r="G614" s="46" t="s">
        <v>227</v>
      </c>
      <c r="H614" s="46">
        <v>102</v>
      </c>
      <c r="I614" s="46" t="s">
        <v>227</v>
      </c>
      <c r="J614" s="48">
        <v>122</v>
      </c>
      <c r="K614">
        <v>42</v>
      </c>
      <c r="L614" t="s">
        <v>206</v>
      </c>
      <c r="P614">
        <v>1722</v>
      </c>
      <c r="Q614">
        <v>3</v>
      </c>
      <c r="R614">
        <v>1725</v>
      </c>
    </row>
    <row r="615" spans="1:18" ht="19.899999999999999" customHeight="1" x14ac:dyDescent="0.25">
      <c r="A615" t="str">
        <f t="shared" si="9"/>
        <v>IQ27</v>
      </c>
      <c r="B615" s="46" t="s">
        <v>761</v>
      </c>
      <c r="C615" s="46" t="s">
        <v>770</v>
      </c>
      <c r="D615" s="46">
        <v>66</v>
      </c>
      <c r="E615" s="46" t="s">
        <v>231</v>
      </c>
      <c r="F615" s="46">
        <v>42</v>
      </c>
      <c r="G615" s="46" t="s">
        <v>222</v>
      </c>
      <c r="H615" s="46">
        <v>74</v>
      </c>
      <c r="I615" s="46" t="s">
        <v>227</v>
      </c>
      <c r="J615" s="48">
        <v>74</v>
      </c>
      <c r="K615">
        <v>48</v>
      </c>
      <c r="L615" t="s">
        <v>198</v>
      </c>
      <c r="P615" t="s">
        <v>192</v>
      </c>
      <c r="Q615" t="s">
        <v>192</v>
      </c>
      <c r="R615">
        <v>0</v>
      </c>
    </row>
    <row r="616" spans="1:18" ht="19.899999999999999" customHeight="1" x14ac:dyDescent="0.25">
      <c r="A616" t="str">
        <f t="shared" si="9"/>
        <v>IQ28</v>
      </c>
      <c r="B616" s="46" t="s">
        <v>761</v>
      </c>
      <c r="C616" s="46" t="s">
        <v>771</v>
      </c>
      <c r="D616" s="46">
        <v>93</v>
      </c>
      <c r="E616" s="46" t="s">
        <v>231</v>
      </c>
      <c r="F616" s="46">
        <v>115</v>
      </c>
      <c r="G616" s="46" t="s">
        <v>206</v>
      </c>
      <c r="H616" s="46">
        <v>120</v>
      </c>
      <c r="I616" s="46" t="s">
        <v>204</v>
      </c>
      <c r="J616" s="48">
        <v>120</v>
      </c>
      <c r="K616">
        <v>54</v>
      </c>
      <c r="L616" t="s">
        <v>198</v>
      </c>
      <c r="P616" t="s">
        <v>192</v>
      </c>
      <c r="Q616" t="s">
        <v>192</v>
      </c>
      <c r="R616">
        <v>0</v>
      </c>
    </row>
    <row r="617" spans="1:18" ht="19.899999999999999" customHeight="1" x14ac:dyDescent="0.25">
      <c r="A617" t="str">
        <f t="shared" si="9"/>
        <v>IQ#3MTR</v>
      </c>
      <c r="B617" s="46" t="s">
        <v>761</v>
      </c>
      <c r="C617" s="46" t="s">
        <v>217</v>
      </c>
      <c r="D617" s="46">
        <v>271</v>
      </c>
      <c r="E617" s="46" t="s">
        <v>195</v>
      </c>
      <c r="F617" s="46">
        <v>304</v>
      </c>
      <c r="G617" s="46" t="s">
        <v>195</v>
      </c>
      <c r="H617" s="46">
        <v>326</v>
      </c>
      <c r="I617" s="46" t="s">
        <v>195</v>
      </c>
      <c r="J617" s="48">
        <v>326</v>
      </c>
      <c r="K617" t="s">
        <v>196</v>
      </c>
      <c r="L617" t="s">
        <v>196</v>
      </c>
      <c r="P617" t="s">
        <v>192</v>
      </c>
      <c r="Q617" t="s">
        <v>192</v>
      </c>
      <c r="R617">
        <v>0</v>
      </c>
    </row>
    <row r="618" spans="1:18" ht="19.899999999999999" customHeight="1" x14ac:dyDescent="0.25">
      <c r="A618" t="str">
        <f t="shared" si="9"/>
        <v>IQ31</v>
      </c>
      <c r="B618" s="46" t="s">
        <v>761</v>
      </c>
      <c r="C618" s="46" t="s">
        <v>772</v>
      </c>
      <c r="D618" s="46">
        <v>58</v>
      </c>
      <c r="E618" s="46" t="s">
        <v>195</v>
      </c>
      <c r="F618" s="46">
        <v>61</v>
      </c>
      <c r="G618" s="46" t="s">
        <v>195</v>
      </c>
      <c r="H618" s="46">
        <v>59</v>
      </c>
      <c r="I618" s="46" t="s">
        <v>195</v>
      </c>
      <c r="J618" s="48">
        <v>61</v>
      </c>
      <c r="K618">
        <v>40</v>
      </c>
      <c r="L618" t="s">
        <v>231</v>
      </c>
      <c r="P618" t="s">
        <v>192</v>
      </c>
      <c r="Q618" t="s">
        <v>192</v>
      </c>
      <c r="R618">
        <v>0</v>
      </c>
    </row>
    <row r="619" spans="1:18" ht="19.899999999999999" customHeight="1" x14ac:dyDescent="0.25">
      <c r="A619" t="str">
        <f t="shared" si="9"/>
        <v>IQ32</v>
      </c>
      <c r="B619" s="46" t="s">
        <v>761</v>
      </c>
      <c r="C619" s="46" t="s">
        <v>773</v>
      </c>
      <c r="D619" s="46">
        <v>54</v>
      </c>
      <c r="E619" s="46" t="s">
        <v>198</v>
      </c>
      <c r="F619" s="46">
        <v>70</v>
      </c>
      <c r="G619" s="46" t="s">
        <v>202</v>
      </c>
      <c r="H619" s="46">
        <v>123</v>
      </c>
      <c r="I619" s="46" t="s">
        <v>195</v>
      </c>
      <c r="J619" s="48">
        <v>123</v>
      </c>
      <c r="K619">
        <v>74</v>
      </c>
      <c r="L619" t="s">
        <v>206</v>
      </c>
      <c r="P619" t="s">
        <v>192</v>
      </c>
      <c r="Q619" t="s">
        <v>192</v>
      </c>
      <c r="R619">
        <v>0</v>
      </c>
    </row>
    <row r="620" spans="1:18" ht="19.899999999999999" customHeight="1" x14ac:dyDescent="0.25">
      <c r="A620" t="str">
        <f t="shared" si="9"/>
        <v>IQ33</v>
      </c>
      <c r="B620" s="46" t="s">
        <v>761</v>
      </c>
      <c r="C620" s="46" t="s">
        <v>774</v>
      </c>
      <c r="D620" s="46">
        <v>60</v>
      </c>
      <c r="E620" s="46" t="s">
        <v>227</v>
      </c>
      <c r="F620" s="46">
        <v>74</v>
      </c>
      <c r="G620" s="46" t="s">
        <v>227</v>
      </c>
      <c r="H620" s="46">
        <v>62</v>
      </c>
      <c r="I620" s="46" t="s">
        <v>227</v>
      </c>
      <c r="J620" s="48">
        <v>74</v>
      </c>
      <c r="K620">
        <v>25</v>
      </c>
      <c r="L620" t="s">
        <v>213</v>
      </c>
      <c r="P620" t="s">
        <v>192</v>
      </c>
      <c r="Q620" t="s">
        <v>192</v>
      </c>
      <c r="R620">
        <v>0</v>
      </c>
    </row>
    <row r="621" spans="1:18" ht="19.899999999999999" customHeight="1" x14ac:dyDescent="0.25">
      <c r="A621" t="str">
        <f t="shared" si="9"/>
        <v>IQ34</v>
      </c>
      <c r="B621" s="46" t="s">
        <v>761</v>
      </c>
      <c r="C621" s="46" t="s">
        <v>775</v>
      </c>
      <c r="D621" s="46">
        <v>58</v>
      </c>
      <c r="E621" s="46" t="s">
        <v>195</v>
      </c>
      <c r="F621" s="46">
        <v>60</v>
      </c>
      <c r="G621" s="46" t="s">
        <v>206</v>
      </c>
      <c r="H621" s="46">
        <v>50</v>
      </c>
      <c r="I621" s="46" t="s">
        <v>198</v>
      </c>
      <c r="J621" s="48">
        <v>60</v>
      </c>
      <c r="K621">
        <v>24</v>
      </c>
      <c r="L621" t="s">
        <v>204</v>
      </c>
      <c r="P621" t="s">
        <v>192</v>
      </c>
      <c r="Q621" t="s">
        <v>192</v>
      </c>
      <c r="R621">
        <v>0</v>
      </c>
    </row>
    <row r="622" spans="1:18" ht="19.899999999999999" customHeight="1" x14ac:dyDescent="0.25">
      <c r="A622" t="str">
        <f t="shared" si="9"/>
        <v>IQ35</v>
      </c>
      <c r="B622" s="46" t="s">
        <v>761</v>
      </c>
      <c r="C622" s="46" t="s">
        <v>776</v>
      </c>
      <c r="D622" s="46">
        <v>60</v>
      </c>
      <c r="E622" s="46" t="s">
        <v>206</v>
      </c>
      <c r="F622" s="46">
        <v>66</v>
      </c>
      <c r="G622" s="46" t="s">
        <v>195</v>
      </c>
      <c r="H622" s="46">
        <v>50</v>
      </c>
      <c r="I622" s="46" t="s">
        <v>202</v>
      </c>
      <c r="J622" s="48">
        <v>66</v>
      </c>
      <c r="K622">
        <v>28</v>
      </c>
      <c r="L622" t="s">
        <v>218</v>
      </c>
      <c r="P622" t="s">
        <v>192</v>
      </c>
      <c r="Q622" t="s">
        <v>192</v>
      </c>
      <c r="R622">
        <v>0</v>
      </c>
    </row>
    <row r="623" spans="1:18" ht="19.899999999999999" customHeight="1" x14ac:dyDescent="0.25">
      <c r="A623" t="str">
        <f t="shared" si="9"/>
        <v>9M#2DTR(A)</v>
      </c>
      <c r="B623" s="46" t="s">
        <v>777</v>
      </c>
      <c r="C623" s="46" t="s">
        <v>289</v>
      </c>
      <c r="D623" s="46">
        <v>444</v>
      </c>
      <c r="E623" s="46" t="s">
        <v>195</v>
      </c>
      <c r="F623" s="46">
        <v>355</v>
      </c>
      <c r="G623" s="46" t="s">
        <v>195</v>
      </c>
      <c r="H623" s="46">
        <v>358</v>
      </c>
      <c r="I623" s="46" t="s">
        <v>195</v>
      </c>
      <c r="J623" s="48">
        <v>444</v>
      </c>
      <c r="K623" t="s">
        <v>196</v>
      </c>
      <c r="L623" t="s">
        <v>196</v>
      </c>
      <c r="P623" t="s">
        <v>192</v>
      </c>
      <c r="Q623" t="s">
        <v>192</v>
      </c>
      <c r="R623">
        <v>0</v>
      </c>
    </row>
    <row r="624" spans="1:18" ht="19.899999999999999" customHeight="1" x14ac:dyDescent="0.25">
      <c r="A624" t="str">
        <f t="shared" si="9"/>
        <v>9M20</v>
      </c>
      <c r="B624" s="46" t="s">
        <v>777</v>
      </c>
      <c r="C624" s="46" t="s">
        <v>778</v>
      </c>
      <c r="D624" s="46">
        <v>131</v>
      </c>
      <c r="E624" s="46" t="s">
        <v>195</v>
      </c>
      <c r="F624" s="46">
        <v>111</v>
      </c>
      <c r="G624" s="46" t="s">
        <v>199</v>
      </c>
      <c r="H624" s="46">
        <v>98</v>
      </c>
      <c r="I624" s="46" t="s">
        <v>195</v>
      </c>
      <c r="J624" s="48">
        <v>131</v>
      </c>
      <c r="K624">
        <v>44</v>
      </c>
      <c r="L624" t="s">
        <v>227</v>
      </c>
      <c r="P624" t="s">
        <v>192</v>
      </c>
      <c r="Q624" t="s">
        <v>192</v>
      </c>
      <c r="R624">
        <v>0</v>
      </c>
    </row>
    <row r="625" spans="1:18" ht="19.899999999999999" customHeight="1" x14ac:dyDescent="0.25">
      <c r="A625" t="str">
        <f t="shared" si="9"/>
        <v>9M21</v>
      </c>
      <c r="B625" s="46" t="s">
        <v>777</v>
      </c>
      <c r="C625" s="46" t="s">
        <v>779</v>
      </c>
      <c r="D625" s="46">
        <v>136</v>
      </c>
      <c r="E625" s="46" t="s">
        <v>195</v>
      </c>
      <c r="F625" s="46">
        <v>122</v>
      </c>
      <c r="G625" s="46" t="s">
        <v>195</v>
      </c>
      <c r="H625" s="46">
        <v>114</v>
      </c>
      <c r="I625" s="46" t="s">
        <v>206</v>
      </c>
      <c r="J625" s="48">
        <v>136</v>
      </c>
      <c r="K625">
        <v>41</v>
      </c>
      <c r="L625" t="s">
        <v>204</v>
      </c>
      <c r="P625" t="s">
        <v>192</v>
      </c>
      <c r="Q625" t="s">
        <v>192</v>
      </c>
      <c r="R625">
        <v>0</v>
      </c>
    </row>
    <row r="626" spans="1:18" ht="19.899999999999999" customHeight="1" x14ac:dyDescent="0.25">
      <c r="A626" t="str">
        <f t="shared" si="9"/>
        <v>9M22</v>
      </c>
      <c r="B626" s="46" t="s">
        <v>777</v>
      </c>
      <c r="C626" s="46" t="s">
        <v>780</v>
      </c>
      <c r="D626" s="46">
        <v>75</v>
      </c>
      <c r="E626" s="46" t="s">
        <v>227</v>
      </c>
      <c r="F626" s="46">
        <v>54</v>
      </c>
      <c r="G626" s="46" t="s">
        <v>227</v>
      </c>
      <c r="H626" s="46">
        <v>59</v>
      </c>
      <c r="I626" s="46" t="s">
        <v>227</v>
      </c>
      <c r="J626" s="48">
        <v>75</v>
      </c>
      <c r="K626">
        <v>33</v>
      </c>
      <c r="L626" t="s">
        <v>227</v>
      </c>
      <c r="P626">
        <v>2147</v>
      </c>
      <c r="Q626">
        <v>1</v>
      </c>
      <c r="R626">
        <v>2148</v>
      </c>
    </row>
    <row r="627" spans="1:18" ht="19.899999999999999" customHeight="1" x14ac:dyDescent="0.25">
      <c r="A627" t="str">
        <f t="shared" si="9"/>
        <v>9M23</v>
      </c>
      <c r="B627" s="46" t="s">
        <v>777</v>
      </c>
      <c r="C627" s="46" t="s">
        <v>781</v>
      </c>
      <c r="D627" s="46">
        <v>45</v>
      </c>
      <c r="E627" s="46" t="s">
        <v>200</v>
      </c>
      <c r="F627" s="46">
        <v>45</v>
      </c>
      <c r="G627" s="46" t="s">
        <v>200</v>
      </c>
      <c r="H627" s="46">
        <v>48</v>
      </c>
      <c r="I627" s="46" t="s">
        <v>200</v>
      </c>
      <c r="J627" s="48">
        <v>48</v>
      </c>
      <c r="K627">
        <v>0</v>
      </c>
      <c r="L627" t="s">
        <v>215</v>
      </c>
      <c r="P627">
        <v>1905</v>
      </c>
      <c r="Q627">
        <v>5</v>
      </c>
      <c r="R627">
        <v>1910</v>
      </c>
    </row>
    <row r="628" spans="1:18" ht="19.899999999999999" customHeight="1" x14ac:dyDescent="0.25">
      <c r="A628" t="str">
        <f t="shared" si="9"/>
        <v>9M24</v>
      </c>
      <c r="B628" s="46" t="s">
        <v>777</v>
      </c>
      <c r="C628" s="46" t="s">
        <v>782</v>
      </c>
      <c r="D628" s="46">
        <v>66</v>
      </c>
      <c r="E628" s="46" t="s">
        <v>222</v>
      </c>
      <c r="F628" s="46">
        <v>73</v>
      </c>
      <c r="G628" s="46" t="s">
        <v>222</v>
      </c>
      <c r="H628" s="46">
        <v>72</v>
      </c>
      <c r="I628" s="46" t="s">
        <v>222</v>
      </c>
      <c r="J628" s="48">
        <v>73</v>
      </c>
      <c r="K628">
        <v>23</v>
      </c>
      <c r="L628" t="s">
        <v>195</v>
      </c>
      <c r="P628">
        <v>1936</v>
      </c>
      <c r="Q628">
        <v>6</v>
      </c>
      <c r="R628">
        <v>1942</v>
      </c>
    </row>
    <row r="629" spans="1:18" ht="19.899999999999999" customHeight="1" x14ac:dyDescent="0.25">
      <c r="A629" t="str">
        <f t="shared" si="9"/>
        <v>9M#2DTR(B)</v>
      </c>
      <c r="B629" s="46" t="s">
        <v>777</v>
      </c>
      <c r="C629" s="46" t="s">
        <v>300</v>
      </c>
      <c r="D629" s="46">
        <v>586</v>
      </c>
      <c r="E629" s="46" t="s">
        <v>206</v>
      </c>
      <c r="F629" s="46">
        <v>534</v>
      </c>
      <c r="G629" s="46" t="s">
        <v>195</v>
      </c>
      <c r="H629" s="46">
        <v>571</v>
      </c>
      <c r="I629" s="46" t="s">
        <v>195</v>
      </c>
      <c r="J629" s="48">
        <v>586</v>
      </c>
      <c r="K629" t="s">
        <v>196</v>
      </c>
      <c r="L629" t="s">
        <v>196</v>
      </c>
      <c r="P629">
        <v>1691</v>
      </c>
      <c r="Q629">
        <v>11</v>
      </c>
      <c r="R629">
        <v>1702</v>
      </c>
    </row>
    <row r="630" spans="1:18" ht="19.899999999999999" customHeight="1" x14ac:dyDescent="0.25">
      <c r="A630" t="str">
        <f t="shared" si="9"/>
        <v>9M25</v>
      </c>
      <c r="B630" s="46" t="s">
        <v>777</v>
      </c>
      <c r="C630" s="46" t="s">
        <v>783</v>
      </c>
      <c r="D630" s="46">
        <v>143</v>
      </c>
      <c r="E630" s="46" t="s">
        <v>202</v>
      </c>
      <c r="F630" s="46">
        <v>145</v>
      </c>
      <c r="G630" s="46" t="s">
        <v>202</v>
      </c>
      <c r="H630" s="46">
        <v>113</v>
      </c>
      <c r="I630" s="46" t="s">
        <v>202</v>
      </c>
      <c r="J630" s="48">
        <v>145</v>
      </c>
      <c r="K630">
        <v>52</v>
      </c>
      <c r="L630" t="s">
        <v>204</v>
      </c>
      <c r="P630">
        <v>1080</v>
      </c>
      <c r="Q630">
        <v>0</v>
      </c>
      <c r="R630">
        <v>1080</v>
      </c>
    </row>
    <row r="631" spans="1:18" ht="19.899999999999999" customHeight="1" x14ac:dyDescent="0.25">
      <c r="A631" t="str">
        <f t="shared" si="9"/>
        <v>9M26</v>
      </c>
      <c r="B631" s="46" t="s">
        <v>777</v>
      </c>
      <c r="C631" s="46" t="s">
        <v>784</v>
      </c>
      <c r="D631" s="46">
        <v>153</v>
      </c>
      <c r="E631" s="46" t="s">
        <v>195</v>
      </c>
      <c r="F631" s="46">
        <v>132</v>
      </c>
      <c r="G631" s="46" t="s">
        <v>195</v>
      </c>
      <c r="H631" s="46">
        <v>135</v>
      </c>
      <c r="I631" s="46" t="s">
        <v>195</v>
      </c>
      <c r="J631" s="48">
        <v>153</v>
      </c>
      <c r="K631">
        <v>43</v>
      </c>
      <c r="L631" t="s">
        <v>198</v>
      </c>
      <c r="P631">
        <v>3</v>
      </c>
      <c r="Q631">
        <v>1</v>
      </c>
      <c r="R631">
        <v>4</v>
      </c>
    </row>
    <row r="632" spans="1:18" ht="19.899999999999999" customHeight="1" x14ac:dyDescent="0.25">
      <c r="A632" t="str">
        <f t="shared" si="9"/>
        <v>9M27</v>
      </c>
      <c r="B632" s="46" t="s">
        <v>777</v>
      </c>
      <c r="C632" s="46" t="s">
        <v>785</v>
      </c>
      <c r="D632" s="46">
        <v>176</v>
      </c>
      <c r="E632" s="46" t="s">
        <v>206</v>
      </c>
      <c r="F632" s="46">
        <v>164</v>
      </c>
      <c r="G632" s="46" t="s">
        <v>199</v>
      </c>
      <c r="H632" s="46">
        <v>188</v>
      </c>
      <c r="I632" s="46" t="s">
        <v>195</v>
      </c>
      <c r="J632" s="48">
        <v>188</v>
      </c>
      <c r="K632">
        <v>36</v>
      </c>
      <c r="L632" t="s">
        <v>206</v>
      </c>
      <c r="P632">
        <v>3</v>
      </c>
      <c r="Q632">
        <v>4</v>
      </c>
      <c r="R632">
        <v>7</v>
      </c>
    </row>
    <row r="633" spans="1:18" ht="19.899999999999999" customHeight="1" x14ac:dyDescent="0.25">
      <c r="A633" t="str">
        <f t="shared" si="9"/>
        <v>9M28</v>
      </c>
      <c r="B633" s="46" t="s">
        <v>777</v>
      </c>
      <c r="C633" s="46" t="s">
        <v>786</v>
      </c>
      <c r="D633" s="46">
        <v>196</v>
      </c>
      <c r="E633" s="46" t="s">
        <v>222</v>
      </c>
      <c r="F633" s="46">
        <v>200</v>
      </c>
      <c r="G633" s="46" t="s">
        <v>222</v>
      </c>
      <c r="H633" s="46">
        <v>176</v>
      </c>
      <c r="I633" s="46" t="s">
        <v>206</v>
      </c>
      <c r="J633" s="48">
        <v>200</v>
      </c>
      <c r="K633">
        <v>72</v>
      </c>
      <c r="L633" t="s">
        <v>206</v>
      </c>
      <c r="P633">
        <v>0</v>
      </c>
      <c r="Q633">
        <v>1</v>
      </c>
      <c r="R633">
        <v>1</v>
      </c>
    </row>
    <row r="634" spans="1:18" ht="19.899999999999999" customHeight="1" x14ac:dyDescent="0.25">
      <c r="A634" t="str">
        <f t="shared" si="9"/>
        <v>9M29</v>
      </c>
      <c r="B634" s="46" t="s">
        <v>777</v>
      </c>
      <c r="C634" s="46" t="s">
        <v>787</v>
      </c>
      <c r="D634" s="46">
        <v>2</v>
      </c>
      <c r="E634" s="46" t="s">
        <v>208</v>
      </c>
      <c r="F634" s="46">
        <v>2</v>
      </c>
      <c r="G634" s="46" t="s">
        <v>208</v>
      </c>
      <c r="H634" s="46">
        <v>2</v>
      </c>
      <c r="I634" s="46" t="s">
        <v>208</v>
      </c>
      <c r="J634" s="48">
        <v>2</v>
      </c>
      <c r="K634">
        <v>0</v>
      </c>
      <c r="L634" t="s">
        <v>215</v>
      </c>
      <c r="P634">
        <v>3</v>
      </c>
      <c r="Q634">
        <v>3</v>
      </c>
      <c r="R634">
        <v>6</v>
      </c>
    </row>
    <row r="635" spans="1:18" ht="19.899999999999999" customHeight="1" x14ac:dyDescent="0.25">
      <c r="A635" t="str">
        <f t="shared" si="9"/>
        <v>9M#3DTR(A)</v>
      </c>
      <c r="B635" s="46" t="s">
        <v>777</v>
      </c>
      <c r="C635" s="46" t="s">
        <v>380</v>
      </c>
      <c r="D635" s="46">
        <v>651</v>
      </c>
      <c r="E635" s="46" t="s">
        <v>199</v>
      </c>
      <c r="F635" s="46">
        <v>669</v>
      </c>
      <c r="G635" s="46" t="s">
        <v>199</v>
      </c>
      <c r="H635" s="46">
        <v>646</v>
      </c>
      <c r="I635" s="46" t="s">
        <v>199</v>
      </c>
      <c r="J635" s="48">
        <v>669</v>
      </c>
      <c r="K635" t="s">
        <v>196</v>
      </c>
      <c r="L635" t="s">
        <v>196</v>
      </c>
      <c r="P635">
        <v>8</v>
      </c>
      <c r="Q635">
        <v>12</v>
      </c>
      <c r="R635">
        <v>20</v>
      </c>
    </row>
    <row r="636" spans="1:18" ht="19.899999999999999" customHeight="1" x14ac:dyDescent="0.25">
      <c r="A636" t="str">
        <f t="shared" si="9"/>
        <v>9M30</v>
      </c>
      <c r="B636" s="46" t="s">
        <v>777</v>
      </c>
      <c r="C636" s="46" t="s">
        <v>788</v>
      </c>
      <c r="D636" s="46">
        <v>237</v>
      </c>
      <c r="E636" s="46" t="s">
        <v>195</v>
      </c>
      <c r="F636" s="46">
        <v>243</v>
      </c>
      <c r="G636" s="46" t="s">
        <v>199</v>
      </c>
      <c r="H636" s="46">
        <v>227</v>
      </c>
      <c r="I636" s="46" t="s">
        <v>199</v>
      </c>
      <c r="J636" s="48">
        <v>243</v>
      </c>
      <c r="K636">
        <v>55</v>
      </c>
      <c r="L636" t="s">
        <v>206</v>
      </c>
      <c r="P636">
        <v>3188</v>
      </c>
      <c r="Q636">
        <v>1</v>
      </c>
      <c r="R636">
        <v>3189</v>
      </c>
    </row>
    <row r="637" spans="1:18" ht="19.899999999999999" customHeight="1" x14ac:dyDescent="0.25">
      <c r="A637" t="str">
        <f t="shared" si="9"/>
        <v>9M31</v>
      </c>
      <c r="B637" s="46" t="s">
        <v>777</v>
      </c>
      <c r="C637" s="46" t="s">
        <v>789</v>
      </c>
      <c r="D637" s="46">
        <v>52</v>
      </c>
      <c r="E637" s="46" t="s">
        <v>199</v>
      </c>
      <c r="F637" s="46">
        <v>53</v>
      </c>
      <c r="G637" s="46" t="s">
        <v>199</v>
      </c>
      <c r="H637" s="46">
        <v>52</v>
      </c>
      <c r="I637" s="46" t="s">
        <v>199</v>
      </c>
      <c r="J637" s="48">
        <v>53</v>
      </c>
      <c r="K637">
        <v>0</v>
      </c>
      <c r="L637" t="s">
        <v>215</v>
      </c>
      <c r="P637">
        <v>860</v>
      </c>
      <c r="Q637">
        <v>3</v>
      </c>
      <c r="R637">
        <v>863</v>
      </c>
    </row>
    <row r="638" spans="1:18" ht="19.899999999999999" customHeight="1" x14ac:dyDescent="0.25">
      <c r="A638" t="str">
        <f t="shared" si="9"/>
        <v>9M32</v>
      </c>
      <c r="B638" s="46" t="s">
        <v>777</v>
      </c>
      <c r="C638" s="46" t="s">
        <v>790</v>
      </c>
      <c r="D638" s="46">
        <v>157</v>
      </c>
      <c r="E638" s="46" t="s">
        <v>199</v>
      </c>
      <c r="F638" s="46">
        <v>161</v>
      </c>
      <c r="G638" s="46" t="s">
        <v>195</v>
      </c>
      <c r="H638" s="46">
        <v>170</v>
      </c>
      <c r="I638" s="46" t="s">
        <v>195</v>
      </c>
      <c r="J638" s="48">
        <v>170</v>
      </c>
      <c r="K638">
        <v>44</v>
      </c>
      <c r="L638" t="s">
        <v>200</v>
      </c>
      <c r="P638">
        <v>2134</v>
      </c>
      <c r="Q638">
        <v>1</v>
      </c>
      <c r="R638">
        <v>2135</v>
      </c>
    </row>
    <row r="639" spans="1:18" ht="19.899999999999999" customHeight="1" x14ac:dyDescent="0.25">
      <c r="A639" t="str">
        <f t="shared" si="9"/>
        <v>9M33</v>
      </c>
      <c r="B639" s="46" t="s">
        <v>777</v>
      </c>
      <c r="C639" s="46" t="s">
        <v>791</v>
      </c>
      <c r="D639" s="46">
        <v>66</v>
      </c>
      <c r="E639" s="46" t="s">
        <v>199</v>
      </c>
      <c r="F639" s="46">
        <v>67</v>
      </c>
      <c r="G639" s="46" t="s">
        <v>199</v>
      </c>
      <c r="H639" s="46">
        <v>71</v>
      </c>
      <c r="I639" s="46" t="s">
        <v>199</v>
      </c>
      <c r="J639" s="48">
        <v>71</v>
      </c>
      <c r="K639">
        <v>4</v>
      </c>
      <c r="L639" t="s">
        <v>195</v>
      </c>
      <c r="P639">
        <v>252</v>
      </c>
      <c r="Q639" t="s">
        <v>192</v>
      </c>
      <c r="R639">
        <v>252</v>
      </c>
    </row>
    <row r="640" spans="1:18" ht="19.899999999999999" customHeight="1" x14ac:dyDescent="0.25">
      <c r="A640" t="str">
        <f t="shared" si="9"/>
        <v>9M34</v>
      </c>
      <c r="B640" s="46" t="s">
        <v>777</v>
      </c>
      <c r="C640" s="46" t="s">
        <v>792</v>
      </c>
      <c r="D640" s="46">
        <v>209</v>
      </c>
      <c r="E640" s="46" t="s">
        <v>200</v>
      </c>
      <c r="F640" s="46">
        <v>200</v>
      </c>
      <c r="G640" s="46" t="s">
        <v>218</v>
      </c>
      <c r="H640" s="46">
        <v>206</v>
      </c>
      <c r="I640" s="46" t="s">
        <v>218</v>
      </c>
      <c r="J640" s="48">
        <v>209</v>
      </c>
      <c r="K640">
        <v>22</v>
      </c>
      <c r="L640" t="s">
        <v>195</v>
      </c>
      <c r="P640">
        <v>661</v>
      </c>
      <c r="Q640">
        <v>4</v>
      </c>
      <c r="R640">
        <v>665</v>
      </c>
    </row>
    <row r="641" spans="1:18" ht="19.899999999999999" customHeight="1" x14ac:dyDescent="0.25">
      <c r="A641" t="str">
        <f t="shared" si="9"/>
        <v>9M#3DTR(B)</v>
      </c>
      <c r="B641" s="46" t="s">
        <v>777</v>
      </c>
      <c r="C641" s="46" t="s">
        <v>384</v>
      </c>
      <c r="D641" s="46">
        <v>585</v>
      </c>
      <c r="E641" s="46" t="s">
        <v>195</v>
      </c>
      <c r="F641" s="46">
        <v>553</v>
      </c>
      <c r="G641" s="46" t="s">
        <v>195</v>
      </c>
      <c r="H641" s="46">
        <v>552</v>
      </c>
      <c r="I641" s="46" t="s">
        <v>195</v>
      </c>
      <c r="J641" s="48">
        <v>585</v>
      </c>
      <c r="K641" t="s">
        <v>196</v>
      </c>
      <c r="L641" t="s">
        <v>196</v>
      </c>
      <c r="P641">
        <v>221</v>
      </c>
      <c r="Q641">
        <v>1</v>
      </c>
      <c r="R641">
        <v>222</v>
      </c>
    </row>
    <row r="642" spans="1:18" ht="19.899999999999999" customHeight="1" x14ac:dyDescent="0.25">
      <c r="A642" t="str">
        <f t="shared" si="9"/>
        <v>9M35</v>
      </c>
      <c r="B642" s="46" t="s">
        <v>777</v>
      </c>
      <c r="C642" s="46" t="s">
        <v>793</v>
      </c>
      <c r="D642" s="46">
        <v>110</v>
      </c>
      <c r="E642" s="46" t="s">
        <v>195</v>
      </c>
      <c r="F642" s="46">
        <v>74</v>
      </c>
      <c r="G642" s="46" t="s">
        <v>195</v>
      </c>
      <c r="H642" s="46">
        <v>112</v>
      </c>
      <c r="I642" s="46" t="s">
        <v>199</v>
      </c>
      <c r="J642" s="48">
        <v>112</v>
      </c>
      <c r="K642">
        <v>59</v>
      </c>
      <c r="L642" t="s">
        <v>199</v>
      </c>
      <c r="P642">
        <v>408</v>
      </c>
      <c r="Q642" t="s">
        <v>192</v>
      </c>
      <c r="R642">
        <v>408</v>
      </c>
    </row>
    <row r="643" spans="1:18" ht="19.899999999999999" customHeight="1" x14ac:dyDescent="0.25">
      <c r="A643" t="str">
        <f t="shared" si="9"/>
        <v>9M36</v>
      </c>
      <c r="B643" s="46" t="s">
        <v>777</v>
      </c>
      <c r="C643" s="46" t="s">
        <v>794</v>
      </c>
      <c r="D643" s="46">
        <v>109</v>
      </c>
      <c r="E643" s="46" t="s">
        <v>202</v>
      </c>
      <c r="F643" s="46">
        <v>96</v>
      </c>
      <c r="G643" s="46" t="s">
        <v>202</v>
      </c>
      <c r="H643" s="46">
        <v>69</v>
      </c>
      <c r="I643" s="46" t="s">
        <v>202</v>
      </c>
      <c r="J643" s="48">
        <v>109</v>
      </c>
      <c r="K643">
        <v>57</v>
      </c>
      <c r="L643" t="s">
        <v>202</v>
      </c>
      <c r="P643">
        <v>4210</v>
      </c>
      <c r="Q643">
        <v>5</v>
      </c>
      <c r="R643">
        <v>4215</v>
      </c>
    </row>
    <row r="644" spans="1:18" ht="19.899999999999999" customHeight="1" x14ac:dyDescent="0.25">
      <c r="A644" t="str">
        <f t="shared" ref="A644:A707" si="10">IF(COUNTIF(C644,"*TR*")&gt;0,SUBSTITUTE(RIGHT(B644,3) &amp; C644," ",""),MID(C644,FIND("(",C644)+1,4))</f>
        <v>9M37</v>
      </c>
      <c r="B644" s="46" t="s">
        <v>777</v>
      </c>
      <c r="C644" s="46" t="s">
        <v>795</v>
      </c>
      <c r="D644" s="46">
        <v>151</v>
      </c>
      <c r="E644" s="46" t="s">
        <v>198</v>
      </c>
      <c r="F644" s="46">
        <v>129</v>
      </c>
      <c r="G644" s="46" t="s">
        <v>206</v>
      </c>
      <c r="H644" s="46">
        <v>136</v>
      </c>
      <c r="I644" s="46" t="s">
        <v>195</v>
      </c>
      <c r="J644" s="48">
        <v>151</v>
      </c>
      <c r="K644">
        <v>40</v>
      </c>
      <c r="L644" t="s">
        <v>204</v>
      </c>
      <c r="P644">
        <v>5918</v>
      </c>
      <c r="Q644">
        <v>13</v>
      </c>
      <c r="R644">
        <v>5931</v>
      </c>
    </row>
    <row r="645" spans="1:18" ht="19.899999999999999" customHeight="1" x14ac:dyDescent="0.25">
      <c r="A645" t="str">
        <f t="shared" si="10"/>
        <v>9M38</v>
      </c>
      <c r="B645" s="46" t="s">
        <v>777</v>
      </c>
      <c r="C645" s="46" t="s">
        <v>796</v>
      </c>
      <c r="D645" s="46">
        <v>160</v>
      </c>
      <c r="E645" s="46" t="s">
        <v>206</v>
      </c>
      <c r="F645" s="46">
        <v>183</v>
      </c>
      <c r="G645" s="46" t="s">
        <v>206</v>
      </c>
      <c r="H645" s="46">
        <v>211</v>
      </c>
      <c r="I645" s="46" t="s">
        <v>235</v>
      </c>
      <c r="J645" s="48">
        <v>211</v>
      </c>
      <c r="K645">
        <v>78</v>
      </c>
      <c r="L645" t="s">
        <v>235</v>
      </c>
      <c r="P645">
        <v>346</v>
      </c>
      <c r="Q645">
        <v>3</v>
      </c>
      <c r="R645">
        <v>349</v>
      </c>
    </row>
    <row r="646" spans="1:18" ht="19.899999999999999" customHeight="1" x14ac:dyDescent="0.25">
      <c r="A646" t="str">
        <f t="shared" si="10"/>
        <v>9M39</v>
      </c>
      <c r="B646" s="46" t="s">
        <v>777</v>
      </c>
      <c r="C646" s="46" t="s">
        <v>797</v>
      </c>
      <c r="D646" s="46">
        <v>97</v>
      </c>
      <c r="E646" s="46" t="s">
        <v>218</v>
      </c>
      <c r="F646" s="46">
        <v>101</v>
      </c>
      <c r="G646" s="46" t="s">
        <v>218</v>
      </c>
      <c r="H646" s="46">
        <v>101</v>
      </c>
      <c r="I646" s="46" t="s">
        <v>218</v>
      </c>
      <c r="J646" s="48">
        <v>101</v>
      </c>
      <c r="K646">
        <v>0</v>
      </c>
      <c r="L646" t="s">
        <v>215</v>
      </c>
      <c r="P646">
        <v>1837</v>
      </c>
      <c r="Q646">
        <v>1</v>
      </c>
      <c r="R646">
        <v>1838</v>
      </c>
    </row>
    <row r="647" spans="1:18" ht="19.899999999999999" customHeight="1" x14ac:dyDescent="0.25">
      <c r="A647" t="str">
        <f t="shared" si="10"/>
        <v>II#1MTR</v>
      </c>
      <c r="B647" s="46" t="s">
        <v>798</v>
      </c>
      <c r="C647" s="46" t="s">
        <v>194</v>
      </c>
      <c r="D647" s="46">
        <v>311</v>
      </c>
      <c r="E647" s="46" t="s">
        <v>195</v>
      </c>
      <c r="F647" s="46">
        <v>304</v>
      </c>
      <c r="G647" s="46" t="s">
        <v>206</v>
      </c>
      <c r="H647" s="46">
        <v>269</v>
      </c>
      <c r="I647" s="46" t="s">
        <v>195</v>
      </c>
      <c r="J647" s="48">
        <v>311</v>
      </c>
      <c r="K647" t="s">
        <v>196</v>
      </c>
      <c r="L647" t="s">
        <v>196</v>
      </c>
      <c r="P647">
        <v>6812</v>
      </c>
      <c r="Q647">
        <v>10</v>
      </c>
      <c r="R647">
        <v>6822</v>
      </c>
    </row>
    <row r="648" spans="1:18" ht="19.899999999999999" customHeight="1" x14ac:dyDescent="0.25">
      <c r="A648" t="str">
        <f t="shared" si="10"/>
        <v>II22</v>
      </c>
      <c r="B648" s="46" t="s">
        <v>798</v>
      </c>
      <c r="C648" s="46" t="s">
        <v>799</v>
      </c>
      <c r="D648" s="46">
        <v>36</v>
      </c>
      <c r="E648" s="46" t="s">
        <v>227</v>
      </c>
      <c r="F648" s="46">
        <v>42</v>
      </c>
      <c r="G648" s="46" t="s">
        <v>200</v>
      </c>
      <c r="H648" s="46">
        <v>33</v>
      </c>
      <c r="I648" s="46" t="s">
        <v>227</v>
      </c>
      <c r="J648" s="48">
        <v>42</v>
      </c>
      <c r="K648">
        <v>15</v>
      </c>
      <c r="L648" t="s">
        <v>199</v>
      </c>
      <c r="P648">
        <v>6502</v>
      </c>
      <c r="Q648">
        <v>3</v>
      </c>
      <c r="R648">
        <v>6505</v>
      </c>
    </row>
    <row r="649" spans="1:18" ht="19.899999999999999" customHeight="1" x14ac:dyDescent="0.25">
      <c r="A649" t="str">
        <f t="shared" si="10"/>
        <v>II25</v>
      </c>
      <c r="B649" s="46" t="s">
        <v>798</v>
      </c>
      <c r="C649" s="46" t="s">
        <v>800</v>
      </c>
      <c r="D649" s="46">
        <v>51</v>
      </c>
      <c r="E649" s="46" t="s">
        <v>195</v>
      </c>
      <c r="F649" s="46">
        <v>64</v>
      </c>
      <c r="G649" s="46" t="s">
        <v>206</v>
      </c>
      <c r="H649" s="46">
        <v>41</v>
      </c>
      <c r="I649" s="46" t="s">
        <v>195</v>
      </c>
      <c r="J649" s="48">
        <v>64</v>
      </c>
      <c r="K649">
        <v>28</v>
      </c>
      <c r="L649" t="s">
        <v>206</v>
      </c>
      <c r="P649">
        <v>1</v>
      </c>
      <c r="Q649">
        <v>2</v>
      </c>
      <c r="R649">
        <v>3</v>
      </c>
    </row>
    <row r="650" spans="1:18" ht="19.899999999999999" customHeight="1" x14ac:dyDescent="0.25">
      <c r="A650" t="str">
        <f t="shared" si="10"/>
        <v>II20</v>
      </c>
      <c r="B650" s="46" t="s">
        <v>798</v>
      </c>
      <c r="C650" s="46" t="s">
        <v>801</v>
      </c>
      <c r="D650" s="46">
        <v>138</v>
      </c>
      <c r="E650" s="46" t="s">
        <v>198</v>
      </c>
      <c r="F650" s="46">
        <v>152</v>
      </c>
      <c r="G650" s="46" t="s">
        <v>206</v>
      </c>
      <c r="H650" s="46">
        <v>135</v>
      </c>
      <c r="I650" s="46" t="s">
        <v>195</v>
      </c>
      <c r="J650" s="48">
        <v>152</v>
      </c>
      <c r="K650">
        <v>45</v>
      </c>
      <c r="L650" t="s">
        <v>206</v>
      </c>
      <c r="P650">
        <v>4749</v>
      </c>
      <c r="Q650">
        <v>5</v>
      </c>
      <c r="R650">
        <v>4754</v>
      </c>
    </row>
    <row r="651" spans="1:18" ht="19.899999999999999" customHeight="1" x14ac:dyDescent="0.25">
      <c r="A651" t="str">
        <f t="shared" si="10"/>
        <v>II26</v>
      </c>
      <c r="B651" s="46" t="s">
        <v>798</v>
      </c>
      <c r="C651" s="46" t="s">
        <v>802</v>
      </c>
      <c r="D651" s="46">
        <v>69</v>
      </c>
      <c r="E651" s="46" t="s">
        <v>195</v>
      </c>
      <c r="F651" s="46">
        <v>43</v>
      </c>
      <c r="G651" s="46" t="s">
        <v>206</v>
      </c>
      <c r="H651" s="46">
        <v>40</v>
      </c>
      <c r="I651" s="46" t="s">
        <v>218</v>
      </c>
      <c r="J651" s="48">
        <v>69</v>
      </c>
      <c r="K651">
        <v>37</v>
      </c>
      <c r="L651" t="s">
        <v>198</v>
      </c>
      <c r="P651" t="s">
        <v>192</v>
      </c>
      <c r="Q651" t="s">
        <v>192</v>
      </c>
      <c r="R651">
        <v>0</v>
      </c>
    </row>
    <row r="652" spans="1:18" ht="19.899999999999999" customHeight="1" x14ac:dyDescent="0.25">
      <c r="A652" t="str">
        <f t="shared" si="10"/>
        <v>II27</v>
      </c>
      <c r="B652" s="46" t="s">
        <v>798</v>
      </c>
      <c r="C652" s="46" t="s">
        <v>803</v>
      </c>
      <c r="D652" s="46">
        <v>27</v>
      </c>
      <c r="E652" s="46" t="s">
        <v>199</v>
      </c>
      <c r="F652" s="46">
        <v>27</v>
      </c>
      <c r="G652" s="46" t="s">
        <v>199</v>
      </c>
      <c r="H652" s="46">
        <v>41</v>
      </c>
      <c r="I652" s="46" t="s">
        <v>204</v>
      </c>
      <c r="J652" s="48">
        <v>41</v>
      </c>
      <c r="K652">
        <v>30</v>
      </c>
      <c r="L652" t="s">
        <v>204</v>
      </c>
      <c r="P652">
        <v>3492</v>
      </c>
      <c r="Q652">
        <v>3</v>
      </c>
      <c r="R652">
        <v>3495</v>
      </c>
    </row>
    <row r="653" spans="1:18" ht="19.899999999999999" customHeight="1" x14ac:dyDescent="0.25">
      <c r="A653" t="str">
        <f t="shared" si="10"/>
        <v>II#2MTR</v>
      </c>
      <c r="B653" s="46" t="s">
        <v>798</v>
      </c>
      <c r="C653" s="46" t="s">
        <v>209</v>
      </c>
      <c r="D653" s="46">
        <v>650</v>
      </c>
      <c r="E653" s="46" t="s">
        <v>195</v>
      </c>
      <c r="F653" s="46">
        <v>662</v>
      </c>
      <c r="G653" s="46" t="s">
        <v>195</v>
      </c>
      <c r="H653" s="46">
        <v>606</v>
      </c>
      <c r="I653" s="46" t="s">
        <v>195</v>
      </c>
      <c r="J653" s="48">
        <v>662</v>
      </c>
      <c r="K653" t="s">
        <v>196</v>
      </c>
      <c r="L653" t="s">
        <v>196</v>
      </c>
      <c r="P653">
        <v>5391</v>
      </c>
      <c r="Q653">
        <v>5</v>
      </c>
      <c r="R653">
        <v>5396</v>
      </c>
    </row>
    <row r="654" spans="1:18" ht="19.899999999999999" customHeight="1" x14ac:dyDescent="0.25">
      <c r="A654" t="str">
        <f t="shared" si="10"/>
        <v>II32</v>
      </c>
      <c r="B654" s="46" t="s">
        <v>798</v>
      </c>
      <c r="C654" s="46" t="s">
        <v>804</v>
      </c>
      <c r="D654" s="46">
        <v>103</v>
      </c>
      <c r="E654" s="46" t="s">
        <v>200</v>
      </c>
      <c r="F654" s="46">
        <v>134</v>
      </c>
      <c r="G654" s="46" t="s">
        <v>206</v>
      </c>
      <c r="H654" s="46">
        <v>127</v>
      </c>
      <c r="I654" s="46" t="s">
        <v>200</v>
      </c>
      <c r="J654" s="48">
        <v>134</v>
      </c>
      <c r="K654">
        <v>54</v>
      </c>
      <c r="L654" t="s">
        <v>195</v>
      </c>
      <c r="P654">
        <v>4383</v>
      </c>
      <c r="Q654" t="s">
        <v>192</v>
      </c>
      <c r="R654">
        <v>4383</v>
      </c>
    </row>
    <row r="655" spans="1:18" ht="19.899999999999999" customHeight="1" x14ac:dyDescent="0.25">
      <c r="A655" t="str">
        <f t="shared" si="10"/>
        <v>II31</v>
      </c>
      <c r="B655" s="46" t="s">
        <v>798</v>
      </c>
      <c r="C655" s="46" t="s">
        <v>805</v>
      </c>
      <c r="D655" s="46">
        <v>160</v>
      </c>
      <c r="E655" s="46" t="s">
        <v>198</v>
      </c>
      <c r="F655" s="46">
        <v>135</v>
      </c>
      <c r="G655" s="46" t="s">
        <v>195</v>
      </c>
      <c r="H655" s="46">
        <v>160</v>
      </c>
      <c r="I655" s="46" t="s">
        <v>195</v>
      </c>
      <c r="J655" s="48">
        <v>160</v>
      </c>
      <c r="K655">
        <v>38</v>
      </c>
      <c r="L655" t="s">
        <v>198</v>
      </c>
      <c r="P655">
        <v>5846</v>
      </c>
      <c r="Q655">
        <v>4</v>
      </c>
      <c r="R655">
        <v>5850</v>
      </c>
    </row>
    <row r="656" spans="1:18" ht="19.899999999999999" customHeight="1" x14ac:dyDescent="0.25">
      <c r="A656" t="str">
        <f t="shared" si="10"/>
        <v>II34</v>
      </c>
      <c r="B656" s="46" t="s">
        <v>798</v>
      </c>
      <c r="C656" s="46" t="s">
        <v>806</v>
      </c>
      <c r="D656" s="46">
        <v>104</v>
      </c>
      <c r="E656" s="46" t="s">
        <v>195</v>
      </c>
      <c r="F656" s="46">
        <v>89</v>
      </c>
      <c r="G656" s="46" t="s">
        <v>222</v>
      </c>
      <c r="H656" s="46">
        <v>99</v>
      </c>
      <c r="I656" s="46" t="s">
        <v>206</v>
      </c>
      <c r="J656" s="48">
        <v>104</v>
      </c>
      <c r="K656">
        <v>27</v>
      </c>
      <c r="L656" t="s">
        <v>195</v>
      </c>
      <c r="P656">
        <v>2274</v>
      </c>
      <c r="Q656">
        <v>3</v>
      </c>
      <c r="R656">
        <v>2277</v>
      </c>
    </row>
    <row r="657" spans="1:18" ht="19.899999999999999" customHeight="1" x14ac:dyDescent="0.25">
      <c r="A657" t="str">
        <f t="shared" si="10"/>
        <v>II30</v>
      </c>
      <c r="B657" s="46" t="s">
        <v>798</v>
      </c>
      <c r="C657" s="46" t="s">
        <v>807</v>
      </c>
      <c r="D657" s="46">
        <v>169</v>
      </c>
      <c r="E657" s="46" t="s">
        <v>195</v>
      </c>
      <c r="F657" s="46">
        <v>180</v>
      </c>
      <c r="G657" s="46" t="s">
        <v>195</v>
      </c>
      <c r="H657" s="46">
        <v>124</v>
      </c>
      <c r="I657" s="46" t="s">
        <v>195</v>
      </c>
      <c r="J657" s="48">
        <v>180</v>
      </c>
      <c r="K657">
        <v>84</v>
      </c>
      <c r="L657" t="s">
        <v>200</v>
      </c>
      <c r="P657">
        <v>1571</v>
      </c>
      <c r="Q657">
        <v>4</v>
      </c>
      <c r="R657">
        <v>1575</v>
      </c>
    </row>
    <row r="658" spans="1:18" ht="19.899999999999999" customHeight="1" x14ac:dyDescent="0.25">
      <c r="A658" t="str">
        <f t="shared" si="10"/>
        <v>II28</v>
      </c>
      <c r="B658" s="46" t="s">
        <v>798</v>
      </c>
      <c r="C658" s="46" t="s">
        <v>808</v>
      </c>
      <c r="D658" s="46">
        <v>144</v>
      </c>
      <c r="E658" s="46" t="s">
        <v>238</v>
      </c>
      <c r="F658" s="46">
        <v>146</v>
      </c>
      <c r="G658" s="46" t="s">
        <v>198</v>
      </c>
      <c r="H658" s="46">
        <v>113</v>
      </c>
      <c r="I658" s="46" t="s">
        <v>198</v>
      </c>
      <c r="J658" s="48">
        <v>146</v>
      </c>
      <c r="K658">
        <v>57</v>
      </c>
      <c r="L658" t="s">
        <v>206</v>
      </c>
      <c r="P658">
        <v>2554</v>
      </c>
      <c r="Q658">
        <v>4</v>
      </c>
      <c r="R658">
        <v>2558</v>
      </c>
    </row>
    <row r="659" spans="1:18" ht="19.899999999999999" customHeight="1" x14ac:dyDescent="0.25">
      <c r="A659" t="str">
        <f t="shared" si="10"/>
        <v>II#3MTR</v>
      </c>
      <c r="B659" s="46" t="s">
        <v>798</v>
      </c>
      <c r="C659" s="46" t="s">
        <v>217</v>
      </c>
      <c r="D659" s="46">
        <v>289</v>
      </c>
      <c r="E659" s="46" t="s">
        <v>195</v>
      </c>
      <c r="F659" s="46">
        <v>331</v>
      </c>
      <c r="G659" s="46" t="s">
        <v>195</v>
      </c>
      <c r="H659" s="46">
        <v>340</v>
      </c>
      <c r="I659" s="46" t="s">
        <v>195</v>
      </c>
      <c r="J659" s="48">
        <v>340</v>
      </c>
      <c r="K659" t="s">
        <v>196</v>
      </c>
      <c r="L659" t="s">
        <v>196</v>
      </c>
      <c r="P659">
        <v>254</v>
      </c>
      <c r="Q659" t="s">
        <v>192</v>
      </c>
      <c r="R659">
        <v>254</v>
      </c>
    </row>
    <row r="660" spans="1:18" ht="19.899999999999999" customHeight="1" x14ac:dyDescent="0.25">
      <c r="A660" t="str">
        <f t="shared" si="10"/>
        <v>II24</v>
      </c>
      <c r="B660" s="46" t="s">
        <v>798</v>
      </c>
      <c r="C660" s="46" t="s">
        <v>809</v>
      </c>
      <c r="D660" s="46">
        <v>108</v>
      </c>
      <c r="E660" s="46" t="s">
        <v>222</v>
      </c>
      <c r="F660" s="46">
        <v>114</v>
      </c>
      <c r="G660" s="46" t="s">
        <v>195</v>
      </c>
      <c r="H660" s="46">
        <v>116</v>
      </c>
      <c r="I660" s="46" t="s">
        <v>206</v>
      </c>
      <c r="J660" s="48">
        <v>116</v>
      </c>
      <c r="K660">
        <v>25</v>
      </c>
      <c r="L660" t="s">
        <v>198</v>
      </c>
      <c r="P660">
        <v>800</v>
      </c>
      <c r="Q660">
        <v>10</v>
      </c>
      <c r="R660">
        <v>810</v>
      </c>
    </row>
    <row r="661" spans="1:18" ht="19.899999999999999" customHeight="1" x14ac:dyDescent="0.25">
      <c r="A661" t="str">
        <f t="shared" si="10"/>
        <v>II33</v>
      </c>
      <c r="B661" s="46" t="s">
        <v>798</v>
      </c>
      <c r="C661" s="46" t="s">
        <v>810</v>
      </c>
      <c r="D661" s="46">
        <v>110</v>
      </c>
      <c r="E661" s="46" t="s">
        <v>195</v>
      </c>
      <c r="F661" s="46">
        <v>135</v>
      </c>
      <c r="G661" s="46" t="s">
        <v>202</v>
      </c>
      <c r="H661" s="46">
        <v>152</v>
      </c>
      <c r="I661" s="46" t="s">
        <v>195</v>
      </c>
      <c r="J661" s="48">
        <v>152</v>
      </c>
      <c r="K661">
        <v>48</v>
      </c>
      <c r="L661" t="s">
        <v>235</v>
      </c>
      <c r="P661">
        <v>6720</v>
      </c>
      <c r="Q661">
        <v>2</v>
      </c>
      <c r="R661">
        <v>6722</v>
      </c>
    </row>
    <row r="662" spans="1:18" ht="19.899999999999999" customHeight="1" x14ac:dyDescent="0.25">
      <c r="A662" t="str">
        <f t="shared" si="10"/>
        <v>II21</v>
      </c>
      <c r="B662" s="46" t="s">
        <v>798</v>
      </c>
      <c r="C662" s="46" t="s">
        <v>811</v>
      </c>
      <c r="D662" s="46">
        <v>11</v>
      </c>
      <c r="E662" s="46" t="s">
        <v>204</v>
      </c>
      <c r="F662" s="46">
        <v>18</v>
      </c>
      <c r="G662" s="46" t="s">
        <v>231</v>
      </c>
      <c r="H662" s="46">
        <v>28</v>
      </c>
      <c r="I662" s="46" t="s">
        <v>204</v>
      </c>
      <c r="J662" s="48">
        <v>28</v>
      </c>
      <c r="K662">
        <v>22</v>
      </c>
      <c r="L662" t="s">
        <v>235</v>
      </c>
      <c r="P662">
        <v>1288</v>
      </c>
      <c r="Q662">
        <v>2</v>
      </c>
      <c r="R662">
        <v>1290</v>
      </c>
    </row>
    <row r="663" spans="1:18" ht="19.899999999999999" customHeight="1" x14ac:dyDescent="0.25">
      <c r="A663" t="str">
        <f t="shared" si="10"/>
        <v>II29</v>
      </c>
      <c r="B663" s="46" t="s">
        <v>798</v>
      </c>
      <c r="C663" s="46" t="s">
        <v>812</v>
      </c>
      <c r="D663" s="46">
        <v>47</v>
      </c>
      <c r="E663" s="46" t="s">
        <v>206</v>
      </c>
      <c r="F663" s="46">
        <v>35</v>
      </c>
      <c r="G663" s="46" t="s">
        <v>206</v>
      </c>
      <c r="H663" s="46">
        <v>22</v>
      </c>
      <c r="I663" s="46" t="s">
        <v>206</v>
      </c>
      <c r="J663" s="48">
        <v>47</v>
      </c>
      <c r="K663">
        <v>29</v>
      </c>
      <c r="L663" t="s">
        <v>195</v>
      </c>
      <c r="P663">
        <v>1429</v>
      </c>
      <c r="Q663" t="s">
        <v>192</v>
      </c>
      <c r="R663">
        <v>1429</v>
      </c>
    </row>
    <row r="664" spans="1:18" ht="19.899999999999999" customHeight="1" x14ac:dyDescent="0.25">
      <c r="A664" t="str">
        <f t="shared" si="10"/>
        <v>II23</v>
      </c>
      <c r="B664" s="46" t="s">
        <v>798</v>
      </c>
      <c r="C664" s="46" t="s">
        <v>813</v>
      </c>
      <c r="D664" s="46">
        <v>37</v>
      </c>
      <c r="E664" s="46" t="s">
        <v>227</v>
      </c>
      <c r="F664" s="46">
        <v>50</v>
      </c>
      <c r="G664" s="46" t="s">
        <v>213</v>
      </c>
      <c r="H664" s="46">
        <v>57</v>
      </c>
      <c r="I664" s="46" t="s">
        <v>213</v>
      </c>
      <c r="J664" s="48">
        <v>57</v>
      </c>
      <c r="K664">
        <v>33</v>
      </c>
      <c r="L664" t="s">
        <v>227</v>
      </c>
      <c r="P664">
        <v>1196</v>
      </c>
      <c r="Q664">
        <v>7</v>
      </c>
      <c r="R664">
        <v>1203</v>
      </c>
    </row>
    <row r="665" spans="1:18" ht="19.899999999999999" customHeight="1" x14ac:dyDescent="0.25">
      <c r="A665" t="str">
        <f t="shared" si="10"/>
        <v>IA#1DTR(A)</v>
      </c>
      <c r="B665" s="46" t="s">
        <v>814</v>
      </c>
      <c r="C665" s="46" t="s">
        <v>272</v>
      </c>
      <c r="D665" s="46">
        <v>580</v>
      </c>
      <c r="E665" s="46" t="s">
        <v>199</v>
      </c>
      <c r="F665" s="46">
        <v>632</v>
      </c>
      <c r="G665" s="46" t="s">
        <v>199</v>
      </c>
      <c r="H665" s="46">
        <v>609</v>
      </c>
      <c r="I665" s="46" t="s">
        <v>195</v>
      </c>
      <c r="J665" s="48">
        <v>632</v>
      </c>
      <c r="K665" t="s">
        <v>196</v>
      </c>
      <c r="L665" t="s">
        <v>196</v>
      </c>
      <c r="P665">
        <v>2857</v>
      </c>
      <c r="Q665">
        <v>2</v>
      </c>
      <c r="R665">
        <v>2859</v>
      </c>
    </row>
    <row r="666" spans="1:18" ht="19.899999999999999" customHeight="1" x14ac:dyDescent="0.25">
      <c r="A666" t="str">
        <f t="shared" si="10"/>
        <v>IA28</v>
      </c>
      <c r="B666" s="46" t="s">
        <v>814</v>
      </c>
      <c r="C666" s="46" t="s">
        <v>815</v>
      </c>
      <c r="D666" s="46">
        <v>108</v>
      </c>
      <c r="E666" s="46" t="s">
        <v>195</v>
      </c>
      <c r="F666" s="46">
        <v>118</v>
      </c>
      <c r="G666" s="46" t="s">
        <v>195</v>
      </c>
      <c r="H666" s="46">
        <v>112</v>
      </c>
      <c r="I666" s="46" t="s">
        <v>195</v>
      </c>
      <c r="J666" s="48">
        <v>118</v>
      </c>
      <c r="K666">
        <v>31</v>
      </c>
      <c r="L666" t="s">
        <v>200</v>
      </c>
      <c r="P666">
        <v>3765</v>
      </c>
      <c r="Q666">
        <v>3</v>
      </c>
      <c r="R666">
        <v>3768</v>
      </c>
    </row>
    <row r="667" spans="1:18" ht="19.899999999999999" customHeight="1" x14ac:dyDescent="0.25">
      <c r="A667" t="str">
        <f t="shared" si="10"/>
        <v>IA37</v>
      </c>
      <c r="B667" s="46" t="s">
        <v>814</v>
      </c>
      <c r="C667" s="46" t="s">
        <v>816</v>
      </c>
      <c r="D667" s="46">
        <v>261</v>
      </c>
      <c r="E667" s="46" t="s">
        <v>202</v>
      </c>
      <c r="F667" s="46">
        <v>271</v>
      </c>
      <c r="G667" s="46" t="s">
        <v>195</v>
      </c>
      <c r="H667" s="46">
        <v>280</v>
      </c>
      <c r="I667" s="46" t="s">
        <v>204</v>
      </c>
      <c r="J667" s="48">
        <v>280</v>
      </c>
      <c r="K667">
        <v>57</v>
      </c>
      <c r="L667" t="s">
        <v>238</v>
      </c>
      <c r="P667" t="s">
        <v>192</v>
      </c>
      <c r="Q667" t="s">
        <v>192</v>
      </c>
      <c r="R667">
        <v>0</v>
      </c>
    </row>
    <row r="668" spans="1:18" ht="19.899999999999999" customHeight="1" x14ac:dyDescent="0.25">
      <c r="A668" t="str">
        <f t="shared" si="10"/>
        <v>IA30</v>
      </c>
      <c r="B668" s="46" t="s">
        <v>814</v>
      </c>
      <c r="C668" s="46" t="s">
        <v>817</v>
      </c>
      <c r="D668" s="46">
        <v>100</v>
      </c>
      <c r="E668" s="46" t="s">
        <v>220</v>
      </c>
      <c r="F668" s="46">
        <v>120</v>
      </c>
      <c r="G668" s="46" t="s">
        <v>238</v>
      </c>
      <c r="H668" s="46">
        <v>101</v>
      </c>
      <c r="I668" s="46" t="s">
        <v>235</v>
      </c>
      <c r="J668" s="48">
        <v>120</v>
      </c>
      <c r="K668">
        <v>26</v>
      </c>
      <c r="L668" t="s">
        <v>238</v>
      </c>
      <c r="P668">
        <v>1526</v>
      </c>
      <c r="Q668">
        <v>1</v>
      </c>
      <c r="R668">
        <v>1527</v>
      </c>
    </row>
    <row r="669" spans="1:18" ht="19.899999999999999" customHeight="1" x14ac:dyDescent="0.25">
      <c r="A669" t="str">
        <f t="shared" si="10"/>
        <v>IA32</v>
      </c>
      <c r="B669" s="46" t="s">
        <v>814</v>
      </c>
      <c r="C669" s="46" t="s">
        <v>818</v>
      </c>
      <c r="D669" s="46">
        <v>2</v>
      </c>
      <c r="E669" s="46" t="s">
        <v>208</v>
      </c>
      <c r="F669" s="46">
        <v>2</v>
      </c>
      <c r="G669" s="46" t="s">
        <v>215</v>
      </c>
      <c r="H669" s="46">
        <v>1</v>
      </c>
      <c r="I669" s="46" t="s">
        <v>215</v>
      </c>
      <c r="J669" s="48">
        <v>2</v>
      </c>
      <c r="K669">
        <v>0</v>
      </c>
      <c r="L669" t="s">
        <v>215</v>
      </c>
      <c r="P669">
        <v>6</v>
      </c>
      <c r="Q669">
        <v>6</v>
      </c>
      <c r="R669">
        <v>12</v>
      </c>
    </row>
    <row r="670" spans="1:18" ht="19.899999999999999" customHeight="1" x14ac:dyDescent="0.25">
      <c r="A670" t="str">
        <f t="shared" si="10"/>
        <v>IA35</v>
      </c>
      <c r="B670" s="46" t="s">
        <v>814</v>
      </c>
      <c r="C670" s="46" t="s">
        <v>819</v>
      </c>
      <c r="D670" s="46">
        <v>190</v>
      </c>
      <c r="E670" s="46" t="s">
        <v>227</v>
      </c>
      <c r="F670" s="46">
        <v>217</v>
      </c>
      <c r="G670" s="46" t="s">
        <v>199</v>
      </c>
      <c r="H670" s="46">
        <v>192</v>
      </c>
      <c r="I670" s="46" t="s">
        <v>199</v>
      </c>
      <c r="J670" s="48">
        <v>217</v>
      </c>
      <c r="K670">
        <v>63</v>
      </c>
      <c r="L670" t="s">
        <v>218</v>
      </c>
      <c r="P670">
        <v>7</v>
      </c>
      <c r="Q670">
        <v>4</v>
      </c>
      <c r="R670">
        <v>11</v>
      </c>
    </row>
    <row r="671" spans="1:18" ht="19.899999999999999" customHeight="1" x14ac:dyDescent="0.25">
      <c r="A671" t="str">
        <f t="shared" si="10"/>
        <v>IA#1DTR(B)</v>
      </c>
      <c r="B671" s="46" t="s">
        <v>814</v>
      </c>
      <c r="C671" s="46" t="s">
        <v>279</v>
      </c>
      <c r="D671" s="46">
        <v>279</v>
      </c>
      <c r="E671" s="46" t="s">
        <v>227</v>
      </c>
      <c r="F671" s="46">
        <v>280</v>
      </c>
      <c r="G671" s="46" t="s">
        <v>227</v>
      </c>
      <c r="H671" s="46">
        <v>315</v>
      </c>
      <c r="I671" s="46" t="s">
        <v>227</v>
      </c>
      <c r="J671" s="48">
        <v>315</v>
      </c>
      <c r="K671" t="s">
        <v>196</v>
      </c>
      <c r="L671" t="s">
        <v>196</v>
      </c>
      <c r="P671">
        <v>12</v>
      </c>
      <c r="Q671">
        <v>9</v>
      </c>
      <c r="R671">
        <v>21</v>
      </c>
    </row>
    <row r="672" spans="1:18" ht="19.899999999999999" customHeight="1" x14ac:dyDescent="0.25">
      <c r="A672" t="str">
        <f t="shared" si="10"/>
        <v>IA39</v>
      </c>
      <c r="B672" s="46" t="s">
        <v>814</v>
      </c>
      <c r="C672" s="46" t="s">
        <v>820</v>
      </c>
      <c r="D672" s="46">
        <v>32</v>
      </c>
      <c r="E672" s="46" t="s">
        <v>199</v>
      </c>
      <c r="F672" s="46">
        <v>42</v>
      </c>
      <c r="G672" s="46" t="s">
        <v>227</v>
      </c>
      <c r="H672" s="46">
        <v>42</v>
      </c>
      <c r="I672" s="46" t="s">
        <v>195</v>
      </c>
      <c r="J672" s="48">
        <v>42</v>
      </c>
      <c r="K672">
        <v>21</v>
      </c>
      <c r="L672" t="s">
        <v>206</v>
      </c>
      <c r="P672">
        <v>1247</v>
      </c>
      <c r="Q672">
        <v>5</v>
      </c>
      <c r="R672">
        <v>1252</v>
      </c>
    </row>
    <row r="673" spans="1:18" ht="19.899999999999999" customHeight="1" x14ac:dyDescent="0.25">
      <c r="A673" t="str">
        <f t="shared" si="10"/>
        <v>IA24</v>
      </c>
      <c r="B673" s="46" t="s">
        <v>814</v>
      </c>
      <c r="C673" s="46" t="s">
        <v>821</v>
      </c>
      <c r="D673" s="46">
        <v>15</v>
      </c>
      <c r="E673" s="46" t="s">
        <v>202</v>
      </c>
      <c r="F673" s="46">
        <v>5</v>
      </c>
      <c r="G673" s="46" t="s">
        <v>200</v>
      </c>
      <c r="H673" s="46">
        <v>13</v>
      </c>
      <c r="I673" s="46" t="s">
        <v>202</v>
      </c>
      <c r="J673" s="48">
        <v>15</v>
      </c>
      <c r="K673">
        <v>28</v>
      </c>
      <c r="L673" t="s">
        <v>227</v>
      </c>
      <c r="P673">
        <v>13</v>
      </c>
      <c r="Q673">
        <v>11</v>
      </c>
      <c r="R673">
        <v>24</v>
      </c>
    </row>
    <row r="674" spans="1:18" ht="19.899999999999999" customHeight="1" x14ac:dyDescent="0.25">
      <c r="A674" t="str">
        <f t="shared" si="10"/>
        <v>IA29</v>
      </c>
      <c r="B674" s="46" t="s">
        <v>814</v>
      </c>
      <c r="C674" s="46" t="s">
        <v>822</v>
      </c>
      <c r="D674" s="46">
        <v>132</v>
      </c>
      <c r="E674" s="46" t="s">
        <v>227</v>
      </c>
      <c r="F674" s="46">
        <v>138</v>
      </c>
      <c r="G674" s="46" t="s">
        <v>227</v>
      </c>
      <c r="H674" s="46">
        <v>138</v>
      </c>
      <c r="I674" s="46" t="s">
        <v>227</v>
      </c>
      <c r="J674" s="48">
        <v>138</v>
      </c>
      <c r="K674">
        <v>13</v>
      </c>
      <c r="L674" t="s">
        <v>198</v>
      </c>
      <c r="P674">
        <v>7</v>
      </c>
      <c r="Q674">
        <v>9</v>
      </c>
      <c r="R674">
        <v>16</v>
      </c>
    </row>
    <row r="675" spans="1:18" ht="19.899999999999999" customHeight="1" x14ac:dyDescent="0.25">
      <c r="A675" t="str">
        <f t="shared" si="10"/>
        <v>IA33</v>
      </c>
      <c r="B675" s="46" t="s">
        <v>814</v>
      </c>
      <c r="C675" s="46" t="s">
        <v>823</v>
      </c>
      <c r="D675" s="46">
        <v>51</v>
      </c>
      <c r="E675" s="46" t="s">
        <v>200</v>
      </c>
      <c r="F675" s="46">
        <v>32</v>
      </c>
      <c r="G675" s="46" t="s">
        <v>200</v>
      </c>
      <c r="H675" s="46">
        <v>58</v>
      </c>
      <c r="I675" s="46" t="s">
        <v>200</v>
      </c>
      <c r="J675" s="48">
        <v>58</v>
      </c>
      <c r="K675">
        <v>48</v>
      </c>
      <c r="L675" t="s">
        <v>213</v>
      </c>
      <c r="P675">
        <v>1</v>
      </c>
      <c r="Q675">
        <v>1</v>
      </c>
      <c r="R675">
        <v>2</v>
      </c>
    </row>
    <row r="676" spans="1:18" ht="19.899999999999999" customHeight="1" x14ac:dyDescent="0.25">
      <c r="A676" t="str">
        <f t="shared" si="10"/>
        <v>IA36</v>
      </c>
      <c r="B676" s="46" t="s">
        <v>814</v>
      </c>
      <c r="C676" s="46" t="s">
        <v>824</v>
      </c>
      <c r="D676" s="46">
        <v>74</v>
      </c>
      <c r="E676" s="46" t="s">
        <v>227</v>
      </c>
      <c r="F676" s="46">
        <v>88</v>
      </c>
      <c r="G676" s="46" t="s">
        <v>227</v>
      </c>
      <c r="H676" s="46">
        <v>96</v>
      </c>
      <c r="I676" s="46" t="s">
        <v>231</v>
      </c>
      <c r="J676" s="48">
        <v>96</v>
      </c>
      <c r="K676">
        <v>57</v>
      </c>
      <c r="L676" t="s">
        <v>198</v>
      </c>
      <c r="P676">
        <v>20</v>
      </c>
      <c r="Q676">
        <v>13</v>
      </c>
      <c r="R676">
        <v>33</v>
      </c>
    </row>
    <row r="677" spans="1:18" ht="19.899999999999999" customHeight="1" x14ac:dyDescent="0.25">
      <c r="A677" t="str">
        <f t="shared" si="10"/>
        <v>IA#2DTR(A)</v>
      </c>
      <c r="B677" s="46" t="s">
        <v>814</v>
      </c>
      <c r="C677" s="46" t="s">
        <v>289</v>
      </c>
      <c r="D677" s="46">
        <v>551</v>
      </c>
      <c r="E677" s="46" t="s">
        <v>195</v>
      </c>
      <c r="F677" s="46">
        <v>551</v>
      </c>
      <c r="G677" s="46" t="s">
        <v>195</v>
      </c>
      <c r="H677" s="46">
        <v>540</v>
      </c>
      <c r="I677" s="46" t="s">
        <v>195</v>
      </c>
      <c r="J677" s="48">
        <v>551</v>
      </c>
      <c r="K677" t="s">
        <v>196</v>
      </c>
      <c r="L677" t="s">
        <v>196</v>
      </c>
      <c r="P677">
        <v>2</v>
      </c>
      <c r="Q677">
        <v>7</v>
      </c>
      <c r="R677">
        <v>9</v>
      </c>
    </row>
    <row r="678" spans="1:18" ht="19.899999999999999" customHeight="1" x14ac:dyDescent="0.25">
      <c r="A678" t="str">
        <f t="shared" si="10"/>
        <v>IA23</v>
      </c>
      <c r="B678" s="46" t="s">
        <v>814</v>
      </c>
      <c r="C678" s="46" t="s">
        <v>825</v>
      </c>
      <c r="D678" s="46">
        <v>123</v>
      </c>
      <c r="E678" s="46" t="s">
        <v>195</v>
      </c>
      <c r="F678" s="46">
        <v>120</v>
      </c>
      <c r="G678" s="46" t="s">
        <v>198</v>
      </c>
      <c r="H678" s="46">
        <v>144</v>
      </c>
      <c r="I678" s="46" t="s">
        <v>195</v>
      </c>
      <c r="J678" s="48">
        <v>144</v>
      </c>
      <c r="K678">
        <v>43</v>
      </c>
      <c r="L678" t="s">
        <v>227</v>
      </c>
      <c r="P678" t="s">
        <v>192</v>
      </c>
      <c r="Q678" t="s">
        <v>192</v>
      </c>
      <c r="R678">
        <v>0</v>
      </c>
    </row>
    <row r="679" spans="1:18" ht="19.899999999999999" customHeight="1" x14ac:dyDescent="0.25">
      <c r="A679" t="str">
        <f t="shared" si="10"/>
        <v>IA26</v>
      </c>
      <c r="B679" s="46" t="s">
        <v>814</v>
      </c>
      <c r="C679" s="46" t="s">
        <v>826</v>
      </c>
      <c r="D679" s="46">
        <v>121</v>
      </c>
      <c r="E679" s="46" t="s">
        <v>195</v>
      </c>
      <c r="F679" s="46">
        <v>116</v>
      </c>
      <c r="G679" s="46" t="s">
        <v>206</v>
      </c>
      <c r="H679" s="46">
        <v>101</v>
      </c>
      <c r="I679" s="46" t="s">
        <v>195</v>
      </c>
      <c r="J679" s="48">
        <v>121</v>
      </c>
      <c r="K679">
        <v>66</v>
      </c>
      <c r="L679" t="s">
        <v>227</v>
      </c>
      <c r="P679">
        <v>886</v>
      </c>
      <c r="Q679">
        <v>1</v>
      </c>
      <c r="R679">
        <v>887</v>
      </c>
    </row>
    <row r="680" spans="1:18" ht="19.899999999999999" customHeight="1" x14ac:dyDescent="0.25">
      <c r="A680" t="str">
        <f t="shared" si="10"/>
        <v>IA27</v>
      </c>
      <c r="B680" s="46" t="s">
        <v>814</v>
      </c>
      <c r="C680" s="46" t="s">
        <v>827</v>
      </c>
      <c r="D680" s="46">
        <v>144</v>
      </c>
      <c r="E680" s="46" t="s">
        <v>200</v>
      </c>
      <c r="F680" s="46">
        <v>135</v>
      </c>
      <c r="G680" s="46" t="s">
        <v>200</v>
      </c>
      <c r="H680" s="46">
        <v>142</v>
      </c>
      <c r="I680" s="46" t="s">
        <v>200</v>
      </c>
      <c r="J680" s="48">
        <v>144</v>
      </c>
      <c r="K680">
        <v>46</v>
      </c>
      <c r="L680" t="s">
        <v>198</v>
      </c>
      <c r="P680">
        <v>27</v>
      </c>
      <c r="Q680">
        <v>10</v>
      </c>
      <c r="R680">
        <v>37</v>
      </c>
    </row>
    <row r="681" spans="1:18" ht="19.899999999999999" customHeight="1" x14ac:dyDescent="0.25">
      <c r="A681" t="str">
        <f t="shared" si="10"/>
        <v>IA34</v>
      </c>
      <c r="B681" s="46" t="s">
        <v>814</v>
      </c>
      <c r="C681" s="46" t="s">
        <v>828</v>
      </c>
      <c r="D681" s="46">
        <v>123</v>
      </c>
      <c r="E681" s="46" t="s">
        <v>206</v>
      </c>
      <c r="F681" s="46">
        <v>118</v>
      </c>
      <c r="G681" s="46" t="s">
        <v>206</v>
      </c>
      <c r="H681" s="46">
        <v>109</v>
      </c>
      <c r="I681" s="46" t="s">
        <v>231</v>
      </c>
      <c r="J681" s="48">
        <v>123</v>
      </c>
      <c r="K681">
        <v>29</v>
      </c>
      <c r="L681" t="s">
        <v>198</v>
      </c>
      <c r="P681">
        <v>339</v>
      </c>
      <c r="Q681" t="s">
        <v>192</v>
      </c>
      <c r="R681">
        <v>339</v>
      </c>
    </row>
    <row r="682" spans="1:18" ht="19.899999999999999" customHeight="1" x14ac:dyDescent="0.25">
      <c r="A682" t="str">
        <f t="shared" si="10"/>
        <v>IA22</v>
      </c>
      <c r="B682" s="46" t="s">
        <v>814</v>
      </c>
      <c r="C682" s="46" t="s">
        <v>829</v>
      </c>
      <c r="D682" s="46">
        <v>54</v>
      </c>
      <c r="E682" s="46" t="s">
        <v>202</v>
      </c>
      <c r="F682" s="46">
        <v>66</v>
      </c>
      <c r="G682" s="46" t="s">
        <v>199</v>
      </c>
      <c r="H682" s="46">
        <v>57</v>
      </c>
      <c r="I682" s="46" t="s">
        <v>195</v>
      </c>
      <c r="J682" s="48">
        <v>66</v>
      </c>
      <c r="K682">
        <v>24</v>
      </c>
      <c r="L682" t="s">
        <v>218</v>
      </c>
      <c r="P682">
        <v>2584</v>
      </c>
      <c r="Q682" t="s">
        <v>192</v>
      </c>
      <c r="R682">
        <v>2584</v>
      </c>
    </row>
    <row r="683" spans="1:18" ht="19.899999999999999" customHeight="1" x14ac:dyDescent="0.25">
      <c r="A683" t="str">
        <f t="shared" si="10"/>
        <v>IA#2DTR(B)</v>
      </c>
      <c r="B683" s="46" t="s">
        <v>814</v>
      </c>
      <c r="C683" s="46" t="s">
        <v>300</v>
      </c>
      <c r="D683" s="46">
        <v>508</v>
      </c>
      <c r="E683" s="46" t="s">
        <v>195</v>
      </c>
      <c r="F683" s="46">
        <v>506</v>
      </c>
      <c r="G683" s="46" t="s">
        <v>199</v>
      </c>
      <c r="H683" s="46">
        <v>483</v>
      </c>
      <c r="I683" s="46" t="s">
        <v>195</v>
      </c>
      <c r="J683" s="48">
        <v>508</v>
      </c>
      <c r="K683" t="s">
        <v>196</v>
      </c>
      <c r="L683" t="s">
        <v>196</v>
      </c>
      <c r="P683">
        <v>745</v>
      </c>
      <c r="Q683">
        <v>1</v>
      </c>
      <c r="R683">
        <v>746</v>
      </c>
    </row>
    <row r="684" spans="1:18" ht="19.899999999999999" customHeight="1" x14ac:dyDescent="0.25">
      <c r="A684" t="str">
        <f t="shared" si="10"/>
        <v>IA38</v>
      </c>
      <c r="B684" s="46" t="s">
        <v>814</v>
      </c>
      <c r="C684" s="46" t="s">
        <v>830</v>
      </c>
      <c r="D684" s="46">
        <v>62</v>
      </c>
      <c r="E684" s="46" t="s">
        <v>238</v>
      </c>
      <c r="F684" s="46">
        <v>52</v>
      </c>
      <c r="G684" s="46" t="s">
        <v>235</v>
      </c>
      <c r="H684" s="46">
        <v>60</v>
      </c>
      <c r="I684" s="46" t="s">
        <v>238</v>
      </c>
      <c r="J684" s="48">
        <v>62</v>
      </c>
      <c r="K684">
        <v>27</v>
      </c>
      <c r="L684" t="s">
        <v>195</v>
      </c>
      <c r="P684">
        <v>4383</v>
      </c>
      <c r="Q684">
        <v>8</v>
      </c>
      <c r="R684">
        <v>4391</v>
      </c>
    </row>
    <row r="685" spans="1:18" ht="19.899999999999999" customHeight="1" x14ac:dyDescent="0.25">
      <c r="A685" t="str">
        <f t="shared" si="10"/>
        <v>IA31</v>
      </c>
      <c r="B685" s="46" t="s">
        <v>814</v>
      </c>
      <c r="C685" s="46" t="s">
        <v>831</v>
      </c>
      <c r="D685" s="46">
        <v>132</v>
      </c>
      <c r="E685" s="46" t="s">
        <v>202</v>
      </c>
      <c r="F685" s="46">
        <v>136</v>
      </c>
      <c r="G685" s="46" t="s">
        <v>202</v>
      </c>
      <c r="H685" s="46">
        <v>131</v>
      </c>
      <c r="I685" s="46" t="s">
        <v>202</v>
      </c>
      <c r="J685" s="48">
        <v>136</v>
      </c>
      <c r="K685">
        <v>16</v>
      </c>
      <c r="L685" t="s">
        <v>218</v>
      </c>
      <c r="P685">
        <v>1486</v>
      </c>
      <c r="Q685">
        <v>6</v>
      </c>
      <c r="R685">
        <v>1492</v>
      </c>
    </row>
    <row r="686" spans="1:18" ht="19.899999999999999" customHeight="1" x14ac:dyDescent="0.25">
      <c r="A686" t="str">
        <f t="shared" si="10"/>
        <v>IA21</v>
      </c>
      <c r="B686" s="46" t="s">
        <v>814</v>
      </c>
      <c r="C686" s="46" t="s">
        <v>832</v>
      </c>
      <c r="D686" s="46">
        <v>142</v>
      </c>
      <c r="E686" s="46" t="s">
        <v>218</v>
      </c>
      <c r="F686" s="46">
        <v>132</v>
      </c>
      <c r="G686" s="46" t="s">
        <v>202</v>
      </c>
      <c r="H686" s="46">
        <v>149</v>
      </c>
      <c r="I686" s="46" t="s">
        <v>195</v>
      </c>
      <c r="J686" s="48">
        <v>149</v>
      </c>
      <c r="K686">
        <v>28</v>
      </c>
      <c r="L686" t="s">
        <v>218</v>
      </c>
      <c r="P686">
        <v>119</v>
      </c>
      <c r="Q686">
        <v>2</v>
      </c>
      <c r="R686">
        <v>121</v>
      </c>
    </row>
    <row r="687" spans="1:18" ht="19.899999999999999" customHeight="1" x14ac:dyDescent="0.25">
      <c r="A687" t="str">
        <f t="shared" si="10"/>
        <v>IA25</v>
      </c>
      <c r="B687" s="46" t="s">
        <v>814</v>
      </c>
      <c r="C687" s="46" t="s">
        <v>833</v>
      </c>
      <c r="D687" s="46">
        <v>105</v>
      </c>
      <c r="E687" s="46" t="s">
        <v>199</v>
      </c>
      <c r="F687" s="46">
        <v>122</v>
      </c>
      <c r="G687" s="46" t="s">
        <v>235</v>
      </c>
      <c r="H687" s="46">
        <v>89</v>
      </c>
      <c r="I687" s="46" t="s">
        <v>195</v>
      </c>
      <c r="J687" s="48">
        <v>122</v>
      </c>
      <c r="K687">
        <v>62</v>
      </c>
      <c r="L687" t="s">
        <v>218</v>
      </c>
      <c r="P687">
        <v>1560</v>
      </c>
      <c r="Q687">
        <v>2</v>
      </c>
      <c r="R687">
        <v>1562</v>
      </c>
    </row>
    <row r="688" spans="1:18" ht="19.899999999999999" customHeight="1" x14ac:dyDescent="0.25">
      <c r="A688" t="str">
        <f t="shared" si="10"/>
        <v>IA20</v>
      </c>
      <c r="B688" s="46" t="s">
        <v>814</v>
      </c>
      <c r="C688" s="46" t="s">
        <v>834</v>
      </c>
      <c r="D688" s="46">
        <v>94</v>
      </c>
      <c r="E688" s="46" t="s">
        <v>235</v>
      </c>
      <c r="F688" s="46">
        <v>98</v>
      </c>
      <c r="G688" s="46" t="s">
        <v>200</v>
      </c>
      <c r="H688" s="46">
        <v>75</v>
      </c>
      <c r="I688" s="46" t="s">
        <v>235</v>
      </c>
      <c r="J688" s="48">
        <v>98</v>
      </c>
      <c r="K688">
        <v>50</v>
      </c>
      <c r="L688" t="s">
        <v>200</v>
      </c>
      <c r="P688">
        <v>1007</v>
      </c>
      <c r="Q688">
        <v>4</v>
      </c>
      <c r="R688">
        <v>1011</v>
      </c>
    </row>
    <row r="689" spans="1:18" ht="19.899999999999999" customHeight="1" x14ac:dyDescent="0.25">
      <c r="A689" t="str">
        <f t="shared" si="10"/>
        <v>IA#3DTR(A)</v>
      </c>
      <c r="B689" s="46" t="s">
        <v>814</v>
      </c>
      <c r="C689" s="46" t="s">
        <v>380</v>
      </c>
      <c r="D689" s="46">
        <v>676</v>
      </c>
      <c r="E689" s="46" t="s">
        <v>227</v>
      </c>
      <c r="F689" s="46">
        <v>617</v>
      </c>
      <c r="G689" s="46" t="s">
        <v>204</v>
      </c>
      <c r="H689" s="46">
        <v>644</v>
      </c>
      <c r="I689" s="46" t="s">
        <v>227</v>
      </c>
      <c r="J689" s="48">
        <v>676</v>
      </c>
      <c r="K689" t="s">
        <v>196</v>
      </c>
      <c r="L689" t="s">
        <v>196</v>
      </c>
      <c r="P689">
        <v>2481</v>
      </c>
      <c r="Q689">
        <v>10</v>
      </c>
      <c r="R689">
        <v>2491</v>
      </c>
    </row>
    <row r="690" spans="1:18" ht="19.899999999999999" customHeight="1" x14ac:dyDescent="0.25">
      <c r="A690" t="str">
        <f t="shared" si="10"/>
        <v>IA40</v>
      </c>
      <c r="B690" s="46" t="s">
        <v>814</v>
      </c>
      <c r="C690" s="46" t="s">
        <v>835</v>
      </c>
      <c r="D690" s="46">
        <v>252</v>
      </c>
      <c r="E690" s="46" t="s">
        <v>200</v>
      </c>
      <c r="F690" s="46">
        <v>224</v>
      </c>
      <c r="G690" s="46" t="s">
        <v>200</v>
      </c>
      <c r="H690" s="46">
        <v>223</v>
      </c>
      <c r="I690" s="46" t="s">
        <v>204</v>
      </c>
      <c r="J690" s="48">
        <v>252</v>
      </c>
      <c r="K690">
        <v>58</v>
      </c>
      <c r="L690" t="s">
        <v>195</v>
      </c>
      <c r="P690">
        <v>1</v>
      </c>
      <c r="Q690">
        <v>6</v>
      </c>
      <c r="R690">
        <v>7</v>
      </c>
    </row>
    <row r="691" spans="1:18" ht="19.899999999999999" customHeight="1" x14ac:dyDescent="0.25">
      <c r="A691" t="str">
        <f t="shared" si="10"/>
        <v>IA41</v>
      </c>
      <c r="B691" s="46" t="s">
        <v>814</v>
      </c>
      <c r="C691" s="46" t="s">
        <v>836</v>
      </c>
      <c r="D691" s="46">
        <v>117</v>
      </c>
      <c r="E691" s="46" t="s">
        <v>206</v>
      </c>
      <c r="F691" s="46">
        <v>123</v>
      </c>
      <c r="G691" s="46" t="s">
        <v>195</v>
      </c>
      <c r="H691" s="46">
        <v>104</v>
      </c>
      <c r="I691" s="46" t="s">
        <v>199</v>
      </c>
      <c r="J691" s="48">
        <v>123</v>
      </c>
      <c r="K691">
        <v>48</v>
      </c>
      <c r="L691" t="s">
        <v>195</v>
      </c>
      <c r="P691">
        <v>12</v>
      </c>
      <c r="Q691">
        <v>5</v>
      </c>
      <c r="R691">
        <v>17</v>
      </c>
    </row>
    <row r="692" spans="1:18" ht="19.899999999999999" customHeight="1" x14ac:dyDescent="0.25">
      <c r="A692" t="str">
        <f t="shared" si="10"/>
        <v>IA42</v>
      </c>
      <c r="B692" s="46" t="s">
        <v>814</v>
      </c>
      <c r="C692" s="46" t="s">
        <v>837</v>
      </c>
      <c r="D692" s="46">
        <v>102</v>
      </c>
      <c r="E692" s="46" t="s">
        <v>206</v>
      </c>
      <c r="F692" s="46">
        <v>93</v>
      </c>
      <c r="G692" s="46" t="s">
        <v>199</v>
      </c>
      <c r="H692" s="46">
        <v>102</v>
      </c>
      <c r="I692" s="46" t="s">
        <v>206</v>
      </c>
      <c r="J692" s="48">
        <v>102</v>
      </c>
      <c r="K692">
        <v>13</v>
      </c>
      <c r="L692" t="s">
        <v>224</v>
      </c>
      <c r="P692">
        <v>4</v>
      </c>
      <c r="Q692">
        <v>6</v>
      </c>
      <c r="R692">
        <v>10</v>
      </c>
    </row>
    <row r="693" spans="1:18" ht="19.899999999999999" customHeight="1" x14ac:dyDescent="0.25">
      <c r="A693" t="str">
        <f t="shared" si="10"/>
        <v>IA43</v>
      </c>
      <c r="B693" s="46" t="s">
        <v>814</v>
      </c>
      <c r="C693" s="46" t="s">
        <v>838</v>
      </c>
      <c r="D693" s="46">
        <v>77</v>
      </c>
      <c r="E693" s="46" t="s">
        <v>204</v>
      </c>
      <c r="F693" s="46">
        <v>58</v>
      </c>
      <c r="G693" s="46" t="s">
        <v>204</v>
      </c>
      <c r="H693" s="46">
        <v>77</v>
      </c>
      <c r="I693" s="46" t="s">
        <v>204</v>
      </c>
      <c r="J693" s="48">
        <v>77</v>
      </c>
      <c r="K693">
        <v>41</v>
      </c>
      <c r="L693" t="s">
        <v>222</v>
      </c>
      <c r="P693">
        <v>15</v>
      </c>
      <c r="Q693">
        <v>16</v>
      </c>
      <c r="R693">
        <v>31</v>
      </c>
    </row>
    <row r="694" spans="1:18" x14ac:dyDescent="0.25">
      <c r="A694" t="str">
        <f t="shared" si="10"/>
        <v>IA44</v>
      </c>
      <c r="B694" s="46" t="s">
        <v>814</v>
      </c>
      <c r="C694" s="46" t="s">
        <v>839</v>
      </c>
      <c r="D694" s="46">
        <v>158</v>
      </c>
      <c r="E694" s="46" t="s">
        <v>204</v>
      </c>
      <c r="F694" s="46">
        <v>152</v>
      </c>
      <c r="G694" s="46" t="s">
        <v>204</v>
      </c>
      <c r="H694" s="46">
        <v>158</v>
      </c>
      <c r="I694" s="46" t="s">
        <v>204</v>
      </c>
      <c r="J694" s="48">
        <v>158</v>
      </c>
      <c r="K694">
        <v>9</v>
      </c>
      <c r="L694" t="s">
        <v>206</v>
      </c>
      <c r="P694" t="s">
        <v>192</v>
      </c>
      <c r="Q694" t="s">
        <v>192</v>
      </c>
      <c r="R694">
        <v>0</v>
      </c>
    </row>
    <row r="695" spans="1:18" ht="19.899999999999999" customHeight="1" x14ac:dyDescent="0.25">
      <c r="A695" t="str">
        <f t="shared" si="10"/>
        <v>IA#3DTR(B)</v>
      </c>
      <c r="B695" s="46" t="s">
        <v>814</v>
      </c>
      <c r="C695" s="46" t="s">
        <v>384</v>
      </c>
      <c r="D695" s="46">
        <v>508</v>
      </c>
      <c r="E695" s="46" t="s">
        <v>199</v>
      </c>
      <c r="F695" s="46">
        <v>505</v>
      </c>
      <c r="G695" s="46" t="s">
        <v>199</v>
      </c>
      <c r="H695" s="46">
        <v>455</v>
      </c>
      <c r="I695" s="46" t="s">
        <v>199</v>
      </c>
      <c r="J695" s="48">
        <v>508</v>
      </c>
      <c r="K695" t="s">
        <v>196</v>
      </c>
      <c r="L695" t="s">
        <v>196</v>
      </c>
      <c r="P695">
        <v>2</v>
      </c>
      <c r="Q695">
        <v>5</v>
      </c>
      <c r="R695">
        <v>7</v>
      </c>
    </row>
    <row r="696" spans="1:18" ht="19.899999999999999" customHeight="1" x14ac:dyDescent="0.25">
      <c r="A696" t="str">
        <f t="shared" si="10"/>
        <v>IA45</v>
      </c>
      <c r="B696" s="46" t="s">
        <v>814</v>
      </c>
      <c r="C696" s="46" t="s">
        <v>840</v>
      </c>
      <c r="D696" s="46">
        <v>124</v>
      </c>
      <c r="E696" s="46" t="s">
        <v>199</v>
      </c>
      <c r="F696" s="46">
        <v>114</v>
      </c>
      <c r="G696" s="46" t="s">
        <v>199</v>
      </c>
      <c r="H696" s="46">
        <v>110</v>
      </c>
      <c r="I696" s="46" t="s">
        <v>227</v>
      </c>
      <c r="J696" s="48">
        <v>124</v>
      </c>
      <c r="K696">
        <v>25</v>
      </c>
      <c r="L696" t="s">
        <v>231</v>
      </c>
      <c r="P696">
        <v>7</v>
      </c>
      <c r="Q696">
        <v>6</v>
      </c>
      <c r="R696">
        <v>13</v>
      </c>
    </row>
    <row r="697" spans="1:18" ht="19.899999999999999" customHeight="1" x14ac:dyDescent="0.25">
      <c r="A697" t="str">
        <f t="shared" si="10"/>
        <v>IA46</v>
      </c>
      <c r="B697" s="46" t="s">
        <v>814</v>
      </c>
      <c r="C697" s="46" t="s">
        <v>841</v>
      </c>
      <c r="D697" s="46">
        <v>145</v>
      </c>
      <c r="E697" s="46" t="s">
        <v>204</v>
      </c>
      <c r="F697" s="46">
        <v>150</v>
      </c>
      <c r="G697" s="46" t="s">
        <v>218</v>
      </c>
      <c r="H697" s="46">
        <v>171</v>
      </c>
      <c r="I697" s="46" t="s">
        <v>200</v>
      </c>
      <c r="J697" s="48">
        <v>171</v>
      </c>
      <c r="K697">
        <v>51</v>
      </c>
      <c r="L697" t="s">
        <v>204</v>
      </c>
      <c r="P697">
        <v>1</v>
      </c>
      <c r="Q697">
        <v>6</v>
      </c>
      <c r="R697">
        <v>7</v>
      </c>
    </row>
    <row r="698" spans="1:18" ht="19.899999999999999" customHeight="1" x14ac:dyDescent="0.25">
      <c r="A698" t="str">
        <f t="shared" si="10"/>
        <v>IA47</v>
      </c>
      <c r="B698" s="46" t="s">
        <v>814</v>
      </c>
      <c r="C698" s="46" t="s">
        <v>842</v>
      </c>
      <c r="D698" s="46">
        <v>103</v>
      </c>
      <c r="E698" s="46" t="s">
        <v>195</v>
      </c>
      <c r="F698" s="46">
        <v>102</v>
      </c>
      <c r="G698" s="46" t="s">
        <v>195</v>
      </c>
      <c r="H698" s="46">
        <v>72</v>
      </c>
      <c r="I698" s="46" t="s">
        <v>195</v>
      </c>
      <c r="J698" s="48">
        <v>103</v>
      </c>
      <c r="K698">
        <v>45</v>
      </c>
      <c r="L698" t="s">
        <v>206</v>
      </c>
      <c r="P698">
        <v>15</v>
      </c>
      <c r="Q698">
        <v>5</v>
      </c>
      <c r="R698">
        <v>20</v>
      </c>
    </row>
    <row r="699" spans="1:18" ht="19.899999999999999" customHeight="1" x14ac:dyDescent="0.25">
      <c r="A699" t="str">
        <f t="shared" si="10"/>
        <v>IA48</v>
      </c>
      <c r="B699" s="46" t="s">
        <v>814</v>
      </c>
      <c r="C699" s="46" t="s">
        <v>843</v>
      </c>
      <c r="D699" s="46">
        <v>77</v>
      </c>
      <c r="E699" s="46" t="s">
        <v>195</v>
      </c>
      <c r="F699" s="46">
        <v>91</v>
      </c>
      <c r="G699" s="46" t="s">
        <v>195</v>
      </c>
      <c r="H699" s="46">
        <v>49</v>
      </c>
      <c r="I699" s="46" t="s">
        <v>231</v>
      </c>
      <c r="J699" s="48">
        <v>91</v>
      </c>
      <c r="K699">
        <v>56</v>
      </c>
      <c r="L699" t="s">
        <v>195</v>
      </c>
      <c r="P699">
        <v>6</v>
      </c>
      <c r="Q699">
        <v>2</v>
      </c>
      <c r="R699">
        <v>8</v>
      </c>
    </row>
    <row r="700" spans="1:18" ht="19.899999999999999" customHeight="1" x14ac:dyDescent="0.25">
      <c r="A700" t="str">
        <f t="shared" si="10"/>
        <v>IA49</v>
      </c>
      <c r="B700" s="46" t="s">
        <v>814</v>
      </c>
      <c r="C700" s="46" t="s">
        <v>844</v>
      </c>
      <c r="D700" s="46">
        <v>144</v>
      </c>
      <c r="E700" s="46" t="s">
        <v>235</v>
      </c>
      <c r="F700" s="46">
        <v>104</v>
      </c>
      <c r="G700" s="46" t="s">
        <v>206</v>
      </c>
      <c r="H700" s="46">
        <v>108</v>
      </c>
      <c r="I700" s="46" t="s">
        <v>238</v>
      </c>
      <c r="J700" s="48">
        <v>144</v>
      </c>
      <c r="K700">
        <v>54</v>
      </c>
      <c r="L700" t="s">
        <v>235</v>
      </c>
      <c r="P700">
        <v>0</v>
      </c>
      <c r="Q700">
        <v>2</v>
      </c>
      <c r="R700">
        <v>2</v>
      </c>
    </row>
    <row r="701" spans="1:18" ht="19.899999999999999" customHeight="1" x14ac:dyDescent="0.25">
      <c r="A701" t="str">
        <f t="shared" si="10"/>
        <v>9A#2DTR</v>
      </c>
      <c r="B701" s="46" t="s">
        <v>845</v>
      </c>
      <c r="C701" s="46" t="s">
        <v>373</v>
      </c>
      <c r="D701" s="46">
        <v>754</v>
      </c>
      <c r="E701" s="46" t="s">
        <v>198</v>
      </c>
      <c r="F701" s="46">
        <v>766</v>
      </c>
      <c r="G701" s="46" t="s">
        <v>198</v>
      </c>
      <c r="H701" s="46">
        <v>759</v>
      </c>
      <c r="I701" s="46" t="s">
        <v>198</v>
      </c>
      <c r="J701" s="48">
        <v>766</v>
      </c>
      <c r="K701" t="s">
        <v>196</v>
      </c>
      <c r="L701" t="s">
        <v>196</v>
      </c>
      <c r="P701">
        <v>2</v>
      </c>
      <c r="Q701">
        <v>9</v>
      </c>
      <c r="R701">
        <v>11</v>
      </c>
    </row>
    <row r="702" spans="1:18" ht="19.899999999999999" customHeight="1" x14ac:dyDescent="0.25">
      <c r="A702" t="str">
        <f t="shared" si="10"/>
        <v>9A70</v>
      </c>
      <c r="B702" s="46" t="s">
        <v>845</v>
      </c>
      <c r="C702" s="46" t="s">
        <v>846</v>
      </c>
      <c r="D702" s="46">
        <v>0</v>
      </c>
      <c r="E702" s="46" t="s">
        <v>215</v>
      </c>
      <c r="F702" s="46">
        <v>0</v>
      </c>
      <c r="G702" s="46" t="s">
        <v>215</v>
      </c>
      <c r="H702" s="46">
        <v>0</v>
      </c>
      <c r="I702" s="46" t="s">
        <v>215</v>
      </c>
      <c r="J702" s="49">
        <v>0</v>
      </c>
      <c r="K702">
        <v>0</v>
      </c>
      <c r="L702" t="s">
        <v>215</v>
      </c>
      <c r="P702">
        <v>2</v>
      </c>
      <c r="Q702" t="s">
        <v>192</v>
      </c>
      <c r="R702">
        <v>2</v>
      </c>
    </row>
    <row r="703" spans="1:18" ht="19.899999999999999" customHeight="1" x14ac:dyDescent="0.25">
      <c r="A703" t="str">
        <f t="shared" si="10"/>
        <v>9A71</v>
      </c>
      <c r="B703" s="46" t="s">
        <v>845</v>
      </c>
      <c r="C703" s="46" t="s">
        <v>847</v>
      </c>
      <c r="D703" s="46">
        <v>50</v>
      </c>
      <c r="E703" s="46" t="s">
        <v>195</v>
      </c>
      <c r="F703" s="46">
        <v>51</v>
      </c>
      <c r="G703" s="46" t="s">
        <v>195</v>
      </c>
      <c r="H703" s="46">
        <v>51</v>
      </c>
      <c r="I703" s="46" t="s">
        <v>195</v>
      </c>
      <c r="J703" s="48">
        <v>51</v>
      </c>
      <c r="K703">
        <v>0</v>
      </c>
      <c r="L703" t="s">
        <v>215</v>
      </c>
    </row>
    <row r="704" spans="1:18" ht="19.899999999999999" customHeight="1" x14ac:dyDescent="0.25">
      <c r="A704" t="str">
        <f t="shared" si="10"/>
        <v>9A72</v>
      </c>
      <c r="B704" s="46" t="s">
        <v>845</v>
      </c>
      <c r="C704" s="46" t="s">
        <v>848</v>
      </c>
      <c r="D704" s="46">
        <v>99</v>
      </c>
      <c r="E704" s="46" t="s">
        <v>206</v>
      </c>
      <c r="F704" s="46">
        <v>100</v>
      </c>
      <c r="G704" s="46" t="s">
        <v>206</v>
      </c>
      <c r="H704" s="46">
        <v>99</v>
      </c>
      <c r="I704" s="46" t="s">
        <v>206</v>
      </c>
      <c r="J704" s="48">
        <v>100</v>
      </c>
      <c r="K704">
        <v>0</v>
      </c>
      <c r="L704" t="s">
        <v>215</v>
      </c>
    </row>
    <row r="705" spans="1:12" ht="19.899999999999999" customHeight="1" x14ac:dyDescent="0.25">
      <c r="A705" t="str">
        <f t="shared" si="10"/>
        <v>9A73</v>
      </c>
      <c r="B705" s="46" t="s">
        <v>845</v>
      </c>
      <c r="C705" s="46" t="s">
        <v>849</v>
      </c>
      <c r="D705" s="46">
        <v>170</v>
      </c>
      <c r="E705" s="46" t="s">
        <v>222</v>
      </c>
      <c r="F705" s="46">
        <v>172</v>
      </c>
      <c r="G705" s="46" t="s">
        <v>222</v>
      </c>
      <c r="H705" s="46">
        <v>171</v>
      </c>
      <c r="I705" s="46" t="s">
        <v>222</v>
      </c>
      <c r="J705" s="48">
        <v>172</v>
      </c>
      <c r="K705">
        <v>0</v>
      </c>
      <c r="L705" t="s">
        <v>215</v>
      </c>
    </row>
    <row r="706" spans="1:12" ht="19.899999999999999" customHeight="1" x14ac:dyDescent="0.25">
      <c r="A706" t="str">
        <f t="shared" si="10"/>
        <v>9A74</v>
      </c>
      <c r="B706" s="46" t="s">
        <v>845</v>
      </c>
      <c r="C706" s="46" t="s">
        <v>850</v>
      </c>
      <c r="D706" s="46">
        <v>187</v>
      </c>
      <c r="E706" s="46" t="s">
        <v>199</v>
      </c>
      <c r="F706" s="46">
        <v>190</v>
      </c>
      <c r="G706" s="46" t="s">
        <v>199</v>
      </c>
      <c r="H706" s="46">
        <v>188</v>
      </c>
      <c r="I706" s="46" t="s">
        <v>199</v>
      </c>
      <c r="J706" s="48">
        <v>190</v>
      </c>
      <c r="K706">
        <v>1</v>
      </c>
      <c r="L706" t="s">
        <v>208</v>
      </c>
    </row>
    <row r="707" spans="1:12" ht="19.899999999999999" customHeight="1" x14ac:dyDescent="0.25">
      <c r="A707" t="str">
        <f t="shared" si="10"/>
        <v>9A75</v>
      </c>
      <c r="B707" s="46" t="s">
        <v>845</v>
      </c>
      <c r="C707" s="46" t="s">
        <v>851</v>
      </c>
      <c r="D707" s="46">
        <v>154</v>
      </c>
      <c r="E707" s="46" t="s">
        <v>227</v>
      </c>
      <c r="F707" s="46">
        <v>155</v>
      </c>
      <c r="G707" s="46" t="s">
        <v>227</v>
      </c>
      <c r="H707" s="46">
        <v>154</v>
      </c>
      <c r="I707" s="46" t="s">
        <v>227</v>
      </c>
      <c r="J707" s="48">
        <v>155</v>
      </c>
      <c r="K707">
        <v>1</v>
      </c>
      <c r="L707" t="s">
        <v>215</v>
      </c>
    </row>
    <row r="708" spans="1:12" ht="19.899999999999999" customHeight="1" x14ac:dyDescent="0.25">
      <c r="A708" t="str">
        <f t="shared" ref="A708:A771" si="11">IF(COUNTIF(C708,"*TR*")&gt;0,SUBSTITUTE(RIGHT(B708,3) &amp; C708," ",""),MID(C708,FIND("(",C708)+1,4))</f>
        <v>9A76</v>
      </c>
      <c r="B708" s="46" t="s">
        <v>845</v>
      </c>
      <c r="C708" s="46" t="s">
        <v>852</v>
      </c>
      <c r="D708" s="46">
        <v>151</v>
      </c>
      <c r="E708" s="46" t="s">
        <v>227</v>
      </c>
      <c r="F708" s="46">
        <v>152</v>
      </c>
      <c r="G708" s="46" t="s">
        <v>227</v>
      </c>
      <c r="H708" s="46">
        <v>151</v>
      </c>
      <c r="I708" s="46" t="s">
        <v>227</v>
      </c>
      <c r="J708" s="48">
        <v>152</v>
      </c>
      <c r="K708">
        <v>1</v>
      </c>
      <c r="L708" t="s">
        <v>215</v>
      </c>
    </row>
    <row r="709" spans="1:12" ht="19.899999999999999" customHeight="1" x14ac:dyDescent="0.25">
      <c r="A709" t="str">
        <f t="shared" si="11"/>
        <v>9A77</v>
      </c>
      <c r="B709" s="46" t="s">
        <v>845</v>
      </c>
      <c r="C709" s="46" t="s">
        <v>853</v>
      </c>
      <c r="D709" s="46">
        <v>1</v>
      </c>
      <c r="E709" s="46" t="s">
        <v>215</v>
      </c>
      <c r="F709" s="46">
        <v>1</v>
      </c>
      <c r="G709" s="46" t="s">
        <v>215</v>
      </c>
      <c r="H709" s="46">
        <v>1</v>
      </c>
      <c r="I709" s="46" t="s">
        <v>215</v>
      </c>
      <c r="J709" s="48">
        <v>1</v>
      </c>
      <c r="K709">
        <v>1</v>
      </c>
      <c r="L709" t="s">
        <v>215</v>
      </c>
    </row>
    <row r="710" spans="1:12" ht="19.899999999999999" customHeight="1" x14ac:dyDescent="0.25">
      <c r="A710" t="str">
        <f t="shared" si="11"/>
        <v>9A#3DTR(A)</v>
      </c>
      <c r="B710" s="46" t="s">
        <v>845</v>
      </c>
      <c r="C710" s="46" t="s">
        <v>380</v>
      </c>
      <c r="D710" s="46">
        <v>73</v>
      </c>
      <c r="E710" s="46" t="s">
        <v>202</v>
      </c>
      <c r="F710" s="46">
        <v>73</v>
      </c>
      <c r="G710" s="46" t="s">
        <v>202</v>
      </c>
      <c r="H710" s="46">
        <v>74</v>
      </c>
      <c r="I710" s="46" t="s">
        <v>202</v>
      </c>
      <c r="J710" s="48">
        <v>74</v>
      </c>
      <c r="K710" t="s">
        <v>196</v>
      </c>
      <c r="L710" t="s">
        <v>196</v>
      </c>
    </row>
    <row r="711" spans="1:12" ht="19.899999999999999" customHeight="1" x14ac:dyDescent="0.25">
      <c r="A711" t="str">
        <f t="shared" si="11"/>
        <v>9A61</v>
      </c>
      <c r="B711" s="46" t="s">
        <v>845</v>
      </c>
      <c r="C711" s="46" t="s">
        <v>854</v>
      </c>
      <c r="D711" s="46">
        <v>2</v>
      </c>
      <c r="E711" s="46" t="s">
        <v>215</v>
      </c>
      <c r="F711" s="46">
        <v>2</v>
      </c>
      <c r="G711" s="46" t="s">
        <v>215</v>
      </c>
      <c r="H711" s="46">
        <v>2</v>
      </c>
      <c r="I711" s="46" t="s">
        <v>215</v>
      </c>
      <c r="J711" s="48">
        <v>2</v>
      </c>
      <c r="K711">
        <v>0</v>
      </c>
      <c r="L711" t="s">
        <v>215</v>
      </c>
    </row>
    <row r="712" spans="1:12" ht="19.899999999999999" customHeight="1" x14ac:dyDescent="0.25">
      <c r="A712" t="str">
        <f t="shared" si="11"/>
        <v>9A62</v>
      </c>
      <c r="B712" s="46" t="s">
        <v>845</v>
      </c>
      <c r="C712" s="46" t="s">
        <v>855</v>
      </c>
      <c r="D712" s="46">
        <v>31</v>
      </c>
      <c r="E712" s="46" t="s">
        <v>222</v>
      </c>
      <c r="F712" s="46">
        <v>32</v>
      </c>
      <c r="G712" s="46" t="s">
        <v>222</v>
      </c>
      <c r="H712" s="46">
        <v>32</v>
      </c>
      <c r="I712" s="46" t="s">
        <v>222</v>
      </c>
      <c r="J712" s="48">
        <v>32</v>
      </c>
      <c r="K712">
        <v>0</v>
      </c>
      <c r="L712" t="s">
        <v>215</v>
      </c>
    </row>
    <row r="713" spans="1:12" ht="19.899999999999999" customHeight="1" x14ac:dyDescent="0.25">
      <c r="A713" t="str">
        <f t="shared" si="11"/>
        <v>9A63</v>
      </c>
      <c r="B713" s="46" t="s">
        <v>845</v>
      </c>
      <c r="C713" s="46" t="s">
        <v>856</v>
      </c>
      <c r="D713" s="46">
        <v>18</v>
      </c>
      <c r="E713" s="46" t="s">
        <v>199</v>
      </c>
      <c r="F713" s="46">
        <v>17</v>
      </c>
      <c r="G713" s="46" t="s">
        <v>199</v>
      </c>
      <c r="H713" s="46">
        <v>19</v>
      </c>
      <c r="I713" s="46" t="s">
        <v>199</v>
      </c>
      <c r="J713" s="48">
        <v>19</v>
      </c>
      <c r="K713">
        <v>0</v>
      </c>
      <c r="L713" t="s">
        <v>215</v>
      </c>
    </row>
    <row r="714" spans="1:12" ht="19.899999999999999" customHeight="1" x14ac:dyDescent="0.25">
      <c r="A714" t="str">
        <f t="shared" si="11"/>
        <v>9A#3DTR(B)</v>
      </c>
      <c r="B714" s="46" t="s">
        <v>845</v>
      </c>
      <c r="C714" s="46" t="s">
        <v>384</v>
      </c>
      <c r="D714" s="46" t="s">
        <v>196</v>
      </c>
      <c r="E714" s="46" t="s">
        <v>196</v>
      </c>
      <c r="F714" s="46" t="s">
        <v>196</v>
      </c>
      <c r="G714" s="46" t="s">
        <v>196</v>
      </c>
      <c r="H714" s="46" t="s">
        <v>196</v>
      </c>
      <c r="I714" s="46" t="s">
        <v>196</v>
      </c>
      <c r="J714" s="48" t="s">
        <v>196</v>
      </c>
      <c r="K714" t="s">
        <v>196</v>
      </c>
      <c r="L714" t="s">
        <v>196</v>
      </c>
    </row>
    <row r="715" spans="1:12" ht="19.899999999999999" customHeight="1" x14ac:dyDescent="0.25">
      <c r="A715" t="str">
        <f t="shared" si="11"/>
        <v>9A64</v>
      </c>
      <c r="B715" s="46" t="s">
        <v>845</v>
      </c>
      <c r="C715" s="46" t="s">
        <v>857</v>
      </c>
      <c r="D715" s="46">
        <v>48</v>
      </c>
      <c r="E715" s="46" t="s">
        <v>198</v>
      </c>
      <c r="F715" s="46">
        <v>49</v>
      </c>
      <c r="G715" s="46" t="s">
        <v>198</v>
      </c>
      <c r="H715" s="46">
        <v>47</v>
      </c>
      <c r="I715" s="46" t="s">
        <v>198</v>
      </c>
      <c r="J715" s="48">
        <v>49</v>
      </c>
      <c r="K715">
        <v>3</v>
      </c>
      <c r="L715" t="s">
        <v>213</v>
      </c>
    </row>
    <row r="716" spans="1:12" ht="19.899999999999999" customHeight="1" x14ac:dyDescent="0.25">
      <c r="A716" t="str">
        <f t="shared" si="11"/>
        <v>9A65</v>
      </c>
      <c r="B716" s="46" t="s">
        <v>845</v>
      </c>
      <c r="C716" s="46" t="s">
        <v>858</v>
      </c>
      <c r="D716" s="46">
        <v>30</v>
      </c>
      <c r="E716" s="46" t="s">
        <v>213</v>
      </c>
      <c r="F716" s="46">
        <v>30</v>
      </c>
      <c r="G716" s="46" t="s">
        <v>213</v>
      </c>
      <c r="H716" s="46">
        <v>28</v>
      </c>
      <c r="I716" s="46" t="s">
        <v>199</v>
      </c>
      <c r="J716" s="48">
        <v>30</v>
      </c>
      <c r="K716">
        <v>0</v>
      </c>
      <c r="L716" t="s">
        <v>215</v>
      </c>
    </row>
    <row r="717" spans="1:12" ht="19.899999999999999" customHeight="1" x14ac:dyDescent="0.25">
      <c r="A717" t="str">
        <f t="shared" si="11"/>
        <v>9A66</v>
      </c>
      <c r="B717" s="46" t="s">
        <v>845</v>
      </c>
      <c r="C717" s="46" t="s">
        <v>859</v>
      </c>
      <c r="D717" s="46">
        <v>0</v>
      </c>
      <c r="E717" s="46" t="s">
        <v>215</v>
      </c>
      <c r="F717" s="46">
        <v>0</v>
      </c>
      <c r="G717" s="46" t="s">
        <v>215</v>
      </c>
      <c r="H717" s="46">
        <v>0</v>
      </c>
      <c r="I717" s="46" t="s">
        <v>215</v>
      </c>
      <c r="J717" s="48">
        <v>0</v>
      </c>
      <c r="K717">
        <v>0</v>
      </c>
      <c r="L717" t="s">
        <v>215</v>
      </c>
    </row>
    <row r="718" spans="1:12" ht="19.899999999999999" customHeight="1" x14ac:dyDescent="0.25">
      <c r="A718" t="str">
        <f t="shared" si="11"/>
        <v>9A#4DTR(A)</v>
      </c>
      <c r="B718" s="46" t="s">
        <v>845</v>
      </c>
      <c r="C718" s="46" t="s">
        <v>860</v>
      </c>
      <c r="D718" s="46">
        <v>65</v>
      </c>
      <c r="E718" s="46" t="s">
        <v>199</v>
      </c>
      <c r="F718" s="46">
        <v>63</v>
      </c>
      <c r="G718" s="46" t="s">
        <v>199</v>
      </c>
      <c r="H718" s="46">
        <v>64</v>
      </c>
      <c r="I718" s="46" t="s">
        <v>199</v>
      </c>
      <c r="J718" s="48">
        <v>65</v>
      </c>
      <c r="K718" t="s">
        <v>196</v>
      </c>
      <c r="L718" t="s">
        <v>196</v>
      </c>
    </row>
    <row r="719" spans="1:12" ht="19.899999999999999" customHeight="1" x14ac:dyDescent="0.25">
      <c r="A719" t="str">
        <f t="shared" si="11"/>
        <v>9A51</v>
      </c>
      <c r="B719" s="46" t="s">
        <v>845</v>
      </c>
      <c r="C719" s="46" t="s">
        <v>861</v>
      </c>
      <c r="D719" s="46">
        <v>47</v>
      </c>
      <c r="E719" s="46" t="s">
        <v>200</v>
      </c>
      <c r="F719" s="46">
        <v>46</v>
      </c>
      <c r="G719" s="46" t="s">
        <v>200</v>
      </c>
      <c r="H719" s="46">
        <v>46</v>
      </c>
      <c r="I719" s="46" t="s">
        <v>200</v>
      </c>
      <c r="J719" s="48">
        <v>47</v>
      </c>
      <c r="K719">
        <v>0</v>
      </c>
      <c r="L719" t="s">
        <v>215</v>
      </c>
    </row>
    <row r="720" spans="1:12" ht="19.899999999999999" customHeight="1" x14ac:dyDescent="0.25">
      <c r="A720" t="str">
        <f t="shared" si="11"/>
        <v>9A52</v>
      </c>
      <c r="B720" s="46" t="s">
        <v>845</v>
      </c>
      <c r="C720" s="46" t="s">
        <v>862</v>
      </c>
      <c r="D720" s="46">
        <v>24</v>
      </c>
      <c r="E720" s="46" t="s">
        <v>195</v>
      </c>
      <c r="F720" s="46">
        <v>24</v>
      </c>
      <c r="G720" s="46" t="s">
        <v>195</v>
      </c>
      <c r="H720" s="46">
        <v>24</v>
      </c>
      <c r="I720" s="46" t="s">
        <v>195</v>
      </c>
      <c r="J720" s="48">
        <v>24</v>
      </c>
      <c r="K720">
        <v>0</v>
      </c>
      <c r="L720" t="s">
        <v>215</v>
      </c>
    </row>
    <row r="721" spans="1:12" ht="19.899999999999999" customHeight="1" x14ac:dyDescent="0.25">
      <c r="A721" t="str">
        <f t="shared" si="11"/>
        <v>9A53</v>
      </c>
      <c r="B721" s="46" t="s">
        <v>845</v>
      </c>
      <c r="C721" s="46" t="s">
        <v>863</v>
      </c>
      <c r="D721" s="46">
        <v>31</v>
      </c>
      <c r="E721" s="46" t="s">
        <v>199</v>
      </c>
      <c r="F721" s="46">
        <v>30</v>
      </c>
      <c r="G721" s="46" t="s">
        <v>199</v>
      </c>
      <c r="H721" s="46">
        <v>30</v>
      </c>
      <c r="I721" s="46" t="s">
        <v>199</v>
      </c>
      <c r="J721" s="48">
        <v>31</v>
      </c>
      <c r="K721">
        <v>0</v>
      </c>
      <c r="L721" t="s">
        <v>215</v>
      </c>
    </row>
    <row r="722" spans="1:12" ht="19.899999999999999" customHeight="1" x14ac:dyDescent="0.25">
      <c r="A722" t="str">
        <f t="shared" si="11"/>
        <v>9A54</v>
      </c>
      <c r="B722" s="46" t="s">
        <v>845</v>
      </c>
      <c r="C722" s="46" t="s">
        <v>864</v>
      </c>
      <c r="D722" s="46">
        <v>0</v>
      </c>
      <c r="E722" s="46" t="s">
        <v>215</v>
      </c>
      <c r="F722" s="46">
        <v>0</v>
      </c>
      <c r="G722" s="46" t="s">
        <v>215</v>
      </c>
      <c r="H722" s="46">
        <v>0</v>
      </c>
      <c r="I722" s="46" t="s">
        <v>215</v>
      </c>
      <c r="J722" s="48">
        <v>0</v>
      </c>
      <c r="K722">
        <v>0</v>
      </c>
      <c r="L722" t="s">
        <v>215</v>
      </c>
    </row>
    <row r="723" spans="1:12" ht="19.899999999999999" customHeight="1" x14ac:dyDescent="0.25">
      <c r="A723" t="str">
        <f t="shared" si="11"/>
        <v>9A55</v>
      </c>
      <c r="B723" s="46" t="s">
        <v>845</v>
      </c>
      <c r="C723" s="46" t="s">
        <v>865</v>
      </c>
      <c r="D723" s="46">
        <v>0</v>
      </c>
      <c r="E723" s="46" t="s">
        <v>215</v>
      </c>
      <c r="F723" s="46">
        <v>0</v>
      </c>
      <c r="G723" s="46" t="s">
        <v>215</v>
      </c>
      <c r="H723" s="46">
        <v>0</v>
      </c>
      <c r="I723" s="46" t="s">
        <v>215</v>
      </c>
      <c r="J723" s="48">
        <v>0</v>
      </c>
      <c r="K723">
        <v>0</v>
      </c>
      <c r="L723" t="s">
        <v>215</v>
      </c>
    </row>
    <row r="724" spans="1:12" ht="19.899999999999999" customHeight="1" x14ac:dyDescent="0.25">
      <c r="A724" t="str">
        <f t="shared" si="11"/>
        <v>9A56</v>
      </c>
      <c r="B724" s="46" t="s">
        <v>845</v>
      </c>
      <c r="C724" s="46" t="s">
        <v>866</v>
      </c>
      <c r="D724" s="46">
        <v>0</v>
      </c>
      <c r="E724" s="46" t="s">
        <v>215</v>
      </c>
      <c r="F724" s="46">
        <v>0</v>
      </c>
      <c r="G724" s="46" t="s">
        <v>215</v>
      </c>
      <c r="H724" s="46">
        <v>0</v>
      </c>
      <c r="I724" s="46" t="s">
        <v>215</v>
      </c>
      <c r="J724" s="48">
        <v>0</v>
      </c>
      <c r="K724">
        <v>0</v>
      </c>
      <c r="L724" t="s">
        <v>215</v>
      </c>
    </row>
    <row r="725" spans="1:12" ht="19.899999999999999" customHeight="1" x14ac:dyDescent="0.25">
      <c r="A725" t="str">
        <f t="shared" si="11"/>
        <v>9A#4DTR(B)</v>
      </c>
      <c r="B725" s="46" t="s">
        <v>845</v>
      </c>
      <c r="C725" s="46" t="s">
        <v>867</v>
      </c>
      <c r="D725" s="46">
        <v>110</v>
      </c>
      <c r="E725" s="46" t="s">
        <v>195</v>
      </c>
      <c r="F725" s="46">
        <v>108</v>
      </c>
      <c r="G725" s="46" t="s">
        <v>195</v>
      </c>
      <c r="H725" s="46">
        <v>110</v>
      </c>
      <c r="I725" s="46" t="s">
        <v>195</v>
      </c>
      <c r="J725" s="48">
        <v>110</v>
      </c>
      <c r="K725" t="s">
        <v>196</v>
      </c>
      <c r="L725" t="s">
        <v>196</v>
      </c>
    </row>
    <row r="726" spans="1:12" ht="19.899999999999999" customHeight="1" x14ac:dyDescent="0.25">
      <c r="A726" t="str">
        <f t="shared" si="11"/>
        <v>9AE0</v>
      </c>
      <c r="B726" s="46" t="s">
        <v>845</v>
      </c>
      <c r="C726" s="46" t="s">
        <v>868</v>
      </c>
      <c r="D726" s="46">
        <v>159</v>
      </c>
      <c r="E726" s="46" t="s">
        <v>222</v>
      </c>
      <c r="F726" s="46">
        <v>159</v>
      </c>
      <c r="G726" s="46" t="s">
        <v>222</v>
      </c>
      <c r="H726" s="46">
        <v>159</v>
      </c>
      <c r="I726" s="46" t="s">
        <v>222</v>
      </c>
      <c r="J726" s="48">
        <v>159</v>
      </c>
      <c r="K726">
        <v>0</v>
      </c>
      <c r="L726" t="s">
        <v>215</v>
      </c>
    </row>
    <row r="727" spans="1:12" ht="19.899999999999999" customHeight="1" x14ac:dyDescent="0.25">
      <c r="A727" t="str">
        <f t="shared" si="11"/>
        <v>9A68</v>
      </c>
      <c r="B727" s="46" t="s">
        <v>845</v>
      </c>
      <c r="C727" s="46" t="s">
        <v>869</v>
      </c>
      <c r="D727" s="46">
        <v>0</v>
      </c>
      <c r="E727" s="46" t="s">
        <v>215</v>
      </c>
      <c r="F727" s="46">
        <v>0</v>
      </c>
      <c r="G727" s="46" t="s">
        <v>215</v>
      </c>
      <c r="H727" s="46">
        <v>0</v>
      </c>
      <c r="I727" s="46" t="s">
        <v>215</v>
      </c>
      <c r="J727" s="48">
        <v>0</v>
      </c>
      <c r="K727">
        <v>0</v>
      </c>
      <c r="L727" t="s">
        <v>215</v>
      </c>
    </row>
    <row r="728" spans="1:12" ht="19.899999999999999" customHeight="1" x14ac:dyDescent="0.25">
      <c r="A728" t="str">
        <f t="shared" si="11"/>
        <v>9A67</v>
      </c>
      <c r="B728" s="46" t="s">
        <v>845</v>
      </c>
      <c r="C728" s="46" t="s">
        <v>870</v>
      </c>
      <c r="D728" s="46">
        <v>0</v>
      </c>
      <c r="E728" s="46" t="s">
        <v>215</v>
      </c>
      <c r="F728" s="46">
        <v>0</v>
      </c>
      <c r="G728" s="46" t="s">
        <v>215</v>
      </c>
      <c r="H728" s="46">
        <v>0</v>
      </c>
      <c r="I728" s="46" t="s">
        <v>215</v>
      </c>
      <c r="J728" s="48">
        <v>0</v>
      </c>
      <c r="K728">
        <v>0</v>
      </c>
      <c r="L728" t="s">
        <v>215</v>
      </c>
    </row>
    <row r="729" spans="1:12" ht="19.899999999999999" customHeight="1" x14ac:dyDescent="0.25">
      <c r="A729" t="str">
        <f t="shared" si="11"/>
        <v>9A59</v>
      </c>
      <c r="B729" s="46" t="s">
        <v>845</v>
      </c>
      <c r="C729" s="46" t="s">
        <v>871</v>
      </c>
      <c r="D729" s="46">
        <v>69</v>
      </c>
      <c r="E729" s="46" t="s">
        <v>200</v>
      </c>
      <c r="F729" s="46">
        <v>69</v>
      </c>
      <c r="G729" s="46" t="s">
        <v>218</v>
      </c>
      <c r="H729" s="46">
        <v>69</v>
      </c>
      <c r="I729" s="46" t="s">
        <v>218</v>
      </c>
      <c r="J729" s="48">
        <v>69</v>
      </c>
      <c r="K729">
        <v>0</v>
      </c>
      <c r="L729" t="s">
        <v>215</v>
      </c>
    </row>
    <row r="730" spans="1:12" ht="19.899999999999999" customHeight="1" x14ac:dyDescent="0.25">
      <c r="A730" t="str">
        <f t="shared" si="11"/>
        <v>9A58</v>
      </c>
      <c r="B730" s="46" t="s">
        <v>845</v>
      </c>
      <c r="C730" s="46" t="s">
        <v>872</v>
      </c>
      <c r="D730" s="46">
        <v>35</v>
      </c>
      <c r="E730" s="46" t="s">
        <v>213</v>
      </c>
      <c r="F730" s="46">
        <v>33</v>
      </c>
      <c r="G730" s="46" t="s">
        <v>302</v>
      </c>
      <c r="H730" s="46">
        <v>33</v>
      </c>
      <c r="I730" s="46" t="s">
        <v>227</v>
      </c>
      <c r="J730" s="48">
        <v>35</v>
      </c>
      <c r="K730">
        <v>0</v>
      </c>
      <c r="L730" t="s">
        <v>215</v>
      </c>
    </row>
    <row r="731" spans="1:12" ht="19.899999999999999" customHeight="1" x14ac:dyDescent="0.25">
      <c r="A731" t="str">
        <f t="shared" si="11"/>
        <v>9A57</v>
      </c>
      <c r="B731" s="46" t="s">
        <v>845</v>
      </c>
      <c r="C731" s="46" t="s">
        <v>873</v>
      </c>
      <c r="D731" s="46">
        <v>97</v>
      </c>
      <c r="E731" s="46" t="s">
        <v>202</v>
      </c>
      <c r="F731" s="46">
        <v>97</v>
      </c>
      <c r="G731" s="46" t="s">
        <v>202</v>
      </c>
      <c r="H731" s="46">
        <v>97</v>
      </c>
      <c r="I731" s="46" t="s">
        <v>202</v>
      </c>
      <c r="J731" s="48">
        <v>97</v>
      </c>
      <c r="K731">
        <v>0</v>
      </c>
      <c r="L731" t="s">
        <v>215</v>
      </c>
    </row>
    <row r="732" spans="1:12" ht="19.899999999999999" customHeight="1" x14ac:dyDescent="0.25">
      <c r="A732" t="str">
        <f t="shared" si="11"/>
        <v>9G#3DTR(A)</v>
      </c>
      <c r="B732" s="46" t="s">
        <v>874</v>
      </c>
      <c r="C732" s="46" t="s">
        <v>380</v>
      </c>
      <c r="D732" s="46">
        <v>558</v>
      </c>
      <c r="E732" s="46" t="s">
        <v>202</v>
      </c>
      <c r="F732" s="46">
        <v>559</v>
      </c>
      <c r="G732" s="46" t="s">
        <v>202</v>
      </c>
      <c r="H732" s="46">
        <v>559</v>
      </c>
      <c r="I732" s="46" t="s">
        <v>202</v>
      </c>
      <c r="J732" s="48">
        <v>559</v>
      </c>
      <c r="K732" t="s">
        <v>196</v>
      </c>
      <c r="L732" t="s">
        <v>196</v>
      </c>
    </row>
    <row r="733" spans="1:12" ht="19.899999999999999" customHeight="1" x14ac:dyDescent="0.25">
      <c r="A733" t="str">
        <f t="shared" si="11"/>
        <v>9GE0</v>
      </c>
      <c r="B733" s="46" t="s">
        <v>874</v>
      </c>
      <c r="C733" s="46" t="s">
        <v>875</v>
      </c>
      <c r="D733" s="46">
        <v>263</v>
      </c>
      <c r="E733" s="46" t="s">
        <v>227</v>
      </c>
      <c r="F733" s="46">
        <v>263</v>
      </c>
      <c r="G733" s="46" t="s">
        <v>204</v>
      </c>
      <c r="H733" s="46">
        <v>264</v>
      </c>
      <c r="I733" s="46" t="s">
        <v>227</v>
      </c>
      <c r="J733" s="48">
        <v>264</v>
      </c>
      <c r="K733">
        <v>0</v>
      </c>
      <c r="L733" t="s">
        <v>215</v>
      </c>
    </row>
    <row r="734" spans="1:12" ht="19.899999999999999" customHeight="1" x14ac:dyDescent="0.25">
      <c r="A734" t="str">
        <f t="shared" si="11"/>
        <v>9GE1</v>
      </c>
      <c r="B734" s="46" t="s">
        <v>874</v>
      </c>
      <c r="C734" s="46" t="s">
        <v>876</v>
      </c>
      <c r="D734" s="46">
        <v>347</v>
      </c>
      <c r="E734" s="46" t="s">
        <v>202</v>
      </c>
      <c r="F734" s="46">
        <v>347</v>
      </c>
      <c r="G734" s="46" t="s">
        <v>202</v>
      </c>
      <c r="H734" s="46">
        <v>348</v>
      </c>
      <c r="I734" s="46" t="s">
        <v>202</v>
      </c>
      <c r="J734" s="48">
        <v>348</v>
      </c>
      <c r="K734">
        <v>0</v>
      </c>
      <c r="L734" t="s">
        <v>215</v>
      </c>
    </row>
    <row r="735" spans="1:12" ht="19.899999999999999" customHeight="1" x14ac:dyDescent="0.25">
      <c r="A735" t="str">
        <f t="shared" si="11"/>
        <v>9GE2</v>
      </c>
      <c r="B735" s="46" t="s">
        <v>874</v>
      </c>
      <c r="C735" s="46" t="s">
        <v>877</v>
      </c>
      <c r="D735" s="46">
        <v>0</v>
      </c>
      <c r="E735" s="46" t="s">
        <v>215</v>
      </c>
      <c r="F735" s="46">
        <v>0</v>
      </c>
      <c r="G735" s="46" t="s">
        <v>215</v>
      </c>
      <c r="H735" s="46">
        <v>0</v>
      </c>
      <c r="I735" s="46" t="s">
        <v>215</v>
      </c>
      <c r="J735" s="48">
        <v>0</v>
      </c>
      <c r="K735">
        <v>0</v>
      </c>
      <c r="L735" t="s">
        <v>215</v>
      </c>
    </row>
    <row r="736" spans="1:12" ht="19.899999999999999" customHeight="1" x14ac:dyDescent="0.25">
      <c r="A736" t="str">
        <f t="shared" si="11"/>
        <v>9GE3</v>
      </c>
      <c r="B736" s="46" t="s">
        <v>874</v>
      </c>
      <c r="C736" s="46" t="s">
        <v>878</v>
      </c>
      <c r="D736" s="46">
        <v>0</v>
      </c>
      <c r="E736" s="46" t="s">
        <v>215</v>
      </c>
      <c r="F736" s="46">
        <v>0</v>
      </c>
      <c r="G736" s="46" t="s">
        <v>215</v>
      </c>
      <c r="H736" s="46">
        <v>0</v>
      </c>
      <c r="I736" s="46" t="s">
        <v>215</v>
      </c>
      <c r="J736" s="48">
        <v>0</v>
      </c>
      <c r="K736">
        <v>0</v>
      </c>
      <c r="L736" t="s">
        <v>215</v>
      </c>
    </row>
    <row r="737" spans="1:12" ht="19.899999999999999" customHeight="1" x14ac:dyDescent="0.25">
      <c r="A737" t="str">
        <f t="shared" si="11"/>
        <v>9G#3DTR(B)</v>
      </c>
      <c r="B737" s="46" t="s">
        <v>874</v>
      </c>
      <c r="C737" s="46" t="s">
        <v>384</v>
      </c>
      <c r="D737" s="46">
        <v>681</v>
      </c>
      <c r="E737" s="46" t="s">
        <v>204</v>
      </c>
      <c r="F737" s="46">
        <v>681</v>
      </c>
      <c r="G737" s="46" t="s">
        <v>204</v>
      </c>
      <c r="H737" s="46">
        <v>682</v>
      </c>
      <c r="I737" s="46" t="s">
        <v>204</v>
      </c>
      <c r="J737" s="48">
        <v>682</v>
      </c>
      <c r="K737" t="s">
        <v>196</v>
      </c>
      <c r="L737" t="s">
        <v>196</v>
      </c>
    </row>
    <row r="738" spans="1:12" ht="19.899999999999999" customHeight="1" x14ac:dyDescent="0.25">
      <c r="A738" t="str">
        <f t="shared" si="11"/>
        <v>9GE4</v>
      </c>
      <c r="B738" s="46" t="s">
        <v>874</v>
      </c>
      <c r="C738" s="46" t="s">
        <v>879</v>
      </c>
      <c r="D738" s="46">
        <v>348</v>
      </c>
      <c r="E738" s="46" t="s">
        <v>199</v>
      </c>
      <c r="F738" s="46">
        <v>348</v>
      </c>
      <c r="G738" s="46" t="s">
        <v>199</v>
      </c>
      <c r="H738" s="46">
        <v>348</v>
      </c>
      <c r="I738" s="46" t="s">
        <v>199</v>
      </c>
      <c r="J738" s="48">
        <v>348</v>
      </c>
      <c r="K738">
        <v>3</v>
      </c>
      <c r="L738" t="s">
        <v>204</v>
      </c>
    </row>
    <row r="739" spans="1:12" ht="19.899999999999999" customHeight="1" x14ac:dyDescent="0.25">
      <c r="A739" t="str">
        <f t="shared" si="11"/>
        <v>9GE5</v>
      </c>
      <c r="B739" s="46" t="s">
        <v>874</v>
      </c>
      <c r="C739" s="46" t="s">
        <v>880</v>
      </c>
      <c r="D739" s="46">
        <v>334</v>
      </c>
      <c r="E739" s="46" t="s">
        <v>227</v>
      </c>
      <c r="F739" s="46">
        <v>334</v>
      </c>
      <c r="G739" s="46" t="s">
        <v>227</v>
      </c>
      <c r="H739" s="46">
        <v>335</v>
      </c>
      <c r="I739" s="46" t="s">
        <v>227</v>
      </c>
      <c r="J739" s="48">
        <v>335</v>
      </c>
      <c r="K739">
        <v>0</v>
      </c>
      <c r="L739" t="s">
        <v>215</v>
      </c>
    </row>
    <row r="740" spans="1:12" ht="19.899999999999999" customHeight="1" x14ac:dyDescent="0.25">
      <c r="A740" t="str">
        <f t="shared" si="11"/>
        <v>9GE6</v>
      </c>
      <c r="B740" s="46" t="s">
        <v>874</v>
      </c>
      <c r="C740" s="46" t="s">
        <v>881</v>
      </c>
      <c r="D740" s="46">
        <v>0</v>
      </c>
      <c r="E740" s="46" t="s">
        <v>215</v>
      </c>
      <c r="F740" s="46">
        <v>0</v>
      </c>
      <c r="G740" s="46" t="s">
        <v>215</v>
      </c>
      <c r="H740" s="46">
        <v>0</v>
      </c>
      <c r="I740" s="46" t="s">
        <v>215</v>
      </c>
      <c r="J740" s="48">
        <v>0</v>
      </c>
      <c r="K740">
        <v>0</v>
      </c>
      <c r="L740" t="s">
        <v>215</v>
      </c>
    </row>
    <row r="741" spans="1:12" ht="19.899999999999999" customHeight="1" x14ac:dyDescent="0.25">
      <c r="A741" t="str">
        <f t="shared" si="11"/>
        <v>9GE7</v>
      </c>
      <c r="B741" s="46" t="s">
        <v>874</v>
      </c>
      <c r="C741" s="46" t="s">
        <v>882</v>
      </c>
      <c r="D741" s="46">
        <v>0</v>
      </c>
      <c r="E741" s="46" t="s">
        <v>215</v>
      </c>
      <c r="F741" s="46">
        <v>0</v>
      </c>
      <c r="G741" s="46" t="s">
        <v>215</v>
      </c>
      <c r="H741" s="46">
        <v>0</v>
      </c>
      <c r="I741" s="46" t="s">
        <v>215</v>
      </c>
      <c r="J741" s="48">
        <v>0</v>
      </c>
      <c r="K741">
        <v>0</v>
      </c>
      <c r="L741" t="s">
        <v>215</v>
      </c>
    </row>
    <row r="742" spans="1:12" ht="19.899999999999999" customHeight="1" x14ac:dyDescent="0.25">
      <c r="A742" t="str">
        <f t="shared" si="11"/>
        <v>9G#1DTR(A)</v>
      </c>
      <c r="B742" s="46" t="s">
        <v>874</v>
      </c>
      <c r="C742" s="46" t="s">
        <v>272</v>
      </c>
      <c r="D742" s="46">
        <v>267</v>
      </c>
      <c r="E742" s="46" t="s">
        <v>195</v>
      </c>
      <c r="F742" s="46">
        <v>256</v>
      </c>
      <c r="G742" s="46" t="s">
        <v>195</v>
      </c>
      <c r="H742" s="46">
        <v>322</v>
      </c>
      <c r="I742" s="46" t="s">
        <v>195</v>
      </c>
      <c r="J742" s="48">
        <v>322</v>
      </c>
      <c r="K742" t="s">
        <v>196</v>
      </c>
      <c r="L742" t="s">
        <v>196</v>
      </c>
    </row>
    <row r="743" spans="1:12" ht="19.899999999999999" customHeight="1" x14ac:dyDescent="0.25">
      <c r="A743" t="str">
        <f t="shared" si="11"/>
        <v>9G20</v>
      </c>
      <c r="B743" s="46" t="s">
        <v>874</v>
      </c>
      <c r="C743" s="46" t="s">
        <v>883</v>
      </c>
      <c r="D743" s="46">
        <v>70</v>
      </c>
      <c r="E743" s="46" t="s">
        <v>213</v>
      </c>
      <c r="F743" s="46">
        <v>82</v>
      </c>
      <c r="G743" s="46" t="s">
        <v>213</v>
      </c>
      <c r="H743" s="46">
        <v>54</v>
      </c>
      <c r="I743" s="46" t="s">
        <v>213</v>
      </c>
      <c r="J743" s="48">
        <v>82</v>
      </c>
      <c r="K743">
        <v>55</v>
      </c>
      <c r="L743" t="s">
        <v>227</v>
      </c>
    </row>
    <row r="744" spans="1:12" ht="19.899999999999999" customHeight="1" x14ac:dyDescent="0.25">
      <c r="A744" t="str">
        <f t="shared" si="11"/>
        <v>9G21</v>
      </c>
      <c r="B744" s="46" t="s">
        <v>874</v>
      </c>
      <c r="C744" s="46" t="s">
        <v>884</v>
      </c>
      <c r="D744" s="46">
        <v>26</v>
      </c>
      <c r="E744" s="46" t="s">
        <v>195</v>
      </c>
      <c r="F744" s="46">
        <v>24</v>
      </c>
      <c r="G744" s="46" t="s">
        <v>195</v>
      </c>
      <c r="H744" s="46">
        <v>27</v>
      </c>
      <c r="I744" s="46" t="s">
        <v>195</v>
      </c>
      <c r="J744" s="48">
        <v>27</v>
      </c>
      <c r="K744">
        <v>6</v>
      </c>
      <c r="L744" t="s">
        <v>227</v>
      </c>
    </row>
    <row r="745" spans="1:12" ht="19.899999999999999" customHeight="1" x14ac:dyDescent="0.25">
      <c r="A745" t="str">
        <f t="shared" si="11"/>
        <v>9G22</v>
      </c>
      <c r="B745" s="46" t="s">
        <v>874</v>
      </c>
      <c r="C745" s="46" t="s">
        <v>885</v>
      </c>
      <c r="D745" s="46">
        <v>114</v>
      </c>
      <c r="E745" s="46" t="s">
        <v>198</v>
      </c>
      <c r="F745" s="46">
        <v>126</v>
      </c>
      <c r="G745" s="46" t="s">
        <v>235</v>
      </c>
      <c r="H745" s="46">
        <v>136</v>
      </c>
      <c r="I745" s="46" t="s">
        <v>235</v>
      </c>
      <c r="J745" s="48">
        <v>136</v>
      </c>
      <c r="K745">
        <v>37</v>
      </c>
      <c r="L745" t="s">
        <v>235</v>
      </c>
    </row>
    <row r="746" spans="1:12" ht="19.899999999999999" customHeight="1" x14ac:dyDescent="0.25">
      <c r="A746" t="str">
        <f t="shared" si="11"/>
        <v>9G23</v>
      </c>
      <c r="B746" s="46" t="s">
        <v>874</v>
      </c>
      <c r="C746" s="46" t="s">
        <v>886</v>
      </c>
      <c r="D746" s="46">
        <v>113</v>
      </c>
      <c r="E746" s="46" t="s">
        <v>200</v>
      </c>
      <c r="F746" s="46">
        <v>95</v>
      </c>
      <c r="G746" s="46" t="s">
        <v>222</v>
      </c>
      <c r="H746" s="46">
        <v>99</v>
      </c>
      <c r="I746" s="46" t="s">
        <v>200</v>
      </c>
      <c r="J746" s="48">
        <v>113</v>
      </c>
      <c r="K746">
        <v>28</v>
      </c>
      <c r="L746" t="s">
        <v>277</v>
      </c>
    </row>
    <row r="747" spans="1:12" ht="19.899999999999999" customHeight="1" x14ac:dyDescent="0.25">
      <c r="A747" t="str">
        <f t="shared" si="11"/>
        <v>9G24</v>
      </c>
      <c r="B747" s="46" t="s">
        <v>874</v>
      </c>
      <c r="C747" s="46" t="s">
        <v>887</v>
      </c>
      <c r="D747" s="46">
        <v>48</v>
      </c>
      <c r="E747" s="46" t="s">
        <v>200</v>
      </c>
      <c r="F747" s="46">
        <v>39</v>
      </c>
      <c r="G747" s="46" t="s">
        <v>231</v>
      </c>
      <c r="H747" s="46">
        <v>44</v>
      </c>
      <c r="I747" s="46" t="s">
        <v>195</v>
      </c>
      <c r="J747" s="48">
        <v>48</v>
      </c>
      <c r="K747">
        <v>42</v>
      </c>
      <c r="L747" t="s">
        <v>200</v>
      </c>
    </row>
    <row r="748" spans="1:12" ht="19.899999999999999" customHeight="1" x14ac:dyDescent="0.25">
      <c r="A748" t="str">
        <f t="shared" si="11"/>
        <v>9G#1DTR(B)</v>
      </c>
      <c r="B748" s="46" t="s">
        <v>874</v>
      </c>
      <c r="C748" s="46" t="s">
        <v>279</v>
      </c>
      <c r="D748" s="46">
        <v>805</v>
      </c>
      <c r="E748" s="46" t="s">
        <v>222</v>
      </c>
      <c r="F748" s="46">
        <v>844</v>
      </c>
      <c r="G748" s="46" t="s">
        <v>222</v>
      </c>
      <c r="H748" s="46">
        <v>790</v>
      </c>
      <c r="I748" s="46" t="s">
        <v>222</v>
      </c>
      <c r="J748" s="48">
        <v>844</v>
      </c>
      <c r="K748" t="s">
        <v>196</v>
      </c>
      <c r="L748" t="s">
        <v>196</v>
      </c>
    </row>
    <row r="749" spans="1:12" ht="19.899999999999999" customHeight="1" x14ac:dyDescent="0.25">
      <c r="A749" t="str">
        <f t="shared" si="11"/>
        <v>9G25</v>
      </c>
      <c r="B749" s="46" t="s">
        <v>874</v>
      </c>
      <c r="C749" s="46" t="s">
        <v>888</v>
      </c>
      <c r="D749" s="46">
        <v>62</v>
      </c>
      <c r="E749" s="46" t="s">
        <v>222</v>
      </c>
      <c r="F749" s="46">
        <v>55</v>
      </c>
      <c r="G749" s="46" t="s">
        <v>222</v>
      </c>
      <c r="H749" s="46">
        <v>52</v>
      </c>
      <c r="I749" s="46" t="s">
        <v>222</v>
      </c>
      <c r="J749" s="48">
        <v>62</v>
      </c>
      <c r="K749">
        <v>29</v>
      </c>
      <c r="L749" t="s">
        <v>218</v>
      </c>
    </row>
    <row r="750" spans="1:12" ht="19.899999999999999" customHeight="1" x14ac:dyDescent="0.25">
      <c r="A750" t="str">
        <f t="shared" si="11"/>
        <v>9G26</v>
      </c>
      <c r="B750" s="46" t="s">
        <v>874</v>
      </c>
      <c r="C750" s="46" t="s">
        <v>889</v>
      </c>
      <c r="D750" s="46">
        <v>114</v>
      </c>
      <c r="E750" s="46" t="s">
        <v>222</v>
      </c>
      <c r="F750" s="46">
        <v>141</v>
      </c>
      <c r="G750" s="46" t="s">
        <v>222</v>
      </c>
      <c r="H750" s="46">
        <v>123</v>
      </c>
      <c r="I750" s="46" t="s">
        <v>222</v>
      </c>
      <c r="J750" s="48">
        <v>141</v>
      </c>
      <c r="K750">
        <v>44</v>
      </c>
      <c r="L750" t="s">
        <v>195</v>
      </c>
    </row>
    <row r="751" spans="1:12" ht="19.899999999999999" customHeight="1" x14ac:dyDescent="0.25">
      <c r="A751" t="str">
        <f t="shared" si="11"/>
        <v>9G27</v>
      </c>
      <c r="B751" s="46" t="s">
        <v>874</v>
      </c>
      <c r="C751" s="46" t="s">
        <v>890</v>
      </c>
      <c r="D751" s="46">
        <v>6</v>
      </c>
      <c r="E751" s="46" t="s">
        <v>222</v>
      </c>
      <c r="F751" s="46">
        <v>0</v>
      </c>
      <c r="G751" s="46" t="s">
        <v>215</v>
      </c>
      <c r="H751" s="46">
        <v>6</v>
      </c>
      <c r="I751" s="46" t="s">
        <v>222</v>
      </c>
      <c r="J751" s="48">
        <v>6</v>
      </c>
      <c r="K751">
        <v>11</v>
      </c>
      <c r="L751" t="s">
        <v>222</v>
      </c>
    </row>
    <row r="752" spans="1:12" ht="19.899999999999999" customHeight="1" x14ac:dyDescent="0.25">
      <c r="A752" t="str">
        <f t="shared" si="11"/>
        <v>9G28</v>
      </c>
      <c r="B752" s="46" t="s">
        <v>874</v>
      </c>
      <c r="C752" s="46" t="s">
        <v>891</v>
      </c>
      <c r="D752" s="46">
        <v>189</v>
      </c>
      <c r="E752" s="46" t="s">
        <v>222</v>
      </c>
      <c r="F752" s="46">
        <v>190</v>
      </c>
      <c r="G752" s="46" t="s">
        <v>200</v>
      </c>
      <c r="H752" s="46">
        <v>180</v>
      </c>
      <c r="I752" s="46" t="s">
        <v>222</v>
      </c>
      <c r="J752" s="48">
        <v>190</v>
      </c>
      <c r="K752">
        <v>30</v>
      </c>
      <c r="L752" t="s">
        <v>235</v>
      </c>
    </row>
    <row r="753" spans="1:12" ht="19.899999999999999" customHeight="1" x14ac:dyDescent="0.25">
      <c r="A753" t="str">
        <f t="shared" si="11"/>
        <v>9G29</v>
      </c>
      <c r="B753" s="46" t="s">
        <v>874</v>
      </c>
      <c r="C753" s="46" t="s">
        <v>892</v>
      </c>
      <c r="D753" s="46">
        <v>0</v>
      </c>
      <c r="E753" s="46" t="s">
        <v>215</v>
      </c>
      <c r="F753" s="46">
        <v>0</v>
      </c>
      <c r="G753" s="46" t="s">
        <v>215</v>
      </c>
      <c r="H753" s="46">
        <v>0</v>
      </c>
      <c r="I753" s="46" t="s">
        <v>215</v>
      </c>
      <c r="J753" s="48">
        <v>0</v>
      </c>
      <c r="K753">
        <v>0</v>
      </c>
      <c r="L753" t="s">
        <v>215</v>
      </c>
    </row>
    <row r="754" spans="1:12" ht="19.899999999999999" customHeight="1" x14ac:dyDescent="0.25">
      <c r="A754" t="str">
        <f t="shared" si="11"/>
        <v>9GE8</v>
      </c>
      <c r="B754" s="46" t="s">
        <v>874</v>
      </c>
      <c r="C754" s="46" t="s">
        <v>893</v>
      </c>
      <c r="D754" s="46">
        <v>484</v>
      </c>
      <c r="E754" s="46" t="s">
        <v>202</v>
      </c>
      <c r="F754" s="46">
        <v>483</v>
      </c>
      <c r="G754" s="46" t="s">
        <v>202</v>
      </c>
      <c r="H754" s="46">
        <v>483</v>
      </c>
      <c r="I754" s="46" t="s">
        <v>202</v>
      </c>
      <c r="J754" s="48">
        <v>484</v>
      </c>
      <c r="K754">
        <v>0</v>
      </c>
      <c r="L754" t="s">
        <v>215</v>
      </c>
    </row>
    <row r="755" spans="1:12" ht="19.899999999999999" customHeight="1" x14ac:dyDescent="0.25">
      <c r="A755" t="str">
        <f t="shared" si="11"/>
        <v>9G#2DTR(A)</v>
      </c>
      <c r="B755" s="46" t="s">
        <v>874</v>
      </c>
      <c r="C755" s="46" t="s">
        <v>289</v>
      </c>
      <c r="D755" s="46">
        <v>444</v>
      </c>
      <c r="E755" s="46" t="s">
        <v>206</v>
      </c>
      <c r="F755" s="46">
        <v>426</v>
      </c>
      <c r="G755" s="46" t="s">
        <v>206</v>
      </c>
      <c r="H755" s="46">
        <v>474</v>
      </c>
      <c r="I755" s="46" t="s">
        <v>206</v>
      </c>
      <c r="J755" s="48">
        <v>474</v>
      </c>
      <c r="K755" t="s">
        <v>196</v>
      </c>
      <c r="L755" t="s">
        <v>196</v>
      </c>
    </row>
    <row r="756" spans="1:12" ht="19.899999999999999" customHeight="1" x14ac:dyDescent="0.25">
      <c r="A756" t="str">
        <f t="shared" si="11"/>
        <v>9G30</v>
      </c>
      <c r="B756" s="46" t="s">
        <v>874</v>
      </c>
      <c r="C756" s="46" t="s">
        <v>894</v>
      </c>
      <c r="D756" s="46">
        <v>89</v>
      </c>
      <c r="E756" s="46" t="s">
        <v>195</v>
      </c>
      <c r="F756" s="46">
        <v>74</v>
      </c>
      <c r="G756" s="46" t="s">
        <v>195</v>
      </c>
      <c r="H756" s="46">
        <v>77</v>
      </c>
      <c r="I756" s="46" t="s">
        <v>206</v>
      </c>
      <c r="J756" s="48">
        <v>89</v>
      </c>
      <c r="K756">
        <v>43</v>
      </c>
      <c r="L756" t="s">
        <v>213</v>
      </c>
    </row>
    <row r="757" spans="1:12" ht="19.899999999999999" customHeight="1" x14ac:dyDescent="0.25">
      <c r="A757" t="str">
        <f t="shared" si="11"/>
        <v>9G31</v>
      </c>
      <c r="B757" s="46" t="s">
        <v>874</v>
      </c>
      <c r="C757" s="46" t="s">
        <v>895</v>
      </c>
      <c r="D757" s="46">
        <v>49</v>
      </c>
      <c r="E757" s="46" t="s">
        <v>222</v>
      </c>
      <c r="F757" s="46">
        <v>55</v>
      </c>
      <c r="G757" s="46" t="s">
        <v>222</v>
      </c>
      <c r="H757" s="46">
        <v>42</v>
      </c>
      <c r="I757" s="46" t="s">
        <v>222</v>
      </c>
      <c r="J757" s="48">
        <v>55</v>
      </c>
      <c r="K757">
        <v>33</v>
      </c>
      <c r="L757" t="s">
        <v>302</v>
      </c>
    </row>
    <row r="758" spans="1:12" ht="19.899999999999999" customHeight="1" x14ac:dyDescent="0.25">
      <c r="A758" t="str">
        <f t="shared" si="11"/>
        <v>9G32</v>
      </c>
      <c r="B758" s="46" t="s">
        <v>874</v>
      </c>
      <c r="C758" s="46" t="s">
        <v>896</v>
      </c>
      <c r="D758" s="46">
        <v>98</v>
      </c>
      <c r="E758" s="46" t="s">
        <v>199</v>
      </c>
      <c r="F758" s="46">
        <v>117</v>
      </c>
      <c r="G758" s="46" t="s">
        <v>199</v>
      </c>
      <c r="H758" s="46">
        <v>129</v>
      </c>
      <c r="I758" s="46" t="s">
        <v>199</v>
      </c>
      <c r="J758" s="48">
        <v>129</v>
      </c>
      <c r="K758">
        <v>56</v>
      </c>
      <c r="L758" t="s">
        <v>213</v>
      </c>
    </row>
    <row r="759" spans="1:12" ht="19.899999999999999" customHeight="1" x14ac:dyDescent="0.25">
      <c r="A759" t="str">
        <f t="shared" si="11"/>
        <v>9G33</v>
      </c>
      <c r="B759" s="46" t="s">
        <v>874</v>
      </c>
      <c r="C759" s="46" t="s">
        <v>897</v>
      </c>
      <c r="D759" s="46">
        <v>124</v>
      </c>
      <c r="E759" s="46" t="s">
        <v>198</v>
      </c>
      <c r="F759" s="46">
        <v>116</v>
      </c>
      <c r="G759" s="46" t="s">
        <v>198</v>
      </c>
      <c r="H759" s="46">
        <v>147</v>
      </c>
      <c r="I759" s="46" t="s">
        <v>198</v>
      </c>
      <c r="J759" s="48">
        <v>147</v>
      </c>
      <c r="K759">
        <v>37</v>
      </c>
      <c r="L759" t="s">
        <v>202</v>
      </c>
    </row>
    <row r="760" spans="1:12" ht="19.899999999999999" customHeight="1" x14ac:dyDescent="0.25">
      <c r="A760" t="str">
        <f t="shared" si="11"/>
        <v>9G34</v>
      </c>
      <c r="B760" s="46" t="s">
        <v>874</v>
      </c>
      <c r="C760" s="46" t="s">
        <v>898</v>
      </c>
      <c r="D760" s="46">
        <v>156</v>
      </c>
      <c r="E760" s="46" t="s">
        <v>195</v>
      </c>
      <c r="F760" s="46">
        <v>156</v>
      </c>
      <c r="G760" s="46" t="s">
        <v>199</v>
      </c>
      <c r="H760" s="46">
        <v>151</v>
      </c>
      <c r="I760" s="46" t="s">
        <v>195</v>
      </c>
      <c r="J760" s="48">
        <v>156</v>
      </c>
      <c r="K760">
        <v>56</v>
      </c>
      <c r="L760" t="s">
        <v>231</v>
      </c>
    </row>
    <row r="761" spans="1:12" ht="19.899999999999999" customHeight="1" x14ac:dyDescent="0.25">
      <c r="A761" t="str">
        <f t="shared" si="11"/>
        <v>9G#2DTR(B)</v>
      </c>
      <c r="B761" s="46" t="s">
        <v>874</v>
      </c>
      <c r="C761" s="46" t="s">
        <v>300</v>
      </c>
      <c r="D761" s="46">
        <v>762</v>
      </c>
      <c r="E761" s="46" t="s">
        <v>213</v>
      </c>
      <c r="F761" s="46">
        <v>748</v>
      </c>
      <c r="G761" s="46" t="s">
        <v>213</v>
      </c>
      <c r="H761" s="46">
        <v>742</v>
      </c>
      <c r="I761" s="46" t="s">
        <v>213</v>
      </c>
      <c r="J761" s="48">
        <v>762</v>
      </c>
      <c r="K761" t="s">
        <v>196</v>
      </c>
      <c r="L761" t="s">
        <v>196</v>
      </c>
    </row>
    <row r="762" spans="1:12" ht="19.899999999999999" customHeight="1" x14ac:dyDescent="0.25">
      <c r="A762" t="str">
        <f t="shared" si="11"/>
        <v>9G35</v>
      </c>
      <c r="B762" s="46" t="s">
        <v>874</v>
      </c>
      <c r="C762" s="46" t="s">
        <v>899</v>
      </c>
      <c r="D762" s="46">
        <v>193</v>
      </c>
      <c r="E762" s="46" t="s">
        <v>204</v>
      </c>
      <c r="F762" s="46">
        <v>177</v>
      </c>
      <c r="G762" s="46" t="s">
        <v>199</v>
      </c>
      <c r="H762" s="46">
        <v>151</v>
      </c>
      <c r="I762" s="46" t="s">
        <v>199</v>
      </c>
      <c r="J762" s="48">
        <v>193</v>
      </c>
      <c r="K762">
        <v>57</v>
      </c>
      <c r="L762" t="s">
        <v>204</v>
      </c>
    </row>
    <row r="763" spans="1:12" ht="19.899999999999999" customHeight="1" x14ac:dyDescent="0.25">
      <c r="A763" t="str">
        <f t="shared" si="11"/>
        <v>9G36</v>
      </c>
      <c r="B763" s="46" t="s">
        <v>874</v>
      </c>
      <c r="C763" s="46" t="s">
        <v>900</v>
      </c>
      <c r="D763" s="46">
        <v>33</v>
      </c>
      <c r="E763" s="46" t="s">
        <v>277</v>
      </c>
      <c r="F763" s="46">
        <v>53</v>
      </c>
      <c r="G763" s="46" t="s">
        <v>195</v>
      </c>
      <c r="H763" s="46">
        <v>63</v>
      </c>
      <c r="I763" s="46" t="s">
        <v>195</v>
      </c>
      <c r="J763" s="48">
        <v>63</v>
      </c>
      <c r="K763">
        <v>54</v>
      </c>
      <c r="L763" t="s">
        <v>302</v>
      </c>
    </row>
    <row r="764" spans="1:12" ht="19.899999999999999" customHeight="1" x14ac:dyDescent="0.25">
      <c r="A764" t="str">
        <f t="shared" si="11"/>
        <v>9G37</v>
      </c>
      <c r="B764" s="46" t="s">
        <v>874</v>
      </c>
      <c r="C764" s="46" t="s">
        <v>901</v>
      </c>
      <c r="D764" s="46">
        <v>226</v>
      </c>
      <c r="E764" s="46" t="s">
        <v>213</v>
      </c>
      <c r="F764" s="46">
        <v>214</v>
      </c>
      <c r="G764" s="46" t="s">
        <v>213</v>
      </c>
      <c r="H764" s="46">
        <v>216</v>
      </c>
      <c r="I764" s="46" t="s">
        <v>302</v>
      </c>
      <c r="J764" s="48">
        <v>226</v>
      </c>
      <c r="K764">
        <v>26</v>
      </c>
      <c r="L764" t="s">
        <v>224</v>
      </c>
    </row>
    <row r="765" spans="1:12" ht="19.899999999999999" customHeight="1" x14ac:dyDescent="0.25">
      <c r="A765" t="str">
        <f t="shared" si="11"/>
        <v>9G38</v>
      </c>
      <c r="B765" s="46" t="s">
        <v>874</v>
      </c>
      <c r="C765" s="46" t="s">
        <v>902</v>
      </c>
      <c r="D765" s="46">
        <v>336</v>
      </c>
      <c r="E765" s="46" t="s">
        <v>199</v>
      </c>
      <c r="F765" s="46">
        <v>333</v>
      </c>
      <c r="G765" s="46" t="s">
        <v>199</v>
      </c>
      <c r="H765" s="46">
        <v>313</v>
      </c>
      <c r="I765" s="46" t="s">
        <v>199</v>
      </c>
      <c r="J765" s="48">
        <v>336</v>
      </c>
      <c r="K765">
        <v>80</v>
      </c>
      <c r="L765" t="s">
        <v>195</v>
      </c>
    </row>
    <row r="766" spans="1:12" ht="19.899999999999999" customHeight="1" x14ac:dyDescent="0.25">
      <c r="A766" t="str">
        <f t="shared" si="11"/>
        <v>9G39</v>
      </c>
      <c r="B766" s="46" t="s">
        <v>874</v>
      </c>
      <c r="C766" s="46" t="s">
        <v>903</v>
      </c>
      <c r="D766" s="46">
        <v>228</v>
      </c>
      <c r="E766" s="46" t="s">
        <v>195</v>
      </c>
      <c r="F766" s="46">
        <v>203</v>
      </c>
      <c r="G766" s="46" t="s">
        <v>202</v>
      </c>
      <c r="H766" s="46">
        <v>231</v>
      </c>
      <c r="I766" s="46" t="s">
        <v>199</v>
      </c>
      <c r="J766" s="48">
        <v>231</v>
      </c>
      <c r="K766">
        <v>67</v>
      </c>
      <c r="L766" t="s">
        <v>204</v>
      </c>
    </row>
    <row r="767" spans="1:12" ht="19.899999999999999" customHeight="1" x14ac:dyDescent="0.25">
      <c r="A767" t="str">
        <f t="shared" si="11"/>
        <v>9GE9</v>
      </c>
      <c r="B767" s="46" t="s">
        <v>874</v>
      </c>
      <c r="C767" s="46" t="s">
        <v>904</v>
      </c>
      <c r="D767" s="46">
        <v>340</v>
      </c>
      <c r="E767" s="46" t="s">
        <v>199</v>
      </c>
      <c r="F767" s="46">
        <v>340</v>
      </c>
      <c r="G767" s="46" t="s">
        <v>199</v>
      </c>
      <c r="H767" s="46">
        <v>339</v>
      </c>
      <c r="I767" s="46" t="s">
        <v>199</v>
      </c>
      <c r="J767" s="48">
        <v>340</v>
      </c>
      <c r="K767">
        <v>0</v>
      </c>
      <c r="L767" t="s">
        <v>215</v>
      </c>
    </row>
    <row r="768" spans="1:12" ht="19.899999999999999" customHeight="1" x14ac:dyDescent="0.25">
      <c r="A768" t="str">
        <f t="shared" si="11"/>
        <v>IP#1MTR</v>
      </c>
      <c r="B768" s="46" t="s">
        <v>905</v>
      </c>
      <c r="C768" s="46" t="s">
        <v>194</v>
      </c>
      <c r="D768" s="46">
        <v>710</v>
      </c>
      <c r="E768" s="46" t="s">
        <v>200</v>
      </c>
      <c r="F768" s="46">
        <v>711</v>
      </c>
      <c r="G768" s="46" t="s">
        <v>200</v>
      </c>
      <c r="H768" s="46">
        <v>700</v>
      </c>
      <c r="I768" s="46" t="s">
        <v>200</v>
      </c>
      <c r="J768" s="48">
        <v>711</v>
      </c>
      <c r="K768" t="s">
        <v>196</v>
      </c>
      <c r="L768" t="s">
        <v>196</v>
      </c>
    </row>
    <row r="769" spans="1:12" ht="19.899999999999999" customHeight="1" x14ac:dyDescent="0.25">
      <c r="A769" t="str">
        <f t="shared" si="11"/>
        <v>IP29</v>
      </c>
      <c r="B769" s="46" t="s">
        <v>905</v>
      </c>
      <c r="C769" s="46" t="s">
        <v>906</v>
      </c>
      <c r="D769" s="46">
        <v>163</v>
      </c>
      <c r="E769" s="46" t="s">
        <v>195</v>
      </c>
      <c r="F769" s="46">
        <v>155</v>
      </c>
      <c r="G769" s="46" t="s">
        <v>195</v>
      </c>
      <c r="H769" s="46">
        <v>149</v>
      </c>
      <c r="I769" s="46" t="s">
        <v>206</v>
      </c>
      <c r="J769" s="48">
        <v>163</v>
      </c>
      <c r="K769">
        <v>63</v>
      </c>
      <c r="L769" t="s">
        <v>204</v>
      </c>
    </row>
    <row r="770" spans="1:12" ht="19.899999999999999" customHeight="1" x14ac:dyDescent="0.25">
      <c r="A770" t="str">
        <f t="shared" si="11"/>
        <v>IP24</v>
      </c>
      <c r="B770" s="46" t="s">
        <v>905</v>
      </c>
      <c r="C770" s="46" t="s">
        <v>907</v>
      </c>
      <c r="D770" s="46">
        <v>115</v>
      </c>
      <c r="E770" s="46" t="s">
        <v>227</v>
      </c>
      <c r="F770" s="46">
        <v>115</v>
      </c>
      <c r="G770" s="46" t="s">
        <v>227</v>
      </c>
      <c r="H770" s="46">
        <v>123</v>
      </c>
      <c r="I770" s="46" t="s">
        <v>227</v>
      </c>
      <c r="J770" s="48">
        <v>123</v>
      </c>
      <c r="K770">
        <v>10</v>
      </c>
      <c r="L770" t="s">
        <v>218</v>
      </c>
    </row>
    <row r="771" spans="1:12" ht="19.899999999999999" customHeight="1" x14ac:dyDescent="0.25">
      <c r="A771" t="str">
        <f t="shared" si="11"/>
        <v>IP22</v>
      </c>
      <c r="B771" s="46" t="s">
        <v>905</v>
      </c>
      <c r="C771" s="46" t="s">
        <v>908</v>
      </c>
      <c r="D771" s="46">
        <v>188</v>
      </c>
      <c r="E771" s="46" t="s">
        <v>199</v>
      </c>
      <c r="F771" s="46">
        <v>182</v>
      </c>
      <c r="G771" s="46" t="s">
        <v>199</v>
      </c>
      <c r="H771" s="46">
        <v>174</v>
      </c>
      <c r="I771" s="46" t="s">
        <v>200</v>
      </c>
      <c r="J771" s="48">
        <v>188</v>
      </c>
      <c r="K771">
        <v>36</v>
      </c>
      <c r="L771" t="s">
        <v>206</v>
      </c>
    </row>
    <row r="772" spans="1:12" ht="19.899999999999999" customHeight="1" x14ac:dyDescent="0.25">
      <c r="A772" t="str">
        <f t="shared" ref="A772:A835" si="12">IF(COUNTIF(C772,"*TR*")&gt;0,SUBSTITUTE(RIGHT(B772,3) &amp; C772," ",""),MID(C772,FIND("(",C772)+1,4))</f>
        <v>IP21</v>
      </c>
      <c r="B772" s="46" t="s">
        <v>905</v>
      </c>
      <c r="C772" s="46" t="s">
        <v>909</v>
      </c>
      <c r="D772" s="46">
        <v>135</v>
      </c>
      <c r="E772" s="46" t="s">
        <v>199</v>
      </c>
      <c r="F772" s="46">
        <v>153</v>
      </c>
      <c r="G772" s="46" t="s">
        <v>199</v>
      </c>
      <c r="H772" s="46">
        <v>143</v>
      </c>
      <c r="I772" s="46" t="s">
        <v>200</v>
      </c>
      <c r="J772" s="48">
        <v>153</v>
      </c>
      <c r="K772">
        <v>39</v>
      </c>
      <c r="L772" t="s">
        <v>202</v>
      </c>
    </row>
    <row r="773" spans="1:12" ht="19.899999999999999" customHeight="1" x14ac:dyDescent="0.25">
      <c r="A773" t="str">
        <f t="shared" si="12"/>
        <v>IP20</v>
      </c>
      <c r="B773" s="46" t="s">
        <v>905</v>
      </c>
      <c r="C773" s="46" t="s">
        <v>910</v>
      </c>
      <c r="D773" s="46">
        <v>168</v>
      </c>
      <c r="E773" s="46" t="s">
        <v>200</v>
      </c>
      <c r="F773" s="46">
        <v>181</v>
      </c>
      <c r="G773" s="46" t="s">
        <v>200</v>
      </c>
      <c r="H773" s="46">
        <v>161</v>
      </c>
      <c r="I773" s="46" t="s">
        <v>200</v>
      </c>
      <c r="J773" s="48">
        <v>181</v>
      </c>
      <c r="K773">
        <v>30</v>
      </c>
      <c r="L773" t="s">
        <v>231</v>
      </c>
    </row>
    <row r="774" spans="1:12" ht="19.899999999999999" customHeight="1" x14ac:dyDescent="0.25">
      <c r="A774" t="str">
        <f t="shared" si="12"/>
        <v>IP#2MTR</v>
      </c>
      <c r="B774" s="46" t="s">
        <v>905</v>
      </c>
      <c r="C774" s="46" t="s">
        <v>209</v>
      </c>
      <c r="D774" s="46">
        <v>773</v>
      </c>
      <c r="E774" s="46" t="s">
        <v>200</v>
      </c>
      <c r="F774" s="46">
        <v>791</v>
      </c>
      <c r="G774" s="46" t="s">
        <v>200</v>
      </c>
      <c r="H774" s="46">
        <v>797</v>
      </c>
      <c r="I774" s="46" t="s">
        <v>200</v>
      </c>
      <c r="J774" s="48">
        <v>797</v>
      </c>
      <c r="K774" t="s">
        <v>196</v>
      </c>
      <c r="L774" t="s">
        <v>196</v>
      </c>
    </row>
    <row r="775" spans="1:12" ht="19.899999999999999" customHeight="1" x14ac:dyDescent="0.25">
      <c r="A775" t="str">
        <f t="shared" si="12"/>
        <v>IP31</v>
      </c>
      <c r="B775" s="46" t="s">
        <v>905</v>
      </c>
      <c r="C775" s="46" t="s">
        <v>911</v>
      </c>
      <c r="D775" s="46">
        <v>228</v>
      </c>
      <c r="E775" s="46" t="s">
        <v>199</v>
      </c>
      <c r="F775" s="46">
        <v>246</v>
      </c>
      <c r="G775" s="46" t="s">
        <v>199</v>
      </c>
      <c r="H775" s="46">
        <v>261</v>
      </c>
      <c r="I775" s="46" t="s">
        <v>199</v>
      </c>
      <c r="J775" s="48">
        <v>261</v>
      </c>
      <c r="K775">
        <v>45</v>
      </c>
      <c r="L775" t="s">
        <v>218</v>
      </c>
    </row>
    <row r="776" spans="1:12" ht="19.899999999999999" customHeight="1" x14ac:dyDescent="0.25">
      <c r="A776" t="str">
        <f t="shared" si="12"/>
        <v>IP30</v>
      </c>
      <c r="B776" s="46" t="s">
        <v>905</v>
      </c>
      <c r="C776" s="46" t="s">
        <v>912</v>
      </c>
      <c r="D776" s="46">
        <v>164</v>
      </c>
      <c r="E776" s="46" t="s">
        <v>227</v>
      </c>
      <c r="F776" s="46">
        <v>170</v>
      </c>
      <c r="G776" s="46" t="s">
        <v>227</v>
      </c>
      <c r="H776" s="46">
        <v>169</v>
      </c>
      <c r="I776" s="46" t="s">
        <v>227</v>
      </c>
      <c r="J776" s="48">
        <v>170</v>
      </c>
      <c r="K776">
        <v>0</v>
      </c>
      <c r="L776" t="s">
        <v>215</v>
      </c>
    </row>
    <row r="777" spans="1:12" ht="19.899999999999999" customHeight="1" x14ac:dyDescent="0.25">
      <c r="A777" t="str">
        <f t="shared" si="12"/>
        <v>IP25</v>
      </c>
      <c r="B777" s="46" t="s">
        <v>905</v>
      </c>
      <c r="C777" s="46" t="s">
        <v>913</v>
      </c>
      <c r="D777" s="46">
        <v>190</v>
      </c>
      <c r="E777" s="46" t="s">
        <v>200</v>
      </c>
      <c r="F777" s="46">
        <v>196</v>
      </c>
      <c r="G777" s="46" t="s">
        <v>218</v>
      </c>
      <c r="H777" s="46">
        <v>197</v>
      </c>
      <c r="I777" s="46" t="s">
        <v>200</v>
      </c>
      <c r="J777" s="48">
        <v>197</v>
      </c>
      <c r="K777">
        <v>0</v>
      </c>
      <c r="L777" t="s">
        <v>215</v>
      </c>
    </row>
    <row r="778" spans="1:12" ht="19.899999999999999" customHeight="1" x14ac:dyDescent="0.25">
      <c r="A778" t="str">
        <f t="shared" si="12"/>
        <v>IP27</v>
      </c>
      <c r="B778" s="46" t="s">
        <v>905</v>
      </c>
      <c r="C778" s="46" t="s">
        <v>914</v>
      </c>
      <c r="D778" s="46">
        <v>154</v>
      </c>
      <c r="E778" s="46" t="s">
        <v>199</v>
      </c>
      <c r="F778" s="46">
        <v>148</v>
      </c>
      <c r="G778" s="46" t="s">
        <v>199</v>
      </c>
      <c r="H778" s="46">
        <v>148</v>
      </c>
      <c r="I778" s="46" t="s">
        <v>204</v>
      </c>
      <c r="J778" s="48">
        <v>154</v>
      </c>
      <c r="K778">
        <v>37</v>
      </c>
      <c r="L778" t="s">
        <v>293</v>
      </c>
    </row>
    <row r="779" spans="1:12" ht="19.899999999999999" customHeight="1" x14ac:dyDescent="0.25">
      <c r="A779" t="str">
        <f t="shared" si="12"/>
        <v>IP28</v>
      </c>
      <c r="B779" s="46" t="s">
        <v>905</v>
      </c>
      <c r="C779" s="46" t="s">
        <v>915</v>
      </c>
      <c r="D779" s="46">
        <v>108</v>
      </c>
      <c r="E779" s="46" t="s">
        <v>200</v>
      </c>
      <c r="F779" s="46">
        <v>102</v>
      </c>
      <c r="G779" s="46" t="s">
        <v>218</v>
      </c>
      <c r="H779" s="46">
        <v>92</v>
      </c>
      <c r="I779" s="46" t="s">
        <v>227</v>
      </c>
      <c r="J779" s="48">
        <v>108</v>
      </c>
      <c r="K779">
        <v>36</v>
      </c>
      <c r="L779" t="s">
        <v>200</v>
      </c>
    </row>
    <row r="780" spans="1:12" ht="19.899999999999999" customHeight="1" x14ac:dyDescent="0.25">
      <c r="A780" t="str">
        <f t="shared" si="12"/>
        <v>IP#3MTR</v>
      </c>
      <c r="B780" s="46" t="s">
        <v>905</v>
      </c>
      <c r="C780" s="46" t="s">
        <v>217</v>
      </c>
      <c r="D780" s="46">
        <v>741</v>
      </c>
      <c r="E780" s="46" t="s">
        <v>204</v>
      </c>
      <c r="F780" s="46">
        <v>760</v>
      </c>
      <c r="G780" s="46" t="s">
        <v>204</v>
      </c>
      <c r="H780" s="46">
        <v>789</v>
      </c>
      <c r="I780" s="46" t="s">
        <v>204</v>
      </c>
      <c r="J780" s="48">
        <v>789</v>
      </c>
      <c r="K780" t="s">
        <v>196</v>
      </c>
      <c r="L780" t="s">
        <v>196</v>
      </c>
    </row>
    <row r="781" spans="1:12" ht="19.899999999999999" customHeight="1" x14ac:dyDescent="0.25">
      <c r="A781" t="str">
        <f t="shared" si="12"/>
        <v>IP23</v>
      </c>
      <c r="B781" s="46" t="s">
        <v>905</v>
      </c>
      <c r="C781" s="46" t="s">
        <v>916</v>
      </c>
      <c r="D781" s="46">
        <v>120</v>
      </c>
      <c r="E781" s="46" t="s">
        <v>302</v>
      </c>
      <c r="F781" s="46">
        <v>121</v>
      </c>
      <c r="G781" s="46" t="s">
        <v>302</v>
      </c>
      <c r="H781" s="46">
        <v>119</v>
      </c>
      <c r="I781" s="46" t="s">
        <v>302</v>
      </c>
      <c r="J781" s="48">
        <v>121</v>
      </c>
      <c r="K781">
        <v>0</v>
      </c>
      <c r="L781" t="s">
        <v>215</v>
      </c>
    </row>
    <row r="782" spans="1:12" ht="19.899999999999999" customHeight="1" x14ac:dyDescent="0.25">
      <c r="A782" t="str">
        <f t="shared" si="12"/>
        <v>IP26</v>
      </c>
      <c r="B782" s="46" t="s">
        <v>905</v>
      </c>
      <c r="C782" s="46" t="s">
        <v>917</v>
      </c>
      <c r="D782" s="46">
        <v>121</v>
      </c>
      <c r="E782" s="46" t="s">
        <v>204</v>
      </c>
      <c r="F782" s="46">
        <v>128</v>
      </c>
      <c r="G782" s="46" t="s">
        <v>204</v>
      </c>
      <c r="H782" s="46">
        <v>130</v>
      </c>
      <c r="I782" s="46" t="s">
        <v>204</v>
      </c>
      <c r="J782" s="48">
        <v>130</v>
      </c>
      <c r="K782">
        <v>7</v>
      </c>
      <c r="L782" t="s">
        <v>200</v>
      </c>
    </row>
    <row r="783" spans="1:12" ht="19.899999999999999" customHeight="1" x14ac:dyDescent="0.25">
      <c r="A783" t="str">
        <f t="shared" si="12"/>
        <v>IP32</v>
      </c>
      <c r="B783" s="46" t="s">
        <v>905</v>
      </c>
      <c r="C783" s="46" t="s">
        <v>918</v>
      </c>
      <c r="D783" s="46">
        <v>283</v>
      </c>
      <c r="E783" s="46" t="s">
        <v>227</v>
      </c>
      <c r="F783" s="46">
        <v>280</v>
      </c>
      <c r="G783" s="46" t="s">
        <v>227</v>
      </c>
      <c r="H783" s="46">
        <v>281</v>
      </c>
      <c r="I783" s="46" t="s">
        <v>227</v>
      </c>
      <c r="J783" s="48">
        <v>283</v>
      </c>
      <c r="K783">
        <v>20</v>
      </c>
      <c r="L783" t="s">
        <v>204</v>
      </c>
    </row>
    <row r="784" spans="1:12" ht="19.899999999999999" customHeight="1" x14ac:dyDescent="0.25">
      <c r="A784" t="str">
        <f t="shared" si="12"/>
        <v>IP33</v>
      </c>
      <c r="B784" s="46" t="s">
        <v>905</v>
      </c>
      <c r="C784" s="46" t="s">
        <v>919</v>
      </c>
      <c r="D784" s="46">
        <v>189</v>
      </c>
      <c r="E784" s="46" t="s">
        <v>204</v>
      </c>
      <c r="F784" s="46">
        <v>186</v>
      </c>
      <c r="G784" s="46" t="s">
        <v>204</v>
      </c>
      <c r="H784" s="46">
        <v>198</v>
      </c>
      <c r="I784" s="46" t="s">
        <v>204</v>
      </c>
      <c r="J784" s="48">
        <v>198</v>
      </c>
      <c r="K784">
        <v>33</v>
      </c>
      <c r="L784" t="s">
        <v>206</v>
      </c>
    </row>
    <row r="785" spans="1:12" ht="19.899999999999999" customHeight="1" x14ac:dyDescent="0.25">
      <c r="A785" t="str">
        <f t="shared" si="12"/>
        <v>IP34</v>
      </c>
      <c r="B785" s="46" t="s">
        <v>905</v>
      </c>
      <c r="C785" s="46" t="s">
        <v>920</v>
      </c>
      <c r="D785" s="46">
        <v>109</v>
      </c>
      <c r="E785" s="46" t="s">
        <v>199</v>
      </c>
      <c r="F785" s="46">
        <v>118</v>
      </c>
      <c r="G785" s="46" t="s">
        <v>199</v>
      </c>
      <c r="H785" s="46">
        <v>135</v>
      </c>
      <c r="I785" s="46" t="s">
        <v>202</v>
      </c>
      <c r="J785" s="48">
        <v>135</v>
      </c>
      <c r="K785">
        <v>33</v>
      </c>
      <c r="L785" t="s">
        <v>198</v>
      </c>
    </row>
    <row r="786" spans="1:12" ht="19.899999999999999" customHeight="1" x14ac:dyDescent="0.25">
      <c r="A786" t="str">
        <f t="shared" si="12"/>
        <v>9I#1DTR(A)</v>
      </c>
      <c r="B786" s="46" t="s">
        <v>921</v>
      </c>
      <c r="C786" s="46" t="s">
        <v>272</v>
      </c>
      <c r="D786" s="46">
        <v>682</v>
      </c>
      <c r="E786" s="46" t="s">
        <v>199</v>
      </c>
      <c r="F786" s="46">
        <v>620</v>
      </c>
      <c r="G786" s="46" t="s">
        <v>199</v>
      </c>
      <c r="H786" s="46">
        <v>676</v>
      </c>
      <c r="I786" s="46" t="s">
        <v>199</v>
      </c>
      <c r="J786" s="48">
        <v>682</v>
      </c>
      <c r="K786" t="s">
        <v>196</v>
      </c>
      <c r="L786" t="s">
        <v>196</v>
      </c>
    </row>
    <row r="787" spans="1:12" ht="19.899999999999999" customHeight="1" x14ac:dyDescent="0.25">
      <c r="A787" t="str">
        <f t="shared" si="12"/>
        <v>9I20</v>
      </c>
      <c r="B787" s="46" t="s">
        <v>921</v>
      </c>
      <c r="C787" s="46" t="s">
        <v>922</v>
      </c>
      <c r="D787" s="46">
        <v>117</v>
      </c>
      <c r="E787" s="46" t="s">
        <v>195</v>
      </c>
      <c r="F787" s="46">
        <v>124</v>
      </c>
      <c r="G787" s="46" t="s">
        <v>235</v>
      </c>
      <c r="H787" s="46">
        <v>117</v>
      </c>
      <c r="I787" s="46" t="s">
        <v>198</v>
      </c>
      <c r="J787" s="48">
        <v>124</v>
      </c>
      <c r="K787">
        <v>26</v>
      </c>
      <c r="L787" t="s">
        <v>222</v>
      </c>
    </row>
    <row r="788" spans="1:12" ht="19.899999999999999" customHeight="1" x14ac:dyDescent="0.25">
      <c r="A788" t="str">
        <f t="shared" si="12"/>
        <v>9I21</v>
      </c>
      <c r="B788" s="46" t="s">
        <v>921</v>
      </c>
      <c r="C788" s="46" t="s">
        <v>923</v>
      </c>
      <c r="D788" s="46">
        <v>242</v>
      </c>
      <c r="E788" s="46" t="s">
        <v>199</v>
      </c>
      <c r="F788" s="46">
        <v>223</v>
      </c>
      <c r="G788" s="46" t="s">
        <v>199</v>
      </c>
      <c r="H788" s="46">
        <v>262</v>
      </c>
      <c r="I788" s="46" t="s">
        <v>204</v>
      </c>
      <c r="J788" s="48">
        <v>262</v>
      </c>
      <c r="K788">
        <v>50</v>
      </c>
      <c r="L788" t="s">
        <v>293</v>
      </c>
    </row>
    <row r="789" spans="1:12" ht="19.899999999999999" customHeight="1" x14ac:dyDescent="0.25">
      <c r="A789" t="str">
        <f t="shared" si="12"/>
        <v>9I22</v>
      </c>
      <c r="B789" s="46" t="s">
        <v>921</v>
      </c>
      <c r="C789" s="46" t="s">
        <v>924</v>
      </c>
      <c r="D789" s="46">
        <v>166</v>
      </c>
      <c r="E789" s="46" t="s">
        <v>199</v>
      </c>
      <c r="F789" s="46">
        <v>158</v>
      </c>
      <c r="G789" s="46" t="s">
        <v>199</v>
      </c>
      <c r="H789" s="46">
        <v>152</v>
      </c>
      <c r="I789" s="46" t="s">
        <v>195</v>
      </c>
      <c r="J789" s="48">
        <v>166</v>
      </c>
      <c r="K789">
        <v>48</v>
      </c>
      <c r="L789" t="s">
        <v>220</v>
      </c>
    </row>
    <row r="790" spans="1:12" ht="19.899999999999999" customHeight="1" x14ac:dyDescent="0.25">
      <c r="A790" t="str">
        <f t="shared" si="12"/>
        <v>9I23</v>
      </c>
      <c r="B790" s="46" t="s">
        <v>921</v>
      </c>
      <c r="C790" s="46" t="s">
        <v>925</v>
      </c>
      <c r="D790" s="46">
        <v>51</v>
      </c>
      <c r="E790" s="46" t="s">
        <v>199</v>
      </c>
      <c r="F790" s="46">
        <v>20</v>
      </c>
      <c r="G790" s="46" t="s">
        <v>199</v>
      </c>
      <c r="H790" s="46">
        <v>49</v>
      </c>
      <c r="I790" s="46" t="s">
        <v>199</v>
      </c>
      <c r="J790" s="48">
        <v>51</v>
      </c>
      <c r="K790">
        <v>58</v>
      </c>
      <c r="L790" t="s">
        <v>200</v>
      </c>
    </row>
    <row r="791" spans="1:12" ht="19.899999999999999" customHeight="1" x14ac:dyDescent="0.25">
      <c r="A791" t="str">
        <f t="shared" si="12"/>
        <v>9I24</v>
      </c>
      <c r="B791" s="46" t="s">
        <v>921</v>
      </c>
      <c r="C791" s="46" t="s">
        <v>926</v>
      </c>
      <c r="D791" s="46">
        <v>88</v>
      </c>
      <c r="E791" s="46" t="s">
        <v>198</v>
      </c>
      <c r="F791" s="46">
        <v>89</v>
      </c>
      <c r="G791" s="46" t="s">
        <v>198</v>
      </c>
      <c r="H791" s="46">
        <v>78</v>
      </c>
      <c r="I791" s="46" t="s">
        <v>198</v>
      </c>
      <c r="J791" s="48">
        <v>89</v>
      </c>
      <c r="K791">
        <v>24</v>
      </c>
      <c r="L791" t="s">
        <v>227</v>
      </c>
    </row>
    <row r="792" spans="1:12" ht="19.899999999999999" customHeight="1" x14ac:dyDescent="0.25">
      <c r="A792" t="str">
        <f t="shared" si="12"/>
        <v>9I25</v>
      </c>
      <c r="B792" s="46" t="s">
        <v>921</v>
      </c>
      <c r="C792" s="46" t="s">
        <v>927</v>
      </c>
      <c r="D792" s="46">
        <v>121</v>
      </c>
      <c r="E792" s="46" t="s">
        <v>195</v>
      </c>
      <c r="F792" s="46">
        <v>88</v>
      </c>
      <c r="G792" s="46" t="s">
        <v>195</v>
      </c>
      <c r="H792" s="46">
        <v>102</v>
      </c>
      <c r="I792" s="46" t="s">
        <v>206</v>
      </c>
      <c r="J792" s="48">
        <v>121</v>
      </c>
      <c r="K792">
        <v>54</v>
      </c>
      <c r="L792" t="s">
        <v>198</v>
      </c>
    </row>
    <row r="793" spans="1:12" ht="19.899999999999999" customHeight="1" x14ac:dyDescent="0.25">
      <c r="A793" t="str">
        <f t="shared" si="12"/>
        <v>9I#1DTR(B)</v>
      </c>
      <c r="B793" s="46" t="s">
        <v>921</v>
      </c>
      <c r="C793" s="46" t="s">
        <v>279</v>
      </c>
      <c r="D793" s="46">
        <v>460</v>
      </c>
      <c r="E793" s="46" t="s">
        <v>202</v>
      </c>
      <c r="F793" s="46">
        <v>447</v>
      </c>
      <c r="G793" s="46" t="s">
        <v>202</v>
      </c>
      <c r="H793" s="46">
        <v>488</v>
      </c>
      <c r="I793" s="46" t="s">
        <v>202</v>
      </c>
      <c r="J793" s="48">
        <v>488</v>
      </c>
      <c r="K793" t="s">
        <v>196</v>
      </c>
      <c r="L793" t="s">
        <v>196</v>
      </c>
    </row>
    <row r="794" spans="1:12" ht="19.899999999999999" customHeight="1" x14ac:dyDescent="0.25">
      <c r="A794" t="str">
        <f t="shared" si="12"/>
        <v>9I39</v>
      </c>
      <c r="B794" s="46" t="s">
        <v>921</v>
      </c>
      <c r="C794" s="46" t="s">
        <v>928</v>
      </c>
      <c r="D794" s="46">
        <v>72</v>
      </c>
      <c r="E794" s="46" t="s">
        <v>206</v>
      </c>
      <c r="F794" s="46">
        <v>76</v>
      </c>
      <c r="G794" s="46" t="s">
        <v>202</v>
      </c>
      <c r="H794" s="46">
        <v>78</v>
      </c>
      <c r="I794" s="46" t="s">
        <v>202</v>
      </c>
      <c r="J794" s="48">
        <v>78</v>
      </c>
      <c r="K794">
        <v>35</v>
      </c>
      <c r="L794" t="s">
        <v>293</v>
      </c>
    </row>
    <row r="795" spans="1:12" ht="19.899999999999999" customHeight="1" x14ac:dyDescent="0.25">
      <c r="A795" t="str">
        <f t="shared" si="12"/>
        <v>9I38</v>
      </c>
      <c r="B795" s="46" t="s">
        <v>921</v>
      </c>
      <c r="C795" s="46" t="s">
        <v>929</v>
      </c>
      <c r="D795" s="46">
        <v>117</v>
      </c>
      <c r="E795" s="46" t="s">
        <v>195</v>
      </c>
      <c r="F795" s="46">
        <v>100</v>
      </c>
      <c r="G795" s="46" t="s">
        <v>231</v>
      </c>
      <c r="H795" s="46">
        <v>108</v>
      </c>
      <c r="I795" s="46" t="s">
        <v>206</v>
      </c>
      <c r="J795" s="48">
        <v>117</v>
      </c>
      <c r="K795">
        <v>36</v>
      </c>
      <c r="L795" t="s">
        <v>195</v>
      </c>
    </row>
    <row r="796" spans="1:12" ht="19.899999999999999" customHeight="1" x14ac:dyDescent="0.25">
      <c r="A796" t="str">
        <f t="shared" si="12"/>
        <v>9I37</v>
      </c>
      <c r="B796" s="46" t="s">
        <v>921</v>
      </c>
      <c r="C796" s="46" t="s">
        <v>930</v>
      </c>
      <c r="D796" s="46">
        <v>188</v>
      </c>
      <c r="E796" s="46" t="s">
        <v>227</v>
      </c>
      <c r="F796" s="46">
        <v>183</v>
      </c>
      <c r="G796" s="46" t="s">
        <v>218</v>
      </c>
      <c r="H796" s="46">
        <v>184</v>
      </c>
      <c r="I796" s="46" t="s">
        <v>204</v>
      </c>
      <c r="J796" s="48">
        <v>188</v>
      </c>
      <c r="K796">
        <v>52</v>
      </c>
      <c r="L796" t="s">
        <v>224</v>
      </c>
    </row>
    <row r="797" spans="1:12" ht="19.899999999999999" customHeight="1" x14ac:dyDescent="0.25">
      <c r="A797" t="str">
        <f t="shared" si="12"/>
        <v>9I36</v>
      </c>
      <c r="B797" s="46" t="s">
        <v>921</v>
      </c>
      <c r="C797" s="46" t="s">
        <v>931</v>
      </c>
      <c r="D797" s="46">
        <v>163</v>
      </c>
      <c r="E797" s="46" t="s">
        <v>204</v>
      </c>
      <c r="F797" s="46">
        <v>171</v>
      </c>
      <c r="G797" s="46" t="s">
        <v>195</v>
      </c>
      <c r="H797" s="46">
        <v>167</v>
      </c>
      <c r="I797" s="46" t="s">
        <v>202</v>
      </c>
      <c r="J797" s="48">
        <v>171</v>
      </c>
      <c r="K797">
        <v>34</v>
      </c>
      <c r="L797" t="s">
        <v>195</v>
      </c>
    </row>
    <row r="798" spans="1:12" ht="19.899999999999999" customHeight="1" x14ac:dyDescent="0.25">
      <c r="A798" t="str">
        <f t="shared" si="12"/>
        <v>9I#2DTR(A)</v>
      </c>
      <c r="B798" s="46" t="s">
        <v>921</v>
      </c>
      <c r="C798" s="46" t="s">
        <v>289</v>
      </c>
      <c r="D798" s="46">
        <v>503</v>
      </c>
      <c r="E798" s="46" t="s">
        <v>195</v>
      </c>
      <c r="F798" s="46">
        <v>475</v>
      </c>
      <c r="G798" s="46" t="s">
        <v>202</v>
      </c>
      <c r="H798" s="46">
        <v>460</v>
      </c>
      <c r="I798" s="46" t="s">
        <v>199</v>
      </c>
      <c r="J798" s="48">
        <v>503</v>
      </c>
      <c r="K798" t="s">
        <v>196</v>
      </c>
      <c r="L798" t="s">
        <v>196</v>
      </c>
    </row>
    <row r="799" spans="1:12" ht="19.899999999999999" customHeight="1" x14ac:dyDescent="0.25">
      <c r="A799" t="str">
        <f t="shared" si="12"/>
        <v>9I26</v>
      </c>
      <c r="B799" s="46" t="s">
        <v>921</v>
      </c>
      <c r="C799" s="46" t="s">
        <v>932</v>
      </c>
      <c r="D799" s="46">
        <v>31</v>
      </c>
      <c r="E799" s="46" t="s">
        <v>199</v>
      </c>
      <c r="F799" s="46">
        <v>28</v>
      </c>
      <c r="G799" s="46" t="s">
        <v>199</v>
      </c>
      <c r="H799" s="46">
        <v>33</v>
      </c>
      <c r="I799" s="46" t="s">
        <v>199</v>
      </c>
      <c r="J799" s="48">
        <v>33</v>
      </c>
      <c r="K799">
        <v>11</v>
      </c>
      <c r="L799" t="s">
        <v>202</v>
      </c>
    </row>
    <row r="800" spans="1:12" ht="19.899999999999999" customHeight="1" x14ac:dyDescent="0.25">
      <c r="A800" t="str">
        <f t="shared" si="12"/>
        <v>9I27</v>
      </c>
      <c r="B800" s="46" t="s">
        <v>921</v>
      </c>
      <c r="C800" s="46" t="s">
        <v>933</v>
      </c>
      <c r="D800" s="46">
        <v>77</v>
      </c>
      <c r="E800" s="46" t="s">
        <v>199</v>
      </c>
      <c r="F800" s="46">
        <v>94</v>
      </c>
      <c r="G800" s="46" t="s">
        <v>199</v>
      </c>
      <c r="H800" s="46">
        <v>81</v>
      </c>
      <c r="I800" s="46" t="s">
        <v>204</v>
      </c>
      <c r="J800" s="48">
        <v>94</v>
      </c>
      <c r="K800">
        <v>46</v>
      </c>
      <c r="L800" t="s">
        <v>198</v>
      </c>
    </row>
    <row r="801" spans="1:12" ht="19.899999999999999" customHeight="1" x14ac:dyDescent="0.25">
      <c r="A801" t="str">
        <f t="shared" si="12"/>
        <v>9I28</v>
      </c>
      <c r="B801" s="46" t="s">
        <v>921</v>
      </c>
      <c r="C801" s="46" t="s">
        <v>934</v>
      </c>
      <c r="D801" s="46">
        <v>216</v>
      </c>
      <c r="E801" s="46" t="s">
        <v>195</v>
      </c>
      <c r="F801" s="46">
        <v>214</v>
      </c>
      <c r="G801" s="46" t="s">
        <v>199</v>
      </c>
      <c r="H801" s="46">
        <v>225</v>
      </c>
      <c r="I801" s="46" t="s">
        <v>199</v>
      </c>
      <c r="J801" s="48">
        <v>225</v>
      </c>
      <c r="K801">
        <v>46</v>
      </c>
      <c r="L801" t="s">
        <v>195</v>
      </c>
    </row>
    <row r="802" spans="1:12" ht="19.899999999999999" customHeight="1" x14ac:dyDescent="0.25">
      <c r="A802" t="str">
        <f t="shared" si="12"/>
        <v>9I29</v>
      </c>
      <c r="B802" s="46" t="s">
        <v>921</v>
      </c>
      <c r="C802" s="46" t="s">
        <v>935</v>
      </c>
      <c r="D802" s="46">
        <v>195</v>
      </c>
      <c r="E802" s="46" t="s">
        <v>195</v>
      </c>
      <c r="F802" s="46">
        <v>169</v>
      </c>
      <c r="G802" s="46" t="s">
        <v>195</v>
      </c>
      <c r="H802" s="46">
        <v>154</v>
      </c>
      <c r="I802" s="46" t="s">
        <v>206</v>
      </c>
      <c r="J802" s="48">
        <v>195</v>
      </c>
      <c r="K802">
        <v>44</v>
      </c>
      <c r="L802" t="s">
        <v>195</v>
      </c>
    </row>
    <row r="803" spans="1:12" ht="19.899999999999999" customHeight="1" x14ac:dyDescent="0.25">
      <c r="A803" t="str">
        <f t="shared" si="12"/>
        <v>9I#2DTR(B)</v>
      </c>
      <c r="B803" s="46" t="s">
        <v>921</v>
      </c>
      <c r="C803" s="46" t="s">
        <v>300</v>
      </c>
      <c r="D803" s="46">
        <v>593</v>
      </c>
      <c r="E803" s="46" t="s">
        <v>199</v>
      </c>
      <c r="F803" s="46">
        <v>575</v>
      </c>
      <c r="G803" s="46" t="s">
        <v>199</v>
      </c>
      <c r="H803" s="46">
        <v>604</v>
      </c>
      <c r="I803" s="46" t="s">
        <v>199</v>
      </c>
      <c r="J803" s="48">
        <v>604</v>
      </c>
      <c r="K803" t="s">
        <v>196</v>
      </c>
      <c r="L803" t="s">
        <v>196</v>
      </c>
    </row>
    <row r="804" spans="1:12" ht="19.899999999999999" customHeight="1" x14ac:dyDescent="0.25">
      <c r="A804" t="str">
        <f t="shared" si="12"/>
        <v>9I35</v>
      </c>
      <c r="B804" s="46" t="s">
        <v>921</v>
      </c>
      <c r="C804" s="46" t="s">
        <v>936</v>
      </c>
      <c r="D804" s="46">
        <v>174</v>
      </c>
      <c r="E804" s="46" t="s">
        <v>199</v>
      </c>
      <c r="F804" s="46">
        <v>170</v>
      </c>
      <c r="G804" s="46" t="s">
        <v>199</v>
      </c>
      <c r="H804" s="46">
        <v>155</v>
      </c>
      <c r="I804" s="46" t="s">
        <v>199</v>
      </c>
      <c r="J804" s="48">
        <v>174</v>
      </c>
      <c r="K804">
        <v>47</v>
      </c>
      <c r="L804" t="s">
        <v>213</v>
      </c>
    </row>
    <row r="805" spans="1:12" ht="19.899999999999999" customHeight="1" x14ac:dyDescent="0.25">
      <c r="A805" t="str">
        <f t="shared" si="12"/>
        <v>9I34</v>
      </c>
      <c r="B805" s="46" t="s">
        <v>921</v>
      </c>
      <c r="C805" s="46" t="s">
        <v>937</v>
      </c>
      <c r="D805" s="46">
        <v>113</v>
      </c>
      <c r="E805" s="46" t="s">
        <v>200</v>
      </c>
      <c r="F805" s="46">
        <v>107</v>
      </c>
      <c r="G805" s="46" t="s">
        <v>200</v>
      </c>
      <c r="H805" s="46">
        <v>106</v>
      </c>
      <c r="I805" s="46" t="s">
        <v>200</v>
      </c>
      <c r="J805" s="48">
        <v>113</v>
      </c>
      <c r="K805">
        <v>27</v>
      </c>
      <c r="L805" t="s">
        <v>572</v>
      </c>
    </row>
    <row r="806" spans="1:12" ht="19.899999999999999" customHeight="1" x14ac:dyDescent="0.25">
      <c r="A806" t="str">
        <f t="shared" si="12"/>
        <v>9I33</v>
      </c>
      <c r="B806" s="46" t="s">
        <v>921</v>
      </c>
      <c r="C806" s="46" t="s">
        <v>938</v>
      </c>
      <c r="D806" s="46">
        <v>146</v>
      </c>
      <c r="E806" s="46" t="s">
        <v>195</v>
      </c>
      <c r="F806" s="46">
        <v>142</v>
      </c>
      <c r="G806" s="46" t="s">
        <v>199</v>
      </c>
      <c r="H806" s="46">
        <v>150</v>
      </c>
      <c r="I806" s="46" t="s">
        <v>199</v>
      </c>
      <c r="J806" s="48">
        <v>150</v>
      </c>
      <c r="K806">
        <v>33</v>
      </c>
      <c r="L806" t="s">
        <v>200</v>
      </c>
    </row>
    <row r="807" spans="1:12" ht="19.899999999999999" customHeight="1" x14ac:dyDescent="0.25">
      <c r="A807" t="str">
        <f t="shared" si="12"/>
        <v>9I32</v>
      </c>
      <c r="B807" s="46" t="s">
        <v>921</v>
      </c>
      <c r="C807" s="46" t="s">
        <v>939</v>
      </c>
      <c r="D807" s="46">
        <v>84</v>
      </c>
      <c r="E807" s="46" t="s">
        <v>199</v>
      </c>
      <c r="F807" s="46">
        <v>110</v>
      </c>
      <c r="G807" s="46" t="s">
        <v>195</v>
      </c>
      <c r="H807" s="46">
        <v>85</v>
      </c>
      <c r="I807" s="46" t="s">
        <v>195</v>
      </c>
      <c r="J807" s="48">
        <v>110</v>
      </c>
      <c r="K807">
        <v>39</v>
      </c>
      <c r="L807" t="s">
        <v>195</v>
      </c>
    </row>
    <row r="808" spans="1:12" ht="19.899999999999999" customHeight="1" x14ac:dyDescent="0.25">
      <c r="A808" t="str">
        <f t="shared" si="12"/>
        <v>9I31</v>
      </c>
      <c r="B808" s="46" t="s">
        <v>921</v>
      </c>
      <c r="C808" s="46" t="s">
        <v>940</v>
      </c>
      <c r="D808" s="46">
        <v>74</v>
      </c>
      <c r="E808" s="46" t="s">
        <v>200</v>
      </c>
      <c r="F808" s="46">
        <v>67</v>
      </c>
      <c r="G808" s="46" t="s">
        <v>227</v>
      </c>
      <c r="H808" s="46">
        <v>81</v>
      </c>
      <c r="I808" s="46" t="s">
        <v>227</v>
      </c>
      <c r="J808" s="48">
        <v>81</v>
      </c>
      <c r="K808">
        <v>16</v>
      </c>
      <c r="L808" t="s">
        <v>199</v>
      </c>
    </row>
    <row r="809" spans="1:12" ht="19.899999999999999" customHeight="1" x14ac:dyDescent="0.25">
      <c r="A809" t="str">
        <f t="shared" si="12"/>
        <v>9I30</v>
      </c>
      <c r="B809" s="46" t="s">
        <v>921</v>
      </c>
      <c r="C809" s="46" t="s">
        <v>941</v>
      </c>
      <c r="D809" s="46">
        <v>99</v>
      </c>
      <c r="E809" s="46" t="s">
        <v>231</v>
      </c>
      <c r="F809" s="46">
        <v>86</v>
      </c>
      <c r="G809" s="46" t="s">
        <v>231</v>
      </c>
      <c r="H809" s="46">
        <v>81</v>
      </c>
      <c r="I809" s="46" t="s">
        <v>231</v>
      </c>
      <c r="J809" s="48">
        <v>99</v>
      </c>
      <c r="K809">
        <v>44</v>
      </c>
      <c r="L809" t="s">
        <v>213</v>
      </c>
    </row>
    <row r="810" spans="1:12" ht="19.899999999999999" customHeight="1" x14ac:dyDescent="0.25">
      <c r="A810" t="str">
        <f t="shared" si="12"/>
        <v>9B#1DTR</v>
      </c>
      <c r="B810" s="46" t="s">
        <v>942</v>
      </c>
      <c r="C810" s="46" t="s">
        <v>366</v>
      </c>
      <c r="D810" s="46">
        <v>661</v>
      </c>
      <c r="E810" s="46" t="s">
        <v>215</v>
      </c>
      <c r="F810" s="46">
        <v>661</v>
      </c>
      <c r="G810" s="46" t="s">
        <v>215</v>
      </c>
      <c r="H810" s="46">
        <v>666</v>
      </c>
      <c r="I810" s="46" t="s">
        <v>215</v>
      </c>
      <c r="J810" s="48">
        <v>666</v>
      </c>
      <c r="K810" t="s">
        <v>196</v>
      </c>
      <c r="L810" t="s">
        <v>196</v>
      </c>
    </row>
    <row r="811" spans="1:12" ht="19.899999999999999" customHeight="1" x14ac:dyDescent="0.25">
      <c r="A811" t="str">
        <f t="shared" si="12"/>
        <v>9B51</v>
      </c>
      <c r="B811" s="46" t="s">
        <v>942</v>
      </c>
      <c r="C811" s="46" t="s">
        <v>943</v>
      </c>
      <c r="D811" s="46">
        <v>0</v>
      </c>
      <c r="E811" s="46" t="s">
        <v>215</v>
      </c>
      <c r="F811" s="46">
        <v>0</v>
      </c>
      <c r="G811" s="46" t="s">
        <v>215</v>
      </c>
      <c r="H811" s="46">
        <v>0</v>
      </c>
      <c r="I811" s="46" t="s">
        <v>215</v>
      </c>
      <c r="J811" s="48">
        <v>0</v>
      </c>
      <c r="K811">
        <v>0</v>
      </c>
      <c r="L811" t="s">
        <v>215</v>
      </c>
    </row>
    <row r="812" spans="1:12" ht="19.899999999999999" customHeight="1" x14ac:dyDescent="0.25">
      <c r="A812" t="str">
        <f t="shared" si="12"/>
        <v>9B52</v>
      </c>
      <c r="B812" s="46" t="s">
        <v>942</v>
      </c>
      <c r="C812" s="46" t="s">
        <v>944</v>
      </c>
      <c r="D812" s="46">
        <v>179</v>
      </c>
      <c r="E812" s="46" t="s">
        <v>293</v>
      </c>
      <c r="F812" s="46">
        <v>179</v>
      </c>
      <c r="G812" s="46" t="s">
        <v>293</v>
      </c>
      <c r="H812" s="46">
        <v>179</v>
      </c>
      <c r="I812" s="46" t="s">
        <v>293</v>
      </c>
      <c r="J812" s="48">
        <v>179</v>
      </c>
      <c r="K812">
        <v>0</v>
      </c>
      <c r="L812" t="s">
        <v>215</v>
      </c>
    </row>
    <row r="813" spans="1:12" ht="19.899999999999999" customHeight="1" x14ac:dyDescent="0.25">
      <c r="A813" t="str">
        <f t="shared" si="12"/>
        <v>9B53</v>
      </c>
      <c r="B813" s="46" t="s">
        <v>942</v>
      </c>
      <c r="C813" s="46" t="s">
        <v>945</v>
      </c>
      <c r="D813" s="46">
        <v>188</v>
      </c>
      <c r="E813" s="46" t="s">
        <v>268</v>
      </c>
      <c r="F813" s="46">
        <v>187</v>
      </c>
      <c r="G813" s="46" t="s">
        <v>268</v>
      </c>
      <c r="H813" s="46">
        <v>189</v>
      </c>
      <c r="I813" s="46" t="s">
        <v>268</v>
      </c>
      <c r="J813" s="48">
        <v>189</v>
      </c>
      <c r="K813">
        <v>6</v>
      </c>
      <c r="L813" t="s">
        <v>200</v>
      </c>
    </row>
    <row r="814" spans="1:12" ht="19.899999999999999" customHeight="1" x14ac:dyDescent="0.25">
      <c r="A814" t="str">
        <f t="shared" si="12"/>
        <v>9B54</v>
      </c>
      <c r="B814" s="46" t="s">
        <v>942</v>
      </c>
      <c r="C814" s="46" t="s">
        <v>946</v>
      </c>
      <c r="D814" s="46">
        <v>267</v>
      </c>
      <c r="E814" s="46" t="s">
        <v>195</v>
      </c>
      <c r="F814" s="46">
        <v>263</v>
      </c>
      <c r="G814" s="46" t="s">
        <v>195</v>
      </c>
      <c r="H814" s="46">
        <v>267</v>
      </c>
      <c r="I814" s="46" t="s">
        <v>195</v>
      </c>
      <c r="J814" s="48">
        <v>267</v>
      </c>
      <c r="K814">
        <v>0</v>
      </c>
      <c r="L814" t="s">
        <v>215</v>
      </c>
    </row>
    <row r="815" spans="1:12" ht="19.899999999999999" customHeight="1" x14ac:dyDescent="0.25">
      <c r="A815" t="str">
        <f t="shared" si="12"/>
        <v>9B55</v>
      </c>
      <c r="B815" s="46" t="s">
        <v>942</v>
      </c>
      <c r="C815" s="46" t="s">
        <v>947</v>
      </c>
      <c r="D815" s="46">
        <v>24</v>
      </c>
      <c r="E815" s="46" t="s">
        <v>208</v>
      </c>
      <c r="F815" s="46">
        <v>27</v>
      </c>
      <c r="G815" s="46" t="s">
        <v>198</v>
      </c>
      <c r="H815" s="46">
        <v>28</v>
      </c>
      <c r="I815" s="46" t="s">
        <v>208</v>
      </c>
      <c r="J815" s="48">
        <v>28</v>
      </c>
      <c r="K815">
        <v>0</v>
      </c>
      <c r="L815" t="s">
        <v>215</v>
      </c>
    </row>
    <row r="816" spans="1:12" ht="19.899999999999999" customHeight="1" x14ac:dyDescent="0.25">
      <c r="A816" t="str">
        <f t="shared" si="12"/>
        <v>9B56</v>
      </c>
      <c r="B816" s="46" t="s">
        <v>942</v>
      </c>
      <c r="C816" s="46" t="s">
        <v>948</v>
      </c>
      <c r="D816" s="46">
        <v>0</v>
      </c>
      <c r="E816" s="46" t="s">
        <v>215</v>
      </c>
      <c r="F816" s="46">
        <v>0</v>
      </c>
      <c r="G816" s="46" t="s">
        <v>215</v>
      </c>
      <c r="H816" s="46">
        <v>0</v>
      </c>
      <c r="I816" s="46" t="s">
        <v>215</v>
      </c>
      <c r="J816" s="48">
        <v>0</v>
      </c>
      <c r="K816">
        <v>0</v>
      </c>
      <c r="L816" t="s">
        <v>215</v>
      </c>
    </row>
    <row r="817" spans="1:12" ht="19.899999999999999" customHeight="1" x14ac:dyDescent="0.25">
      <c r="A817" t="str">
        <f t="shared" si="12"/>
        <v>9B57</v>
      </c>
      <c r="B817" s="46" t="s">
        <v>942</v>
      </c>
      <c r="C817" s="46" t="s">
        <v>949</v>
      </c>
      <c r="D817" s="46">
        <v>117</v>
      </c>
      <c r="E817" s="46" t="s">
        <v>199</v>
      </c>
      <c r="F817" s="46">
        <v>113</v>
      </c>
      <c r="G817" s="46" t="s">
        <v>199</v>
      </c>
      <c r="H817" s="46">
        <v>116</v>
      </c>
      <c r="I817" s="46" t="s">
        <v>199</v>
      </c>
      <c r="J817" s="48">
        <v>117</v>
      </c>
      <c r="K817">
        <v>0</v>
      </c>
      <c r="L817" t="s">
        <v>215</v>
      </c>
    </row>
    <row r="818" spans="1:12" ht="19.899999999999999" customHeight="1" x14ac:dyDescent="0.25">
      <c r="A818" t="str">
        <f t="shared" si="12"/>
        <v>9B58</v>
      </c>
      <c r="B818" s="46" t="s">
        <v>942</v>
      </c>
      <c r="C818" s="46" t="s">
        <v>950</v>
      </c>
      <c r="D818" s="46">
        <v>0</v>
      </c>
      <c r="E818" s="46" t="s">
        <v>215</v>
      </c>
      <c r="F818" s="46">
        <v>0</v>
      </c>
      <c r="G818" s="46" t="s">
        <v>215</v>
      </c>
      <c r="H818" s="46">
        <v>0</v>
      </c>
      <c r="I818" s="46" t="s">
        <v>215</v>
      </c>
      <c r="J818" s="48">
        <v>0</v>
      </c>
      <c r="K818">
        <v>0</v>
      </c>
      <c r="L818" t="s">
        <v>215</v>
      </c>
    </row>
    <row r="819" spans="1:12" ht="19.899999999999999" customHeight="1" x14ac:dyDescent="0.25">
      <c r="A819" t="str">
        <f t="shared" si="12"/>
        <v>9B#2DTR(A)</v>
      </c>
      <c r="B819" s="46" t="s">
        <v>942</v>
      </c>
      <c r="C819" s="46" t="s">
        <v>289</v>
      </c>
      <c r="D819" s="46">
        <v>267</v>
      </c>
      <c r="E819" s="46" t="s">
        <v>572</v>
      </c>
      <c r="F819" s="46">
        <v>267</v>
      </c>
      <c r="G819" s="46" t="s">
        <v>572</v>
      </c>
      <c r="H819" s="46">
        <v>271</v>
      </c>
      <c r="I819" s="46" t="s">
        <v>572</v>
      </c>
      <c r="J819" s="48">
        <v>271</v>
      </c>
      <c r="K819" t="s">
        <v>196</v>
      </c>
      <c r="L819" t="s">
        <v>196</v>
      </c>
    </row>
    <row r="820" spans="1:12" x14ac:dyDescent="0.25">
      <c r="A820" t="str">
        <f t="shared" si="12"/>
        <v>9B61</v>
      </c>
      <c r="B820" s="46" t="s">
        <v>942</v>
      </c>
      <c r="C820" s="46" t="s">
        <v>951</v>
      </c>
      <c r="D820" s="46">
        <v>0</v>
      </c>
      <c r="E820" s="46" t="s">
        <v>215</v>
      </c>
      <c r="F820" s="46">
        <v>0</v>
      </c>
      <c r="G820" s="46" t="s">
        <v>215</v>
      </c>
      <c r="H820" s="46">
        <v>0</v>
      </c>
      <c r="I820" s="46" t="s">
        <v>215</v>
      </c>
      <c r="J820" s="48">
        <v>0</v>
      </c>
      <c r="K820">
        <v>0</v>
      </c>
      <c r="L820" t="s">
        <v>215</v>
      </c>
    </row>
    <row r="821" spans="1:12" x14ac:dyDescent="0.25">
      <c r="A821" t="str">
        <f t="shared" si="12"/>
        <v>9B62</v>
      </c>
      <c r="B821" s="46" t="s">
        <v>942</v>
      </c>
      <c r="C821" s="46" t="s">
        <v>952</v>
      </c>
      <c r="D821" s="46">
        <v>145</v>
      </c>
      <c r="E821" s="46" t="s">
        <v>199</v>
      </c>
      <c r="F821" s="46">
        <v>149</v>
      </c>
      <c r="G821" s="46" t="s">
        <v>199</v>
      </c>
      <c r="H821" s="46">
        <v>145</v>
      </c>
      <c r="I821" s="46" t="s">
        <v>199</v>
      </c>
      <c r="J821" s="48">
        <v>149</v>
      </c>
      <c r="K821">
        <v>0</v>
      </c>
      <c r="L821" t="s">
        <v>215</v>
      </c>
    </row>
    <row r="822" spans="1:12" x14ac:dyDescent="0.25">
      <c r="A822" t="str">
        <f t="shared" si="12"/>
        <v>9B63</v>
      </c>
      <c r="B822" s="46" t="s">
        <v>942</v>
      </c>
      <c r="C822" s="46" t="s">
        <v>953</v>
      </c>
      <c r="D822" s="46">
        <v>120</v>
      </c>
      <c r="E822" s="46" t="s">
        <v>195</v>
      </c>
      <c r="F822" s="46">
        <v>117</v>
      </c>
      <c r="G822" s="46" t="s">
        <v>195</v>
      </c>
      <c r="H822" s="46">
        <v>119</v>
      </c>
      <c r="I822" s="46" t="s">
        <v>195</v>
      </c>
      <c r="J822" s="48">
        <v>120</v>
      </c>
      <c r="K822">
        <v>0</v>
      </c>
      <c r="L822" t="s">
        <v>215</v>
      </c>
    </row>
    <row r="823" spans="1:12" x14ac:dyDescent="0.25">
      <c r="A823" t="str">
        <f t="shared" si="12"/>
        <v>9B64</v>
      </c>
      <c r="B823" s="46" t="s">
        <v>942</v>
      </c>
      <c r="C823" s="46" t="s">
        <v>954</v>
      </c>
      <c r="D823" s="46">
        <v>191</v>
      </c>
      <c r="E823" s="46" t="s">
        <v>199</v>
      </c>
      <c r="F823" s="46">
        <v>188</v>
      </c>
      <c r="G823" s="46" t="s">
        <v>195</v>
      </c>
      <c r="H823" s="46">
        <v>188</v>
      </c>
      <c r="I823" s="46" t="s">
        <v>199</v>
      </c>
      <c r="J823" s="48">
        <v>191</v>
      </c>
      <c r="K823">
        <v>0</v>
      </c>
      <c r="L823" t="s">
        <v>215</v>
      </c>
    </row>
    <row r="824" spans="1:12" x14ac:dyDescent="0.25">
      <c r="A824" t="str">
        <f t="shared" si="12"/>
        <v>9B#2DTR(B)</v>
      </c>
      <c r="B824" s="46" t="s">
        <v>942</v>
      </c>
      <c r="C824" s="46" t="s">
        <v>300</v>
      </c>
      <c r="D824" s="46">
        <v>132</v>
      </c>
      <c r="E824" s="46" t="s">
        <v>199</v>
      </c>
      <c r="F824" s="46">
        <v>129</v>
      </c>
      <c r="G824" s="46" t="s">
        <v>202</v>
      </c>
      <c r="H824" s="46">
        <v>127</v>
      </c>
      <c r="I824" s="46" t="s">
        <v>215</v>
      </c>
      <c r="J824" s="48">
        <v>132</v>
      </c>
      <c r="K824" t="s">
        <v>196</v>
      </c>
      <c r="L824" t="s">
        <v>196</v>
      </c>
    </row>
    <row r="825" spans="1:12" x14ac:dyDescent="0.25">
      <c r="A825" t="str">
        <f t="shared" si="12"/>
        <v>9B65</v>
      </c>
      <c r="B825" s="46" t="s">
        <v>942</v>
      </c>
      <c r="C825" s="46" t="s">
        <v>955</v>
      </c>
      <c r="D825" s="46">
        <v>105</v>
      </c>
      <c r="E825" s="46" t="s">
        <v>199</v>
      </c>
      <c r="F825" s="46">
        <v>101</v>
      </c>
      <c r="G825" s="46" t="s">
        <v>199</v>
      </c>
      <c r="H825" s="46">
        <v>100</v>
      </c>
      <c r="I825" s="46" t="s">
        <v>199</v>
      </c>
      <c r="J825" s="48">
        <v>105</v>
      </c>
      <c r="K825">
        <v>0</v>
      </c>
      <c r="L825" t="s">
        <v>215</v>
      </c>
    </row>
    <row r="826" spans="1:12" x14ac:dyDescent="0.25">
      <c r="A826" t="str">
        <f t="shared" si="12"/>
        <v>9B66</v>
      </c>
      <c r="B826" s="46" t="s">
        <v>942</v>
      </c>
      <c r="C826" s="46" t="s">
        <v>956</v>
      </c>
      <c r="D826" s="46">
        <v>0</v>
      </c>
      <c r="E826" s="46" t="s">
        <v>215</v>
      </c>
      <c r="F826" s="46">
        <v>0</v>
      </c>
      <c r="G826" s="46" t="s">
        <v>215</v>
      </c>
      <c r="H826" s="46">
        <v>0</v>
      </c>
      <c r="I826" s="46" t="s">
        <v>215</v>
      </c>
      <c r="J826" s="48">
        <v>0</v>
      </c>
      <c r="K826">
        <v>0</v>
      </c>
      <c r="L826" t="s">
        <v>215</v>
      </c>
    </row>
    <row r="827" spans="1:12" x14ac:dyDescent="0.25">
      <c r="A827" t="str">
        <f t="shared" si="12"/>
        <v>9B67</v>
      </c>
      <c r="B827" s="46" t="s">
        <v>942</v>
      </c>
      <c r="C827" s="46" t="s">
        <v>957</v>
      </c>
      <c r="D827" s="46">
        <v>37</v>
      </c>
      <c r="E827" s="46" t="s">
        <v>204</v>
      </c>
      <c r="F827" s="46">
        <v>36</v>
      </c>
      <c r="G827" s="46" t="s">
        <v>204</v>
      </c>
      <c r="H827" s="46">
        <v>37</v>
      </c>
      <c r="I827" s="46" t="s">
        <v>204</v>
      </c>
      <c r="J827" s="48">
        <v>37</v>
      </c>
      <c r="K827">
        <v>0</v>
      </c>
      <c r="L827" t="s">
        <v>215</v>
      </c>
    </row>
    <row r="828" spans="1:12" x14ac:dyDescent="0.25">
      <c r="A828" t="str">
        <f t="shared" si="12"/>
        <v>9B68</v>
      </c>
      <c r="B828" s="46" t="s">
        <v>942</v>
      </c>
      <c r="C828" s="46" t="s">
        <v>958</v>
      </c>
      <c r="D828" s="46">
        <v>0</v>
      </c>
      <c r="E828" s="46" t="s">
        <v>215</v>
      </c>
      <c r="F828" s="46">
        <v>0</v>
      </c>
      <c r="G828" s="46" t="s">
        <v>215</v>
      </c>
      <c r="H828" s="46">
        <v>0</v>
      </c>
      <c r="I828" s="46" t="s">
        <v>215</v>
      </c>
      <c r="J828" s="48">
        <v>0</v>
      </c>
      <c r="K828">
        <v>0</v>
      </c>
      <c r="L828" t="s">
        <v>215</v>
      </c>
    </row>
    <row r="829" spans="1:12" x14ac:dyDescent="0.25">
      <c r="A829" t="e">
        <f t="shared" si="12"/>
        <v>#VALUE!</v>
      </c>
      <c r="B829" s="46" t="s">
        <v>196</v>
      </c>
      <c r="C829" s="46" t="s">
        <v>196</v>
      </c>
      <c r="D829" s="46" t="s">
        <v>196</v>
      </c>
      <c r="E829" s="46" t="s">
        <v>196</v>
      </c>
      <c r="F829" s="46" t="s">
        <v>196</v>
      </c>
      <c r="G829" s="46" t="s">
        <v>196</v>
      </c>
      <c r="H829" s="46" t="s">
        <v>196</v>
      </c>
      <c r="I829" s="46" t="s">
        <v>196</v>
      </c>
      <c r="J829" s="48" t="s">
        <v>196</v>
      </c>
      <c r="K829" t="s">
        <v>196</v>
      </c>
      <c r="L829" t="s">
        <v>196</v>
      </c>
    </row>
    <row r="830" spans="1:12" x14ac:dyDescent="0.25">
      <c r="A830" t="e">
        <f t="shared" si="12"/>
        <v>#VALUE!</v>
      </c>
      <c r="B830" s="46" t="s">
        <v>196</v>
      </c>
      <c r="C830" s="46" t="s">
        <v>196</v>
      </c>
      <c r="D830" s="46" t="s">
        <v>196</v>
      </c>
      <c r="E830" s="46" t="s">
        <v>196</v>
      </c>
      <c r="F830" s="46" t="s">
        <v>196</v>
      </c>
      <c r="G830" s="46" t="s">
        <v>196</v>
      </c>
      <c r="H830" s="46" t="s">
        <v>196</v>
      </c>
      <c r="I830" s="46" t="s">
        <v>196</v>
      </c>
      <c r="J830" s="48" t="s">
        <v>196</v>
      </c>
      <c r="K830" t="s">
        <v>196</v>
      </c>
      <c r="L830" t="s">
        <v>196</v>
      </c>
    </row>
    <row r="831" spans="1:12" x14ac:dyDescent="0.25">
      <c r="A831" t="e">
        <f t="shared" si="12"/>
        <v>#VALUE!</v>
      </c>
      <c r="B831" s="46" t="s">
        <v>196</v>
      </c>
      <c r="C831" s="46" t="s">
        <v>196</v>
      </c>
      <c r="D831" s="46" t="s">
        <v>196</v>
      </c>
      <c r="E831" s="46" t="s">
        <v>196</v>
      </c>
      <c r="F831" s="46" t="s">
        <v>196</v>
      </c>
      <c r="G831" s="46" t="s">
        <v>196</v>
      </c>
      <c r="H831" s="46" t="s">
        <v>196</v>
      </c>
      <c r="I831" s="46" t="s">
        <v>196</v>
      </c>
      <c r="J831" s="48" t="s">
        <v>196</v>
      </c>
      <c r="K831" t="s">
        <v>196</v>
      </c>
      <c r="L831" t="s">
        <v>196</v>
      </c>
    </row>
    <row r="832" spans="1:12" x14ac:dyDescent="0.25">
      <c r="A832" t="e">
        <f t="shared" si="12"/>
        <v>#VALUE!</v>
      </c>
      <c r="B832" s="46" t="s">
        <v>196</v>
      </c>
      <c r="C832" s="46" t="s">
        <v>196</v>
      </c>
      <c r="D832" s="46" t="s">
        <v>196</v>
      </c>
      <c r="E832" s="46" t="s">
        <v>196</v>
      </c>
      <c r="F832" s="46" t="s">
        <v>196</v>
      </c>
      <c r="G832" s="46" t="s">
        <v>196</v>
      </c>
      <c r="H832" s="46" t="s">
        <v>196</v>
      </c>
      <c r="I832" s="46" t="s">
        <v>196</v>
      </c>
      <c r="J832" s="48" t="s">
        <v>196</v>
      </c>
      <c r="K832" t="s">
        <v>196</v>
      </c>
      <c r="L832" t="s">
        <v>196</v>
      </c>
    </row>
    <row r="833" spans="1:12" x14ac:dyDescent="0.25">
      <c r="A833" t="e">
        <f t="shared" si="12"/>
        <v>#VALUE!</v>
      </c>
      <c r="B833" s="46" t="s">
        <v>196</v>
      </c>
      <c r="C833" s="46" t="s">
        <v>196</v>
      </c>
      <c r="D833" s="46" t="s">
        <v>196</v>
      </c>
      <c r="E833" s="46" t="s">
        <v>196</v>
      </c>
      <c r="F833" s="46" t="s">
        <v>196</v>
      </c>
      <c r="G833" s="46" t="s">
        <v>196</v>
      </c>
      <c r="H833" s="46" t="s">
        <v>196</v>
      </c>
      <c r="I833" s="46" t="s">
        <v>196</v>
      </c>
      <c r="J833" s="48" t="s">
        <v>196</v>
      </c>
      <c r="K833" t="s">
        <v>196</v>
      </c>
      <c r="L833" t="s">
        <v>196</v>
      </c>
    </row>
    <row r="834" spans="1:12" x14ac:dyDescent="0.25">
      <c r="A834" t="e">
        <f t="shared" si="12"/>
        <v>#VALUE!</v>
      </c>
      <c r="B834" s="46" t="s">
        <v>196</v>
      </c>
      <c r="C834" s="46" t="s">
        <v>196</v>
      </c>
      <c r="D834" s="46" t="s">
        <v>196</v>
      </c>
      <c r="E834" s="46" t="s">
        <v>196</v>
      </c>
      <c r="F834" s="46" t="s">
        <v>196</v>
      </c>
      <c r="G834" s="46" t="s">
        <v>196</v>
      </c>
      <c r="H834" s="46" t="s">
        <v>196</v>
      </c>
      <c r="I834" s="46" t="s">
        <v>196</v>
      </c>
      <c r="J834" s="48" t="s">
        <v>196</v>
      </c>
      <c r="K834" t="s">
        <v>196</v>
      </c>
      <c r="L834" t="s">
        <v>196</v>
      </c>
    </row>
    <row r="835" spans="1:12" x14ac:dyDescent="0.25">
      <c r="A835" t="e">
        <f t="shared" si="12"/>
        <v>#VALUE!</v>
      </c>
      <c r="B835" s="46" t="s">
        <v>196</v>
      </c>
      <c r="C835" s="46" t="s">
        <v>196</v>
      </c>
      <c r="D835" s="46" t="s">
        <v>196</v>
      </c>
      <c r="E835" s="46" t="s">
        <v>196</v>
      </c>
      <c r="F835" s="46" t="s">
        <v>196</v>
      </c>
      <c r="G835" s="46" t="s">
        <v>196</v>
      </c>
      <c r="H835" s="46" t="s">
        <v>196</v>
      </c>
      <c r="I835" s="46" t="s">
        <v>196</v>
      </c>
      <c r="J835" s="48" t="s">
        <v>196</v>
      </c>
      <c r="K835" t="s">
        <v>196</v>
      </c>
      <c r="L835" t="s">
        <v>196</v>
      </c>
    </row>
    <row r="836" spans="1:12" x14ac:dyDescent="0.25">
      <c r="A836" t="e">
        <f t="shared" ref="A836:A852" si="13">IF(COUNTIF(C836,"*TR*")&gt;0,SUBSTITUTE(RIGHT(B836,3) &amp; C836," ",""),MID(C836,FIND("(",C836)+1,4))</f>
        <v>#VALUE!</v>
      </c>
      <c r="B836" s="46" t="s">
        <v>196</v>
      </c>
      <c r="C836" s="46" t="s">
        <v>196</v>
      </c>
      <c r="D836" s="46" t="s">
        <v>196</v>
      </c>
      <c r="E836" s="46" t="s">
        <v>196</v>
      </c>
      <c r="F836" s="46" t="s">
        <v>196</v>
      </c>
      <c r="G836" s="46" t="s">
        <v>196</v>
      </c>
      <c r="H836" s="46" t="s">
        <v>196</v>
      </c>
      <c r="I836" s="46" t="s">
        <v>196</v>
      </c>
      <c r="J836" s="48" t="s">
        <v>196</v>
      </c>
      <c r="K836" t="s">
        <v>196</v>
      </c>
      <c r="L836" t="s">
        <v>196</v>
      </c>
    </row>
    <row r="837" spans="1:12" x14ac:dyDescent="0.25">
      <c r="A837" t="e">
        <f t="shared" si="13"/>
        <v>#VALUE!</v>
      </c>
      <c r="B837" s="46" t="s">
        <v>196</v>
      </c>
      <c r="C837" s="46" t="s">
        <v>196</v>
      </c>
      <c r="D837" s="46" t="s">
        <v>196</v>
      </c>
      <c r="E837" s="46" t="s">
        <v>196</v>
      </c>
      <c r="F837" s="46" t="s">
        <v>196</v>
      </c>
      <c r="G837" s="46" t="s">
        <v>196</v>
      </c>
      <c r="H837" s="46" t="s">
        <v>196</v>
      </c>
      <c r="I837" s="46" t="s">
        <v>196</v>
      </c>
      <c r="J837" s="48" t="s">
        <v>196</v>
      </c>
      <c r="K837" t="s">
        <v>196</v>
      </c>
      <c r="L837" t="s">
        <v>196</v>
      </c>
    </row>
    <row r="838" spans="1:12" x14ac:dyDescent="0.25">
      <c r="A838" t="e">
        <f t="shared" si="13"/>
        <v>#VALUE!</v>
      </c>
      <c r="B838" s="46" t="s">
        <v>196</v>
      </c>
      <c r="C838" s="46" t="s">
        <v>196</v>
      </c>
      <c r="D838" s="46" t="s">
        <v>196</v>
      </c>
      <c r="E838" s="46" t="s">
        <v>196</v>
      </c>
      <c r="F838" s="46" t="s">
        <v>196</v>
      </c>
      <c r="G838" s="46" t="s">
        <v>196</v>
      </c>
      <c r="H838" s="46" t="s">
        <v>196</v>
      </c>
      <c r="I838" s="46" t="s">
        <v>196</v>
      </c>
      <c r="J838" s="48" t="s">
        <v>196</v>
      </c>
      <c r="K838" t="s">
        <v>196</v>
      </c>
      <c r="L838" t="s">
        <v>196</v>
      </c>
    </row>
    <row r="839" spans="1:12" x14ac:dyDescent="0.25">
      <c r="A839" t="e">
        <f t="shared" si="13"/>
        <v>#VALUE!</v>
      </c>
      <c r="B839" s="46" t="s">
        <v>196</v>
      </c>
      <c r="C839" s="46" t="s">
        <v>196</v>
      </c>
      <c r="D839" s="46" t="s">
        <v>196</v>
      </c>
      <c r="E839" s="46" t="s">
        <v>196</v>
      </c>
      <c r="F839" s="46" t="s">
        <v>196</v>
      </c>
      <c r="G839" s="46" t="s">
        <v>196</v>
      </c>
      <c r="H839" s="46" t="s">
        <v>196</v>
      </c>
      <c r="I839" s="46" t="s">
        <v>196</v>
      </c>
      <c r="J839" s="48" t="s">
        <v>196</v>
      </c>
      <c r="K839" t="s">
        <v>196</v>
      </c>
      <c r="L839" t="s">
        <v>196</v>
      </c>
    </row>
    <row r="840" spans="1:12" x14ac:dyDescent="0.25">
      <c r="A840" t="e">
        <f t="shared" si="13"/>
        <v>#VALUE!</v>
      </c>
      <c r="B840" s="46" t="s">
        <v>196</v>
      </c>
      <c r="C840" s="46" t="s">
        <v>196</v>
      </c>
      <c r="D840" s="46" t="s">
        <v>196</v>
      </c>
      <c r="E840" s="46" t="s">
        <v>196</v>
      </c>
      <c r="F840" s="46" t="s">
        <v>196</v>
      </c>
      <c r="G840" s="46" t="s">
        <v>196</v>
      </c>
      <c r="H840" s="46" t="s">
        <v>196</v>
      </c>
      <c r="I840" s="46" t="s">
        <v>196</v>
      </c>
      <c r="J840" s="48" t="s">
        <v>196</v>
      </c>
      <c r="K840" t="s">
        <v>196</v>
      </c>
      <c r="L840" t="s">
        <v>196</v>
      </c>
    </row>
    <row r="841" spans="1:12" x14ac:dyDescent="0.25">
      <c r="A841" t="e">
        <f t="shared" si="13"/>
        <v>#VALUE!</v>
      </c>
      <c r="B841" s="46" t="s">
        <v>196</v>
      </c>
      <c r="C841" s="46" t="s">
        <v>196</v>
      </c>
      <c r="D841" s="46" t="s">
        <v>196</v>
      </c>
      <c r="E841" s="46" t="s">
        <v>196</v>
      </c>
      <c r="F841" s="46" t="s">
        <v>196</v>
      </c>
      <c r="G841" s="46" t="s">
        <v>196</v>
      </c>
      <c r="H841" s="46" t="s">
        <v>196</v>
      </c>
      <c r="I841" s="46" t="s">
        <v>196</v>
      </c>
      <c r="J841" s="48" t="s">
        <v>196</v>
      </c>
      <c r="K841" t="s">
        <v>196</v>
      </c>
      <c r="L841" t="s">
        <v>196</v>
      </c>
    </row>
    <row r="842" spans="1:12" x14ac:dyDescent="0.25">
      <c r="A842" t="e">
        <f t="shared" si="13"/>
        <v>#VALUE!</v>
      </c>
      <c r="B842" s="46" t="s">
        <v>196</v>
      </c>
      <c r="C842" s="46" t="s">
        <v>196</v>
      </c>
      <c r="D842" s="46" t="s">
        <v>196</v>
      </c>
      <c r="E842" s="46" t="s">
        <v>196</v>
      </c>
      <c r="F842" s="46" t="s">
        <v>196</v>
      </c>
      <c r="G842" s="46" t="s">
        <v>196</v>
      </c>
      <c r="H842" s="46" t="s">
        <v>196</v>
      </c>
      <c r="I842" s="46" t="s">
        <v>196</v>
      </c>
      <c r="J842" s="48" t="s">
        <v>196</v>
      </c>
      <c r="K842" t="s">
        <v>196</v>
      </c>
      <c r="L842" t="s">
        <v>196</v>
      </c>
    </row>
    <row r="843" spans="1:12" x14ac:dyDescent="0.25">
      <c r="A843" t="e">
        <f t="shared" si="13"/>
        <v>#VALUE!</v>
      </c>
      <c r="B843" s="46" t="s">
        <v>196</v>
      </c>
      <c r="C843" s="46" t="s">
        <v>196</v>
      </c>
      <c r="D843" s="46" t="s">
        <v>196</v>
      </c>
      <c r="E843" s="46" t="s">
        <v>196</v>
      </c>
      <c r="F843" s="46" t="s">
        <v>196</v>
      </c>
      <c r="G843" s="46" t="s">
        <v>196</v>
      </c>
      <c r="H843" s="46" t="s">
        <v>196</v>
      </c>
      <c r="I843" s="46" t="s">
        <v>196</v>
      </c>
      <c r="J843" s="48" t="s">
        <v>196</v>
      </c>
      <c r="K843" t="s">
        <v>196</v>
      </c>
      <c r="L843" t="s">
        <v>196</v>
      </c>
    </row>
    <row r="844" spans="1:12" x14ac:dyDescent="0.25">
      <c r="A844" t="e">
        <f t="shared" si="13"/>
        <v>#VALUE!</v>
      </c>
      <c r="B844" s="46" t="s">
        <v>196</v>
      </c>
      <c r="C844" s="46" t="s">
        <v>196</v>
      </c>
      <c r="D844" s="46" t="s">
        <v>196</v>
      </c>
      <c r="E844" s="46" t="s">
        <v>196</v>
      </c>
      <c r="F844" s="46" t="s">
        <v>196</v>
      </c>
      <c r="G844" s="46" t="s">
        <v>196</v>
      </c>
      <c r="H844" s="46" t="s">
        <v>196</v>
      </c>
      <c r="I844" s="46" t="s">
        <v>196</v>
      </c>
      <c r="J844" s="48" t="s">
        <v>196</v>
      </c>
      <c r="K844" t="s">
        <v>196</v>
      </c>
      <c r="L844" t="s">
        <v>196</v>
      </c>
    </row>
    <row r="845" spans="1:12" x14ac:dyDescent="0.25">
      <c r="A845" t="e">
        <f t="shared" si="13"/>
        <v>#VALUE!</v>
      </c>
      <c r="B845" s="46" t="s">
        <v>196</v>
      </c>
      <c r="C845" s="46" t="s">
        <v>196</v>
      </c>
      <c r="D845" s="46" t="s">
        <v>196</v>
      </c>
      <c r="E845" s="46" t="s">
        <v>196</v>
      </c>
      <c r="F845" s="46" t="s">
        <v>196</v>
      </c>
      <c r="G845" s="46" t="s">
        <v>196</v>
      </c>
      <c r="H845" s="46" t="s">
        <v>196</v>
      </c>
      <c r="I845" s="46" t="s">
        <v>196</v>
      </c>
      <c r="J845" s="48" t="s">
        <v>196</v>
      </c>
      <c r="K845" t="s">
        <v>196</v>
      </c>
      <c r="L845" t="s">
        <v>196</v>
      </c>
    </row>
    <row r="846" spans="1:12" x14ac:dyDescent="0.25">
      <c r="A846" t="e">
        <f t="shared" si="13"/>
        <v>#VALUE!</v>
      </c>
      <c r="B846" s="46" t="s">
        <v>196</v>
      </c>
      <c r="C846" s="46" t="s">
        <v>196</v>
      </c>
      <c r="D846" s="46" t="s">
        <v>196</v>
      </c>
      <c r="E846" s="46" t="s">
        <v>196</v>
      </c>
      <c r="F846" s="46" t="s">
        <v>196</v>
      </c>
      <c r="G846" s="46" t="s">
        <v>196</v>
      </c>
      <c r="H846" s="46" t="s">
        <v>196</v>
      </c>
      <c r="I846" s="46" t="s">
        <v>196</v>
      </c>
      <c r="J846" s="48" t="s">
        <v>196</v>
      </c>
      <c r="K846" t="s">
        <v>196</v>
      </c>
      <c r="L846" t="s">
        <v>196</v>
      </c>
    </row>
    <row r="847" spans="1:12" x14ac:dyDescent="0.25">
      <c r="A847" t="e">
        <f t="shared" si="13"/>
        <v>#VALUE!</v>
      </c>
      <c r="B847" s="46" t="s">
        <v>196</v>
      </c>
      <c r="C847" s="46" t="s">
        <v>196</v>
      </c>
      <c r="D847" s="46" t="s">
        <v>196</v>
      </c>
      <c r="E847" s="46" t="s">
        <v>196</v>
      </c>
      <c r="F847" s="46" t="s">
        <v>196</v>
      </c>
      <c r="G847" s="46" t="s">
        <v>196</v>
      </c>
      <c r="H847" s="46" t="s">
        <v>196</v>
      </c>
      <c r="I847" s="46" t="s">
        <v>196</v>
      </c>
      <c r="J847" s="48" t="s">
        <v>196</v>
      </c>
      <c r="K847" t="s">
        <v>196</v>
      </c>
      <c r="L847" t="s">
        <v>196</v>
      </c>
    </row>
    <row r="848" spans="1:12" x14ac:dyDescent="0.25">
      <c r="A848" t="e">
        <f t="shared" si="13"/>
        <v>#VALUE!</v>
      </c>
      <c r="B848" s="46" t="s">
        <v>196</v>
      </c>
      <c r="C848" s="46" t="s">
        <v>196</v>
      </c>
      <c r="D848" s="46" t="s">
        <v>196</v>
      </c>
      <c r="E848" s="46" t="s">
        <v>196</v>
      </c>
      <c r="F848" s="46" t="s">
        <v>196</v>
      </c>
      <c r="G848" s="46" t="s">
        <v>196</v>
      </c>
      <c r="H848" s="46" t="s">
        <v>196</v>
      </c>
      <c r="I848" s="46" t="s">
        <v>196</v>
      </c>
      <c r="J848" s="48" t="s">
        <v>196</v>
      </c>
      <c r="K848" t="s">
        <v>196</v>
      </c>
      <c r="L848" t="s">
        <v>196</v>
      </c>
    </row>
    <row r="849" spans="1:12" x14ac:dyDescent="0.25">
      <c r="A849" t="e">
        <f t="shared" si="13"/>
        <v>#VALUE!</v>
      </c>
      <c r="B849" s="46" t="s">
        <v>196</v>
      </c>
      <c r="C849" s="46" t="s">
        <v>196</v>
      </c>
      <c r="D849" s="46" t="s">
        <v>196</v>
      </c>
      <c r="E849" s="46" t="s">
        <v>196</v>
      </c>
      <c r="F849" s="46" t="s">
        <v>196</v>
      </c>
      <c r="G849" s="46" t="s">
        <v>196</v>
      </c>
      <c r="H849" s="46" t="s">
        <v>196</v>
      </c>
      <c r="I849" s="46" t="s">
        <v>196</v>
      </c>
      <c r="J849" s="48" t="s">
        <v>196</v>
      </c>
      <c r="K849" t="s">
        <v>196</v>
      </c>
      <c r="L849" t="s">
        <v>196</v>
      </c>
    </row>
    <row r="850" spans="1:12" x14ac:dyDescent="0.25">
      <c r="A850" t="e">
        <f t="shared" si="13"/>
        <v>#VALUE!</v>
      </c>
      <c r="B850" s="46" t="s">
        <v>196</v>
      </c>
      <c r="C850" s="46" t="s">
        <v>196</v>
      </c>
      <c r="D850" s="46" t="s">
        <v>196</v>
      </c>
      <c r="E850" s="46" t="s">
        <v>196</v>
      </c>
      <c r="F850" s="46" t="s">
        <v>196</v>
      </c>
      <c r="G850" s="46" t="s">
        <v>196</v>
      </c>
      <c r="H850" s="46" t="s">
        <v>196</v>
      </c>
      <c r="I850" s="46" t="s">
        <v>196</v>
      </c>
      <c r="J850" s="48" t="s">
        <v>196</v>
      </c>
      <c r="K850" t="s">
        <v>196</v>
      </c>
      <c r="L850" t="s">
        <v>196</v>
      </c>
    </row>
    <row r="851" spans="1:12" x14ac:dyDescent="0.25">
      <c r="A851" t="e">
        <f t="shared" si="13"/>
        <v>#VALUE!</v>
      </c>
      <c r="B851" s="46" t="s">
        <v>196</v>
      </c>
      <c r="C851" s="46" t="s">
        <v>196</v>
      </c>
      <c r="D851" s="46" t="s">
        <v>196</v>
      </c>
      <c r="E851" s="46" t="s">
        <v>196</v>
      </c>
      <c r="F851" s="46" t="s">
        <v>196</v>
      </c>
      <c r="G851" s="46" t="s">
        <v>196</v>
      </c>
      <c r="H851" s="46" t="s">
        <v>196</v>
      </c>
      <c r="I851" s="46" t="s">
        <v>196</v>
      </c>
      <c r="J851" s="48" t="s">
        <v>196</v>
      </c>
      <c r="K851" t="s">
        <v>196</v>
      </c>
      <c r="L851" t="s">
        <v>196</v>
      </c>
    </row>
    <row r="852" spans="1:12" x14ac:dyDescent="0.25">
      <c r="A852" t="e">
        <f t="shared" si="13"/>
        <v>#VALUE!</v>
      </c>
      <c r="B852" s="46" t="s">
        <v>196</v>
      </c>
      <c r="C852" s="46" t="s">
        <v>196</v>
      </c>
      <c r="D852" s="46" t="s">
        <v>196</v>
      </c>
      <c r="E852" s="46" t="s">
        <v>196</v>
      </c>
      <c r="F852" s="46" t="s">
        <v>196</v>
      </c>
      <c r="G852" s="46" t="s">
        <v>196</v>
      </c>
      <c r="H852" s="46" t="s">
        <v>196</v>
      </c>
      <c r="I852" s="46" t="s">
        <v>196</v>
      </c>
      <c r="J852" s="48" t="s">
        <v>196</v>
      </c>
      <c r="K852" t="s">
        <v>196</v>
      </c>
      <c r="L852" t="s">
        <v>196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1</vt:i4>
      </vt:variant>
    </vt:vector>
  </HeadingPairs>
  <TitlesOfParts>
    <vt:vector size="7" baseType="lpstr">
      <vt:lpstr>總表</vt:lpstr>
      <vt:lpstr>假日報准施工統計表</vt:lpstr>
      <vt:lpstr>設定</vt:lpstr>
      <vt:lpstr>字典</vt:lpstr>
      <vt:lpstr>版本</vt:lpstr>
      <vt:lpstr>DATA</vt:lpstr>
      <vt:lpstr>假日報准施工統計表!Print_Area</vt:lpstr>
    </vt:vector>
  </TitlesOfParts>
  <Company/>
  <LinksUpToDate>false</LinksUpToDate>
  <SharedDoc>false</SharedDoc>
  <HyperlinkBase>D:\01-線路主辦\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C130014</dc:creator>
  <cp:lastModifiedBy>C036039</cp:lastModifiedBy>
  <cp:lastPrinted>2022-10-31T02:41:23Z</cp:lastPrinted>
  <dcterms:created xsi:type="dcterms:W3CDTF">2021-08-03T05:04:46Z</dcterms:created>
  <dcterms:modified xsi:type="dcterms:W3CDTF">2024-07-11T02:51:46Z</dcterms:modified>
</cp:coreProperties>
</file>